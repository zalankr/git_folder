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lpus\Desktop\git_folder\"/>
    </mc:Choice>
  </mc:AlternateContent>
  <xr:revisionPtr revIDLastSave="0" documentId="13_ncr:1_{E7556CA4-F48A-4544-9B75-4EB30DA7B224}" xr6:coauthVersionLast="36" xr6:coauthVersionMax="47" xr10:uidLastSave="{00000000-0000-0000-0000-000000000000}"/>
  <bookViews>
    <workbookView xWindow="3900" yWindow="3900" windowWidth="29955" windowHeight="15135" tabRatio="500" xr2:uid="{00000000-000D-0000-FFFF-FFFF00000000}"/>
  </bookViews>
  <sheets>
    <sheet name="연금시뮬레이션(260607)" sheetId="3" r:id="rId1"/>
    <sheet name="연금 시뮬레이션 (3)" sheetId="4" r:id="rId2"/>
    <sheet name="연금 시뮬레이션" sheetId="1" r:id="rId3"/>
    <sheet name="세금 및 건보료" sheetId="2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14" i="3" l="1"/>
  <c r="V113" i="3"/>
  <c r="V112" i="3"/>
  <c r="V111" i="3"/>
  <c r="V110" i="3"/>
  <c r="V109" i="3"/>
  <c r="F108" i="3"/>
  <c r="E108" i="3"/>
  <c r="D108" i="3"/>
  <c r="V108" i="3"/>
  <c r="W108" i="3"/>
  <c r="V107" i="3"/>
  <c r="V106" i="3"/>
  <c r="V105" i="3"/>
  <c r="V104" i="3"/>
  <c r="V103" i="3"/>
  <c r="V102" i="3"/>
  <c r="V101" i="3"/>
  <c r="V100" i="3"/>
  <c r="V99" i="3"/>
  <c r="D98" i="3"/>
  <c r="E98" i="3"/>
  <c r="F98" i="3"/>
  <c r="V98" i="3"/>
  <c r="V97" i="3"/>
  <c r="V96" i="3"/>
  <c r="S95" i="3"/>
  <c r="V95" i="3"/>
  <c r="V93" i="3"/>
  <c r="V94" i="3"/>
  <c r="X114" i="3"/>
  <c r="O114" i="3"/>
  <c r="K114" i="3"/>
  <c r="I114" i="3"/>
  <c r="X113" i="3"/>
  <c r="U113" i="3"/>
  <c r="U114" i="3" s="1"/>
  <c r="O113" i="3"/>
  <c r="L113" i="3"/>
  <c r="L114" i="3" s="1"/>
  <c r="K113" i="3"/>
  <c r="N113" i="3" s="1"/>
  <c r="J113" i="3"/>
  <c r="J114" i="3" s="1"/>
  <c r="I113" i="3"/>
  <c r="H113" i="3"/>
  <c r="H114" i="3" s="1"/>
  <c r="V92" i="3"/>
  <c r="C38" i="3"/>
  <c r="V90" i="3"/>
  <c r="V89" i="3"/>
  <c r="Q88" i="3"/>
  <c r="Q87" i="3"/>
  <c r="V88" i="3"/>
  <c r="V87" i="3"/>
  <c r="U88" i="3"/>
  <c r="U89" i="3" s="1"/>
  <c r="U90" i="3" s="1"/>
  <c r="U91" i="3" s="1"/>
  <c r="U92" i="3" s="1"/>
  <c r="U93" i="3" s="1"/>
  <c r="L23" i="3"/>
  <c r="D82" i="3"/>
  <c r="AB89" i="4"/>
  <c r="R88" i="4"/>
  <c r="W87" i="4"/>
  <c r="W88" i="4" s="1"/>
  <c r="R87" i="4"/>
  <c r="V83" i="4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K83" i="4"/>
  <c r="K84" i="4" s="1"/>
  <c r="K85" i="4" s="1"/>
  <c r="K86" i="4" s="1"/>
  <c r="K87" i="4" s="1"/>
  <c r="J83" i="4"/>
  <c r="J84" i="4" s="1"/>
  <c r="J85" i="4" s="1"/>
  <c r="J86" i="4" s="1"/>
  <c r="J87" i="4" s="1"/>
  <c r="H83" i="4"/>
  <c r="H84" i="4" s="1"/>
  <c r="H85" i="4" s="1"/>
  <c r="H86" i="4" s="1"/>
  <c r="H87" i="4" s="1"/>
  <c r="D83" i="4"/>
  <c r="D84" i="4" s="1"/>
  <c r="D85" i="4" s="1"/>
  <c r="D86" i="4" s="1"/>
  <c r="C86" i="4" s="1"/>
  <c r="AB82" i="4"/>
  <c r="AB87" i="4" s="1"/>
  <c r="L82" i="4"/>
  <c r="F82" i="4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E82" i="4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D82" i="4"/>
  <c r="C81" i="4"/>
  <c r="Z81" i="4" s="1"/>
  <c r="I78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O63" i="4"/>
  <c r="N63" i="4"/>
  <c r="N62" i="4"/>
  <c r="N61" i="4"/>
  <c r="O60" i="4"/>
  <c r="N60" i="4"/>
  <c r="N59" i="4"/>
  <c r="N58" i="4"/>
  <c r="N57" i="4"/>
  <c r="N56" i="4"/>
  <c r="N55" i="4"/>
  <c r="I55" i="4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O54" i="4"/>
  <c r="N54" i="4"/>
  <c r="H54" i="4"/>
  <c r="H55" i="4" s="1"/>
  <c r="N53" i="4"/>
  <c r="M53" i="4"/>
  <c r="J53" i="4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I53" i="4"/>
  <c r="I54" i="4" s="1"/>
  <c r="H53" i="4"/>
  <c r="N52" i="4"/>
  <c r="M52" i="4"/>
  <c r="O41" i="4"/>
  <c r="O42" i="4" s="1"/>
  <c r="D39" i="4"/>
  <c r="D38" i="4"/>
  <c r="E39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C38" i="4"/>
  <c r="D37" i="4"/>
  <c r="C28" i="4"/>
  <c r="C27" i="4"/>
  <c r="I83" i="4" s="1"/>
  <c r="I84" i="4" s="1"/>
  <c r="I85" i="4" s="1"/>
  <c r="I86" i="4" s="1"/>
  <c r="I87" i="4" s="1"/>
  <c r="B27" i="4"/>
  <c r="C26" i="4"/>
  <c r="B21" i="4"/>
  <c r="F20" i="4"/>
  <c r="B20" i="4"/>
  <c r="D20" i="4" s="1"/>
  <c r="C13" i="4"/>
  <c r="N114" i="3" l="1"/>
  <c r="M114" i="3"/>
  <c r="P114" i="3" s="1"/>
  <c r="S114" i="3" s="1"/>
  <c r="M113" i="3"/>
  <c r="P113" i="3" s="1"/>
  <c r="S113" i="3" s="1"/>
  <c r="V91" i="3"/>
  <c r="U94" i="3"/>
  <c r="H56" i="4"/>
  <c r="M56" i="4"/>
  <c r="P56" i="4" s="1"/>
  <c r="R56" i="4" s="1"/>
  <c r="H88" i="4"/>
  <c r="M88" i="4"/>
  <c r="B26" i="4"/>
  <c r="J88" i="4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B28" i="4"/>
  <c r="K88" i="4"/>
  <c r="C85" i="4"/>
  <c r="M55" i="4"/>
  <c r="C84" i="4"/>
  <c r="D87" i="4"/>
  <c r="U88" i="4"/>
  <c r="T88" i="4"/>
  <c r="I88" i="4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O76" i="4"/>
  <c r="O73" i="4"/>
  <c r="O70" i="4"/>
  <c r="O67" i="4"/>
  <c r="O64" i="4"/>
  <c r="O61" i="4"/>
  <c r="O58" i="4"/>
  <c r="O55" i="4"/>
  <c r="O52" i="4"/>
  <c r="P52" i="4" s="1"/>
  <c r="O74" i="4"/>
  <c r="O71" i="4"/>
  <c r="O68" i="4"/>
  <c r="O65" i="4"/>
  <c r="O62" i="4"/>
  <c r="O59" i="4"/>
  <c r="O56" i="4"/>
  <c r="O53" i="4"/>
  <c r="P53" i="4" s="1"/>
  <c r="R53" i="4" s="1"/>
  <c r="O75" i="4"/>
  <c r="O72" i="4"/>
  <c r="O69" i="4"/>
  <c r="O66" i="4"/>
  <c r="M54" i="4"/>
  <c r="P54" i="4" s="1"/>
  <c r="R54" i="4" s="1"/>
  <c r="O57" i="4"/>
  <c r="C82" i="4"/>
  <c r="Z82" i="4" s="1"/>
  <c r="AC82" i="4" s="1"/>
  <c r="C83" i="4"/>
  <c r="L83" i="4"/>
  <c r="W89" i="4"/>
  <c r="D39" i="3"/>
  <c r="D38" i="3"/>
  <c r="O41" i="3"/>
  <c r="O42" i="3" s="1"/>
  <c r="AC89" i="3"/>
  <c r="W83" i="3"/>
  <c r="W84" i="3" s="1"/>
  <c r="W85" i="3" s="1"/>
  <c r="W86" i="3" s="1"/>
  <c r="W87" i="3" s="1"/>
  <c r="F82" i="3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9" i="3" s="1"/>
  <c r="F100" i="3" s="1"/>
  <c r="F101" i="3" s="1"/>
  <c r="F102" i="3" s="1"/>
  <c r="F103" i="3" s="1"/>
  <c r="F104" i="3" s="1"/>
  <c r="F105" i="3" s="1"/>
  <c r="F106" i="3" s="1"/>
  <c r="F107" i="3" s="1"/>
  <c r="F109" i="3" s="1"/>
  <c r="F110" i="3" s="1"/>
  <c r="F111" i="3" s="1"/>
  <c r="F112" i="3" s="1"/>
  <c r="F113" i="3" s="1"/>
  <c r="F114" i="3" s="1"/>
  <c r="E82" i="3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9" i="3" s="1"/>
  <c r="E100" i="3" s="1"/>
  <c r="E101" i="3" s="1"/>
  <c r="E102" i="3" s="1"/>
  <c r="E103" i="3" s="1"/>
  <c r="E104" i="3" s="1"/>
  <c r="E105" i="3" s="1"/>
  <c r="E106" i="3" s="1"/>
  <c r="E107" i="3" s="1"/>
  <c r="E109" i="3" s="1"/>
  <c r="E110" i="3" s="1"/>
  <c r="E111" i="3" s="1"/>
  <c r="E112" i="3" s="1"/>
  <c r="E113" i="3" s="1"/>
  <c r="E114" i="3" s="1"/>
  <c r="D83" i="3"/>
  <c r="D84" i="3" s="1"/>
  <c r="D85" i="3" s="1"/>
  <c r="X87" i="3"/>
  <c r="K83" i="3"/>
  <c r="K84" i="3" s="1"/>
  <c r="K85" i="3" s="1"/>
  <c r="K86" i="3" s="1"/>
  <c r="AC82" i="3"/>
  <c r="AC87" i="3" s="1"/>
  <c r="L82" i="3"/>
  <c r="C81" i="3"/>
  <c r="AA81" i="3" s="1"/>
  <c r="I78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M53" i="3"/>
  <c r="J53" i="3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I53" i="3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H53" i="3"/>
  <c r="H54" i="3" s="1"/>
  <c r="H55" i="3" s="1"/>
  <c r="N52" i="3"/>
  <c r="M52" i="3"/>
  <c r="D37" i="3"/>
  <c r="O68" i="3" s="1"/>
  <c r="C28" i="3"/>
  <c r="C27" i="3"/>
  <c r="I83" i="3" s="1"/>
  <c r="I84" i="3" s="1"/>
  <c r="I85" i="3" s="1"/>
  <c r="I86" i="3" s="1"/>
  <c r="C26" i="3"/>
  <c r="H83" i="3" s="1"/>
  <c r="H84" i="3" s="1"/>
  <c r="B21" i="3"/>
  <c r="F20" i="3"/>
  <c r="B20" i="3"/>
  <c r="D20" i="3" s="1"/>
  <c r="C13" i="3"/>
  <c r="D84" i="1"/>
  <c r="E84" i="1"/>
  <c r="C83" i="1"/>
  <c r="I88" i="3" l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87" i="3"/>
  <c r="E39" i="3"/>
  <c r="O94" i="3" s="1"/>
  <c r="U95" i="3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K87" i="3"/>
  <c r="K88" i="3" s="1"/>
  <c r="R52" i="4"/>
  <c r="T53" i="4" s="1"/>
  <c r="P77" i="4"/>
  <c r="D88" i="4"/>
  <c r="C87" i="4"/>
  <c r="M57" i="4"/>
  <c r="P57" i="4" s="1"/>
  <c r="R57" i="4" s="1"/>
  <c r="T57" i="4" s="1"/>
  <c r="H57" i="4"/>
  <c r="W90" i="4"/>
  <c r="K89" i="4"/>
  <c r="H89" i="4"/>
  <c r="M89" i="4"/>
  <c r="L84" i="4"/>
  <c r="Z83" i="4"/>
  <c r="AC83" i="4" s="1"/>
  <c r="P55" i="4"/>
  <c r="R55" i="4" s="1"/>
  <c r="B29" i="4"/>
  <c r="J83" i="3"/>
  <c r="J84" i="3" s="1"/>
  <c r="J85" i="3" s="1"/>
  <c r="J86" i="3" s="1"/>
  <c r="D86" i="3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9" i="3" s="1"/>
  <c r="D100" i="3" s="1"/>
  <c r="D101" i="3" s="1"/>
  <c r="D102" i="3" s="1"/>
  <c r="D103" i="3" s="1"/>
  <c r="D104" i="3" s="1"/>
  <c r="D105" i="3" s="1"/>
  <c r="D106" i="3" s="1"/>
  <c r="D107" i="3" s="1"/>
  <c r="D109" i="3" s="1"/>
  <c r="D110" i="3" s="1"/>
  <c r="D111" i="3" s="1"/>
  <c r="D112" i="3" s="1"/>
  <c r="D113" i="3" s="1"/>
  <c r="C85" i="3"/>
  <c r="O59" i="3"/>
  <c r="O55" i="3"/>
  <c r="O75" i="3"/>
  <c r="O60" i="3"/>
  <c r="O52" i="3"/>
  <c r="P52" i="3" s="1"/>
  <c r="P77" i="3" s="1"/>
  <c r="O66" i="3"/>
  <c r="C82" i="3"/>
  <c r="W88" i="3"/>
  <c r="W89" i="3" s="1"/>
  <c r="O72" i="3"/>
  <c r="M55" i="3"/>
  <c r="P55" i="3" s="1"/>
  <c r="S55" i="3" s="1"/>
  <c r="M54" i="3"/>
  <c r="H85" i="3"/>
  <c r="H86" i="3" s="1"/>
  <c r="M56" i="3"/>
  <c r="O53" i="3"/>
  <c r="P53" i="3" s="1"/>
  <c r="S53" i="3" s="1"/>
  <c r="O56" i="3"/>
  <c r="O62" i="3"/>
  <c r="H56" i="3"/>
  <c r="O65" i="3"/>
  <c r="AA82" i="3"/>
  <c r="AD82" i="3" s="1"/>
  <c r="L83" i="3"/>
  <c r="O58" i="3"/>
  <c r="O63" i="3"/>
  <c r="X88" i="3"/>
  <c r="O76" i="3"/>
  <c r="O73" i="3"/>
  <c r="O70" i="3"/>
  <c r="O67" i="3"/>
  <c r="O64" i="3"/>
  <c r="O61" i="3"/>
  <c r="O74" i="3"/>
  <c r="O71" i="3"/>
  <c r="O54" i="3"/>
  <c r="O57" i="3"/>
  <c r="O69" i="3"/>
  <c r="B20" i="1"/>
  <c r="D20" i="1"/>
  <c r="R89" i="1"/>
  <c r="L88" i="1"/>
  <c r="L89" i="1" s="1"/>
  <c r="K88" i="1"/>
  <c r="K89" i="1" s="1"/>
  <c r="F84" i="1"/>
  <c r="K84" i="1"/>
  <c r="K85" i="1" s="1"/>
  <c r="K86" i="1" s="1"/>
  <c r="K87" i="1" s="1"/>
  <c r="L84" i="1"/>
  <c r="L85" i="1" s="1"/>
  <c r="L86" i="1" s="1"/>
  <c r="L87" i="1" s="1"/>
  <c r="D28" i="1"/>
  <c r="D27" i="1"/>
  <c r="D26" i="1"/>
  <c r="C113" i="3" l="1"/>
  <c r="D114" i="3"/>
  <c r="C114" i="3" s="1"/>
  <c r="J88" i="3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87" i="3"/>
  <c r="C98" i="3"/>
  <c r="S52" i="3"/>
  <c r="V52" i="3" s="1"/>
  <c r="V53" i="3" s="1"/>
  <c r="U53" i="3"/>
  <c r="O95" i="3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H87" i="3"/>
  <c r="M88" i="3" s="1"/>
  <c r="M87" i="3"/>
  <c r="H90" i="4"/>
  <c r="M90" i="4"/>
  <c r="T55" i="4"/>
  <c r="L85" i="4"/>
  <c r="Z84" i="4"/>
  <c r="AC84" i="4" s="1"/>
  <c r="T56" i="4"/>
  <c r="M58" i="4"/>
  <c r="P58" i="4" s="1"/>
  <c r="R58" i="4" s="1"/>
  <c r="T58" i="4" s="1"/>
  <c r="H58" i="4"/>
  <c r="T54" i="4"/>
  <c r="K90" i="4"/>
  <c r="D89" i="4"/>
  <c r="C88" i="4"/>
  <c r="W91" i="4"/>
  <c r="R77" i="4"/>
  <c r="U52" i="4"/>
  <c r="U53" i="4" s="1"/>
  <c r="U54" i="4" s="1"/>
  <c r="U55" i="4" s="1"/>
  <c r="U56" i="4" s="1"/>
  <c r="U57" i="4" s="1"/>
  <c r="U58" i="4" s="1"/>
  <c r="T52" i="4"/>
  <c r="W90" i="3"/>
  <c r="W91" i="3" s="1"/>
  <c r="W92" i="3" s="1"/>
  <c r="W93" i="3" s="1"/>
  <c r="C89" i="3"/>
  <c r="K89" i="3"/>
  <c r="U55" i="3"/>
  <c r="P54" i="3"/>
  <c r="S54" i="3" s="1"/>
  <c r="U54" i="3" s="1"/>
  <c r="S77" i="3"/>
  <c r="U52" i="3"/>
  <c r="M57" i="3"/>
  <c r="P57" i="3" s="1"/>
  <c r="S57" i="3" s="1"/>
  <c r="U57" i="3" s="1"/>
  <c r="H57" i="3"/>
  <c r="L84" i="3"/>
  <c r="L85" i="3" s="1"/>
  <c r="L86" i="3" s="1"/>
  <c r="X89" i="3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P56" i="3"/>
  <c r="S56" i="3" s="1"/>
  <c r="U56" i="3" s="1"/>
  <c r="C26" i="1"/>
  <c r="H84" i="1" s="1"/>
  <c r="C31" i="1"/>
  <c r="C32" i="1"/>
  <c r="AA84" i="1"/>
  <c r="U86" i="1"/>
  <c r="U87" i="1" s="1"/>
  <c r="U88" i="1" s="1"/>
  <c r="U89" i="1" s="1"/>
  <c r="AA83" i="1"/>
  <c r="V88" i="1"/>
  <c r="V89" i="1" s="1"/>
  <c r="V90" i="1" s="1"/>
  <c r="V91" i="1" s="1"/>
  <c r="V92" i="1" s="1"/>
  <c r="F20" i="1"/>
  <c r="I80" i="1"/>
  <c r="G84" i="1"/>
  <c r="C84" i="1" s="1"/>
  <c r="D85" i="1" s="1"/>
  <c r="H85" i="1"/>
  <c r="H86" i="1" s="1"/>
  <c r="H87" i="1" s="1"/>
  <c r="H88" i="1" s="1"/>
  <c r="H89" i="1" s="1"/>
  <c r="H90" i="1" s="1"/>
  <c r="Y83" i="1"/>
  <c r="C13" i="1"/>
  <c r="C28" i="1"/>
  <c r="C27" i="1"/>
  <c r="C39" i="2"/>
  <c r="A34" i="2"/>
  <c r="A33" i="2"/>
  <c r="A32" i="2"/>
  <c r="A25" i="2"/>
  <c r="B20" i="2"/>
  <c r="B19" i="2"/>
  <c r="E14" i="2"/>
  <c r="G14" i="2" s="1"/>
  <c r="B14" i="2"/>
  <c r="A14" i="2"/>
  <c r="A27" i="2" s="1"/>
  <c r="E13" i="2"/>
  <c r="G13" i="2" s="1"/>
  <c r="C13" i="2"/>
  <c r="B13" i="2"/>
  <c r="D13" i="2" s="1"/>
  <c r="A13" i="2"/>
  <c r="A26" i="2" s="1"/>
  <c r="E12" i="2"/>
  <c r="G12" i="2" s="1"/>
  <c r="B12" i="2"/>
  <c r="A12" i="2"/>
  <c r="E6" i="2"/>
  <c r="B33" i="2" s="1"/>
  <c r="N55" i="1"/>
  <c r="M55" i="1"/>
  <c r="N56" i="1"/>
  <c r="J55" i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I55" i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H55" i="1"/>
  <c r="N54" i="1"/>
  <c r="M54" i="1"/>
  <c r="D40" i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D39" i="1"/>
  <c r="O55" i="1" s="1"/>
  <c r="B21" i="1"/>
  <c r="B26" i="3" l="1"/>
  <c r="H88" i="3"/>
  <c r="L87" i="3"/>
  <c r="N88" i="3" s="1"/>
  <c r="P88" i="3" s="1"/>
  <c r="N87" i="3"/>
  <c r="P87" i="3" s="1"/>
  <c r="S87" i="3" s="1"/>
  <c r="H89" i="3"/>
  <c r="M89" i="3"/>
  <c r="C89" i="4"/>
  <c r="D90" i="4"/>
  <c r="K91" i="4"/>
  <c r="L86" i="4"/>
  <c r="Z85" i="4"/>
  <c r="AC85" i="4" s="1"/>
  <c r="W92" i="4"/>
  <c r="M59" i="4"/>
  <c r="P59" i="4" s="1"/>
  <c r="R59" i="4" s="1"/>
  <c r="T59" i="4" s="1"/>
  <c r="H59" i="4"/>
  <c r="H91" i="4"/>
  <c r="M91" i="4"/>
  <c r="W94" i="3"/>
  <c r="W95" i="3" s="1"/>
  <c r="L88" i="3"/>
  <c r="K90" i="3"/>
  <c r="V54" i="3"/>
  <c r="V55" i="3" s="1"/>
  <c r="C83" i="3"/>
  <c r="AA83" i="3" s="1"/>
  <c r="AD83" i="3" s="1"/>
  <c r="H58" i="3"/>
  <c r="M58" i="3"/>
  <c r="P58" i="3" s="1"/>
  <c r="S58" i="3" s="1"/>
  <c r="U58" i="3" s="1"/>
  <c r="V56" i="3"/>
  <c r="V57" i="3" s="1"/>
  <c r="B28" i="3"/>
  <c r="F85" i="1"/>
  <c r="L90" i="1"/>
  <c r="L91" i="1" s="1"/>
  <c r="L92" i="1" s="1"/>
  <c r="K90" i="1"/>
  <c r="G85" i="1"/>
  <c r="E85" i="1"/>
  <c r="J84" i="1"/>
  <c r="J85" i="1" s="1"/>
  <c r="J86" i="1" s="1"/>
  <c r="I84" i="1"/>
  <c r="I85" i="1" s="1"/>
  <c r="I86" i="1" s="1"/>
  <c r="I87" i="1" s="1"/>
  <c r="I88" i="1" s="1"/>
  <c r="I89" i="1" s="1"/>
  <c r="V93" i="1"/>
  <c r="H91" i="1"/>
  <c r="H92" i="1" s="1"/>
  <c r="U90" i="1"/>
  <c r="U91" i="1" s="1"/>
  <c r="U92" i="1" s="1"/>
  <c r="U93" i="1" s="1"/>
  <c r="U94" i="1" s="1"/>
  <c r="U95" i="1" s="1"/>
  <c r="B26" i="1"/>
  <c r="AA89" i="1"/>
  <c r="O58" i="1"/>
  <c r="O60" i="1"/>
  <c r="M56" i="1"/>
  <c r="H56" i="1"/>
  <c r="M57" i="1" s="1"/>
  <c r="D7" i="2"/>
  <c r="C14" i="2" s="1"/>
  <c r="D14" i="2" s="1"/>
  <c r="P55" i="1"/>
  <c r="R55" i="1" s="1"/>
  <c r="O64" i="1"/>
  <c r="O67" i="1"/>
  <c r="B21" i="2"/>
  <c r="D26" i="2" s="1"/>
  <c r="E33" i="2"/>
  <c r="E34" i="2"/>
  <c r="E32" i="2"/>
  <c r="O61" i="1"/>
  <c r="O68" i="1"/>
  <c r="O75" i="1"/>
  <c r="O69" i="1"/>
  <c r="D5" i="2"/>
  <c r="O76" i="1"/>
  <c r="O78" i="1"/>
  <c r="O72" i="1"/>
  <c r="O66" i="1"/>
  <c r="O77" i="1"/>
  <c r="O70" i="1"/>
  <c r="O63" i="1"/>
  <c r="O57" i="1"/>
  <c r="O65" i="1"/>
  <c r="O74" i="1"/>
  <c r="O71" i="1"/>
  <c r="O56" i="1"/>
  <c r="O73" i="1"/>
  <c r="O62" i="1"/>
  <c r="O54" i="1"/>
  <c r="P54" i="1" s="1"/>
  <c r="O59" i="1"/>
  <c r="C26" i="2"/>
  <c r="F13" i="2"/>
  <c r="H13" i="2" s="1"/>
  <c r="B26" i="2"/>
  <c r="B31" i="3" l="1"/>
  <c r="B32" i="3" s="1"/>
  <c r="B33" i="3" s="1"/>
  <c r="M90" i="3"/>
  <c r="H90" i="3"/>
  <c r="K91" i="3"/>
  <c r="M60" i="4"/>
  <c r="P60" i="4" s="1"/>
  <c r="R60" i="4" s="1"/>
  <c r="T60" i="4" s="1"/>
  <c r="H60" i="4"/>
  <c r="L87" i="4"/>
  <c r="Z86" i="4"/>
  <c r="AC86" i="4" s="1"/>
  <c r="K92" i="4"/>
  <c r="U59" i="4"/>
  <c r="U60" i="4" s="1"/>
  <c r="W93" i="4"/>
  <c r="C90" i="4"/>
  <c r="D91" i="4"/>
  <c r="H92" i="4"/>
  <c r="M92" i="4"/>
  <c r="W96" i="3"/>
  <c r="W97" i="3" s="1"/>
  <c r="L89" i="3"/>
  <c r="N89" i="3"/>
  <c r="V58" i="3"/>
  <c r="M59" i="3"/>
  <c r="P59" i="3" s="1"/>
  <c r="S59" i="3" s="1"/>
  <c r="U59" i="3" s="1"/>
  <c r="H59" i="3"/>
  <c r="U97" i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96" i="1"/>
  <c r="I90" i="1"/>
  <c r="B27" i="1"/>
  <c r="P56" i="1"/>
  <c r="R56" i="1" s="1"/>
  <c r="J87" i="1"/>
  <c r="K91" i="1"/>
  <c r="K92" i="1" s="1"/>
  <c r="N90" i="1"/>
  <c r="V94" i="1"/>
  <c r="Y84" i="1"/>
  <c r="AB84" i="1" s="1"/>
  <c r="H93" i="1"/>
  <c r="H57" i="1"/>
  <c r="H58" i="1" s="1"/>
  <c r="E7" i="2"/>
  <c r="B34" i="2" s="1"/>
  <c r="N57" i="1"/>
  <c r="P57" i="1" s="1"/>
  <c r="R57" i="1" s="1"/>
  <c r="D27" i="2"/>
  <c r="D25" i="2"/>
  <c r="F26" i="2"/>
  <c r="G26" i="2" s="1"/>
  <c r="D33" i="2" s="1"/>
  <c r="R54" i="1"/>
  <c r="C33" i="2"/>
  <c r="I13" i="2"/>
  <c r="C27" i="2"/>
  <c r="B27" i="2"/>
  <c r="F14" i="2"/>
  <c r="H14" i="2" s="1"/>
  <c r="C12" i="2"/>
  <c r="D12" i="2" s="1"/>
  <c r="E5" i="2"/>
  <c r="B32" i="2" s="1"/>
  <c r="H91" i="3" l="1"/>
  <c r="M91" i="3"/>
  <c r="K92" i="3"/>
  <c r="B31" i="4"/>
  <c r="L88" i="4"/>
  <c r="Z87" i="4"/>
  <c r="AC87" i="4" s="1"/>
  <c r="N88" i="4"/>
  <c r="P88" i="4" s="1"/>
  <c r="K93" i="4"/>
  <c r="C91" i="4"/>
  <c r="D92" i="4"/>
  <c r="W94" i="4"/>
  <c r="M61" i="4"/>
  <c r="P61" i="4" s="1"/>
  <c r="R61" i="4" s="1"/>
  <c r="T61" i="4" s="1"/>
  <c r="H61" i="4"/>
  <c r="M93" i="4"/>
  <c r="H93" i="4"/>
  <c r="W98" i="3"/>
  <c r="W99" i="3" s="1"/>
  <c r="W100" i="3" s="1"/>
  <c r="W101" i="3" s="1"/>
  <c r="W102" i="3" s="1"/>
  <c r="W103" i="3" s="1"/>
  <c r="W104" i="3" s="1"/>
  <c r="W105" i="3" s="1"/>
  <c r="W106" i="3" s="1"/>
  <c r="W107" i="3" s="1"/>
  <c r="W109" i="3" s="1"/>
  <c r="W110" i="3" s="1"/>
  <c r="W111" i="3" s="1"/>
  <c r="W112" i="3" s="1"/>
  <c r="W113" i="3" s="1"/>
  <c r="L90" i="3"/>
  <c r="N90" i="3"/>
  <c r="P90" i="3" s="1"/>
  <c r="V59" i="3"/>
  <c r="C84" i="3"/>
  <c r="M60" i="3"/>
  <c r="P60" i="3" s="1"/>
  <c r="S60" i="3" s="1"/>
  <c r="U60" i="3" s="1"/>
  <c r="H60" i="3"/>
  <c r="M58" i="1"/>
  <c r="S56" i="1"/>
  <c r="K93" i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N91" i="1"/>
  <c r="J88" i="1"/>
  <c r="J89" i="1" s="1"/>
  <c r="J90" i="1" s="1"/>
  <c r="J91" i="1" s="1"/>
  <c r="J92" i="1" s="1"/>
  <c r="J93" i="1" s="1"/>
  <c r="I91" i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M90" i="1"/>
  <c r="V95" i="1"/>
  <c r="H94" i="1"/>
  <c r="N58" i="1"/>
  <c r="P58" i="1" s="1"/>
  <c r="R58" i="1" s="1"/>
  <c r="S58" i="1" s="1"/>
  <c r="S57" i="1"/>
  <c r="F33" i="2"/>
  <c r="I33" i="2" s="1"/>
  <c r="F27" i="2"/>
  <c r="G27" i="2" s="1"/>
  <c r="D34" i="2" s="1"/>
  <c r="M59" i="1"/>
  <c r="H59" i="1"/>
  <c r="C25" i="2"/>
  <c r="F25" i="2" s="1"/>
  <c r="G25" i="2" s="1"/>
  <c r="D32" i="2" s="1"/>
  <c r="B25" i="2"/>
  <c r="F12" i="2"/>
  <c r="H12" i="2" s="1"/>
  <c r="S54" i="1"/>
  <c r="T54" i="1"/>
  <c r="T55" i="1" s="1"/>
  <c r="T56" i="1" s="1"/>
  <c r="T57" i="1" s="1"/>
  <c r="S55" i="1"/>
  <c r="C34" i="2"/>
  <c r="I14" i="2"/>
  <c r="W114" i="3" l="1"/>
  <c r="AA114" i="3" s="1"/>
  <c r="AA113" i="3"/>
  <c r="M92" i="3"/>
  <c r="H92" i="3"/>
  <c r="L91" i="3"/>
  <c r="N91" i="3"/>
  <c r="K93" i="3"/>
  <c r="W95" i="4"/>
  <c r="K94" i="4"/>
  <c r="U61" i="4"/>
  <c r="M94" i="4"/>
  <c r="H94" i="4"/>
  <c r="C92" i="4"/>
  <c r="D93" i="4"/>
  <c r="L89" i="4"/>
  <c r="Z88" i="4"/>
  <c r="N89" i="4"/>
  <c r="P89" i="4" s="1"/>
  <c r="R89" i="4" s="1"/>
  <c r="H62" i="4"/>
  <c r="M62" i="4"/>
  <c r="P62" i="4" s="1"/>
  <c r="R62" i="4" s="1"/>
  <c r="T62" i="4" s="1"/>
  <c r="B33" i="4"/>
  <c r="B32" i="4"/>
  <c r="AA84" i="3"/>
  <c r="AD84" i="3" s="1"/>
  <c r="B27" i="3"/>
  <c r="B29" i="3" s="1"/>
  <c r="M61" i="3"/>
  <c r="P61" i="3" s="1"/>
  <c r="S61" i="3" s="1"/>
  <c r="U61" i="3" s="1"/>
  <c r="H61" i="3"/>
  <c r="V60" i="3"/>
  <c r="V96" i="1"/>
  <c r="B31" i="1"/>
  <c r="B32" i="1" s="1"/>
  <c r="B33" i="1" s="1"/>
  <c r="H95" i="1"/>
  <c r="T58" i="1"/>
  <c r="N59" i="1"/>
  <c r="P59" i="1" s="1"/>
  <c r="R59" i="1" s="1"/>
  <c r="S59" i="1" s="1"/>
  <c r="F34" i="2"/>
  <c r="G34" i="2" s="1"/>
  <c r="H34" i="2" s="1"/>
  <c r="G33" i="2"/>
  <c r="H33" i="2" s="1"/>
  <c r="C32" i="2"/>
  <c r="F32" i="2" s="1"/>
  <c r="I12" i="2"/>
  <c r="H60" i="1"/>
  <c r="M60" i="1"/>
  <c r="H93" i="3" l="1"/>
  <c r="M93" i="3"/>
  <c r="K94" i="3"/>
  <c r="L92" i="3"/>
  <c r="N92" i="3"/>
  <c r="P92" i="3" s="1"/>
  <c r="L90" i="4"/>
  <c r="Z89" i="4"/>
  <c r="N90" i="4"/>
  <c r="P90" i="4" s="1"/>
  <c r="U62" i="4"/>
  <c r="D94" i="4"/>
  <c r="C93" i="4"/>
  <c r="M63" i="4"/>
  <c r="P63" i="4" s="1"/>
  <c r="R63" i="4" s="1"/>
  <c r="T63" i="4" s="1"/>
  <c r="H63" i="4"/>
  <c r="K95" i="4"/>
  <c r="T89" i="4"/>
  <c r="U89" i="4"/>
  <c r="M95" i="4"/>
  <c r="H95" i="4"/>
  <c r="W96" i="4"/>
  <c r="V61" i="3"/>
  <c r="AA85" i="3"/>
  <c r="AD85" i="3" s="1"/>
  <c r="M62" i="3"/>
  <c r="P62" i="3" s="1"/>
  <c r="S62" i="3" s="1"/>
  <c r="U62" i="3" s="1"/>
  <c r="H62" i="3"/>
  <c r="V97" i="1"/>
  <c r="H96" i="1"/>
  <c r="N60" i="1"/>
  <c r="P60" i="1" s="1"/>
  <c r="R60" i="1" s="1"/>
  <c r="T59" i="1"/>
  <c r="I34" i="2"/>
  <c r="M61" i="1"/>
  <c r="H61" i="1"/>
  <c r="I32" i="2"/>
  <c r="G32" i="2"/>
  <c r="H32" i="2" s="1"/>
  <c r="M94" i="3" l="1"/>
  <c r="H94" i="3"/>
  <c r="L93" i="3"/>
  <c r="N93" i="3"/>
  <c r="P93" i="3" s="1"/>
  <c r="K95" i="3"/>
  <c r="D95" i="4"/>
  <c r="C94" i="4"/>
  <c r="U63" i="4"/>
  <c r="U64" i="4" s="1"/>
  <c r="H96" i="4"/>
  <c r="M96" i="4"/>
  <c r="K96" i="4"/>
  <c r="R90" i="4"/>
  <c r="W97" i="4"/>
  <c r="M64" i="4"/>
  <c r="P64" i="4" s="1"/>
  <c r="R64" i="4" s="1"/>
  <c r="T64" i="4" s="1"/>
  <c r="H64" i="4"/>
  <c r="L91" i="4"/>
  <c r="Z90" i="4"/>
  <c r="N91" i="4"/>
  <c r="P91" i="4" s="1"/>
  <c r="R91" i="4" s="1"/>
  <c r="T91" i="4" s="1"/>
  <c r="V62" i="3"/>
  <c r="M63" i="3"/>
  <c r="P63" i="3" s="1"/>
  <c r="S63" i="3" s="1"/>
  <c r="U63" i="3" s="1"/>
  <c r="H63" i="3"/>
  <c r="P89" i="3"/>
  <c r="S89" i="3" s="1"/>
  <c r="V98" i="1"/>
  <c r="N92" i="1"/>
  <c r="H97" i="1"/>
  <c r="N61" i="1"/>
  <c r="P61" i="1" s="1"/>
  <c r="R61" i="1" s="1"/>
  <c r="S61" i="1" s="1"/>
  <c r="S60" i="1"/>
  <c r="T60" i="1"/>
  <c r="M62" i="1"/>
  <c r="H62" i="1"/>
  <c r="H95" i="3" l="1"/>
  <c r="M95" i="3"/>
  <c r="K96" i="3"/>
  <c r="L94" i="3"/>
  <c r="N94" i="3"/>
  <c r="P94" i="3" s="1"/>
  <c r="L92" i="4"/>
  <c r="Z91" i="4"/>
  <c r="N92" i="4"/>
  <c r="P92" i="4" s="1"/>
  <c r="R92" i="4" s="1"/>
  <c r="T92" i="4" s="1"/>
  <c r="W98" i="4"/>
  <c r="H97" i="4"/>
  <c r="M97" i="4"/>
  <c r="M65" i="4"/>
  <c r="P65" i="4" s="1"/>
  <c r="R65" i="4" s="1"/>
  <c r="T65" i="4" s="1"/>
  <c r="H65" i="4"/>
  <c r="T90" i="4"/>
  <c r="D96" i="4"/>
  <c r="C95" i="4"/>
  <c r="K97" i="4"/>
  <c r="U90" i="4"/>
  <c r="U91" i="4" s="1"/>
  <c r="U92" i="4" s="1"/>
  <c r="C86" i="3"/>
  <c r="AA86" i="3" s="1"/>
  <c r="AD86" i="3" s="1"/>
  <c r="V63" i="3"/>
  <c r="M64" i="3"/>
  <c r="P64" i="3" s="1"/>
  <c r="S64" i="3" s="1"/>
  <c r="U64" i="3" s="1"/>
  <c r="H64" i="3"/>
  <c r="V99" i="1"/>
  <c r="L93" i="1"/>
  <c r="N93" i="1" s="1"/>
  <c r="H98" i="1"/>
  <c r="B28" i="1"/>
  <c r="B29" i="1" s="1"/>
  <c r="T61" i="1"/>
  <c r="N62" i="1"/>
  <c r="P62" i="1" s="1"/>
  <c r="R62" i="1" s="1"/>
  <c r="H63" i="1"/>
  <c r="M63" i="1"/>
  <c r="M96" i="3" l="1"/>
  <c r="H96" i="3"/>
  <c r="L95" i="3"/>
  <c r="N95" i="3"/>
  <c r="P95" i="3" s="1"/>
  <c r="K97" i="3"/>
  <c r="M66" i="4"/>
  <c r="P66" i="4" s="1"/>
  <c r="R66" i="4" s="1"/>
  <c r="T66" i="4" s="1"/>
  <c r="H66" i="4"/>
  <c r="K98" i="4"/>
  <c r="K99" i="4" s="1"/>
  <c r="U65" i="4"/>
  <c r="W99" i="4"/>
  <c r="C96" i="4"/>
  <c r="D97" i="4"/>
  <c r="H98" i="4"/>
  <c r="H99" i="4" s="1"/>
  <c r="M98" i="4"/>
  <c r="L93" i="4"/>
  <c r="Z92" i="4"/>
  <c r="N93" i="4"/>
  <c r="P93" i="4" s="1"/>
  <c r="V64" i="3"/>
  <c r="S90" i="3"/>
  <c r="P91" i="3"/>
  <c r="S91" i="3" s="1"/>
  <c r="H65" i="3"/>
  <c r="M65" i="3"/>
  <c r="P65" i="3" s="1"/>
  <c r="S65" i="3" s="1"/>
  <c r="U65" i="3" s="1"/>
  <c r="V100" i="1"/>
  <c r="P90" i="1"/>
  <c r="L94" i="1"/>
  <c r="N94" i="1" s="1"/>
  <c r="H99" i="1"/>
  <c r="T62" i="1"/>
  <c r="N63" i="1"/>
  <c r="P63" i="1" s="1"/>
  <c r="R63" i="1" s="1"/>
  <c r="S63" i="1" s="1"/>
  <c r="S62" i="1"/>
  <c r="M64" i="1"/>
  <c r="H64" i="1"/>
  <c r="M97" i="3" l="1"/>
  <c r="H97" i="3"/>
  <c r="K98" i="3"/>
  <c r="L96" i="3"/>
  <c r="N96" i="3"/>
  <c r="P96" i="3" s="1"/>
  <c r="W100" i="4"/>
  <c r="U66" i="4"/>
  <c r="R93" i="4"/>
  <c r="L94" i="4"/>
  <c r="Z93" i="4"/>
  <c r="N94" i="4"/>
  <c r="P94" i="4" s="1"/>
  <c r="R94" i="4" s="1"/>
  <c r="T94" i="4" s="1"/>
  <c r="M99" i="4"/>
  <c r="H100" i="4"/>
  <c r="K100" i="4"/>
  <c r="C97" i="4"/>
  <c r="D98" i="4"/>
  <c r="C98" i="4" s="1"/>
  <c r="M67" i="4"/>
  <c r="P67" i="4" s="1"/>
  <c r="R67" i="4" s="1"/>
  <c r="T67" i="4" s="1"/>
  <c r="H67" i="4"/>
  <c r="C87" i="3"/>
  <c r="V65" i="3"/>
  <c r="S92" i="3"/>
  <c r="M66" i="3"/>
  <c r="P66" i="3" s="1"/>
  <c r="S66" i="3" s="1"/>
  <c r="U66" i="3" s="1"/>
  <c r="H66" i="3"/>
  <c r="R90" i="1"/>
  <c r="T90" i="1" s="1"/>
  <c r="V101" i="1"/>
  <c r="L95" i="1"/>
  <c r="N95" i="1" s="1"/>
  <c r="H100" i="1"/>
  <c r="M91" i="1"/>
  <c r="P91" i="1" s="1"/>
  <c r="S90" i="1"/>
  <c r="N64" i="1"/>
  <c r="P64" i="1" s="1"/>
  <c r="R64" i="1" s="1"/>
  <c r="T63" i="1"/>
  <c r="M65" i="1"/>
  <c r="H65" i="1"/>
  <c r="M98" i="3" l="1"/>
  <c r="H98" i="3"/>
  <c r="L97" i="3"/>
  <c r="N97" i="3"/>
  <c r="P97" i="3" s="1"/>
  <c r="T93" i="4"/>
  <c r="U93" i="4"/>
  <c r="U94" i="4" s="1"/>
  <c r="K101" i="4"/>
  <c r="W101" i="4"/>
  <c r="M68" i="4"/>
  <c r="P68" i="4" s="1"/>
  <c r="R68" i="4" s="1"/>
  <c r="T68" i="4" s="1"/>
  <c r="H68" i="4"/>
  <c r="H101" i="4"/>
  <c r="M100" i="4"/>
  <c r="U67" i="4"/>
  <c r="G99" i="4"/>
  <c r="F99" i="4"/>
  <c r="E99" i="4"/>
  <c r="D99" i="4"/>
  <c r="C99" i="4" s="1"/>
  <c r="L95" i="4"/>
  <c r="Z94" i="4"/>
  <c r="N95" i="4"/>
  <c r="P95" i="4" s="1"/>
  <c r="R95" i="4" s="1"/>
  <c r="T95" i="4" s="1"/>
  <c r="AA87" i="3"/>
  <c r="AD87" i="3" s="1"/>
  <c r="M67" i="3"/>
  <c r="P67" i="3" s="1"/>
  <c r="S67" i="3" s="1"/>
  <c r="U67" i="3" s="1"/>
  <c r="H67" i="3"/>
  <c r="S93" i="3"/>
  <c r="K99" i="3"/>
  <c r="V66" i="3"/>
  <c r="H99" i="3"/>
  <c r="R91" i="1"/>
  <c r="S91" i="1" s="1"/>
  <c r="V102" i="1"/>
  <c r="V103" i="1" s="1"/>
  <c r="L96" i="1"/>
  <c r="N96" i="1" s="1"/>
  <c r="M92" i="1"/>
  <c r="P92" i="1" s="1"/>
  <c r="H101" i="1"/>
  <c r="N65" i="1"/>
  <c r="P65" i="1" s="1"/>
  <c r="R65" i="1" s="1"/>
  <c r="S65" i="1" s="1"/>
  <c r="H66" i="1"/>
  <c r="M66" i="1"/>
  <c r="S64" i="1"/>
  <c r="T64" i="1"/>
  <c r="L98" i="3" l="1"/>
  <c r="N98" i="3"/>
  <c r="P98" i="3" s="1"/>
  <c r="L96" i="4"/>
  <c r="Z95" i="4"/>
  <c r="N96" i="4"/>
  <c r="P96" i="4" s="1"/>
  <c r="R96" i="4" s="1"/>
  <c r="T96" i="4" s="1"/>
  <c r="W102" i="4"/>
  <c r="K102" i="4"/>
  <c r="E100" i="4"/>
  <c r="D100" i="4"/>
  <c r="F100" i="4"/>
  <c r="G100" i="4"/>
  <c r="M101" i="4"/>
  <c r="H102" i="4"/>
  <c r="M69" i="4"/>
  <c r="P69" i="4" s="1"/>
  <c r="R69" i="4" s="1"/>
  <c r="T69" i="4" s="1"/>
  <c r="H69" i="4"/>
  <c r="U95" i="4"/>
  <c r="U96" i="4" s="1"/>
  <c r="U68" i="4"/>
  <c r="C88" i="3"/>
  <c r="AA88" i="3" s="1"/>
  <c r="H100" i="3"/>
  <c r="K100" i="3"/>
  <c r="X100" i="3"/>
  <c r="S94" i="3"/>
  <c r="V67" i="3"/>
  <c r="H68" i="3"/>
  <c r="M68" i="3"/>
  <c r="P68" i="3" s="1"/>
  <c r="S68" i="3" s="1"/>
  <c r="U68" i="3" s="1"/>
  <c r="T91" i="1"/>
  <c r="V104" i="1"/>
  <c r="R92" i="1"/>
  <c r="T92" i="1" s="1"/>
  <c r="L97" i="1"/>
  <c r="N97" i="1" s="1"/>
  <c r="H102" i="1"/>
  <c r="J94" i="1"/>
  <c r="M93" i="1"/>
  <c r="P93" i="1" s="1"/>
  <c r="R93" i="1" s="1"/>
  <c r="T65" i="1"/>
  <c r="N66" i="1"/>
  <c r="P66" i="1" s="1"/>
  <c r="R66" i="1" s="1"/>
  <c r="S66" i="1" s="1"/>
  <c r="M67" i="1"/>
  <c r="H67" i="1"/>
  <c r="M70" i="4" l="1"/>
  <c r="P70" i="4" s="1"/>
  <c r="R70" i="4" s="1"/>
  <c r="T70" i="4" s="1"/>
  <c r="H70" i="4"/>
  <c r="C100" i="4"/>
  <c r="W103" i="4"/>
  <c r="M102" i="4"/>
  <c r="H103" i="4"/>
  <c r="K103" i="4"/>
  <c r="U69" i="4"/>
  <c r="L97" i="4"/>
  <c r="Z96" i="4"/>
  <c r="N97" i="4"/>
  <c r="P97" i="4" s="1"/>
  <c r="R97" i="4" s="1"/>
  <c r="T97" i="4" s="1"/>
  <c r="L99" i="3"/>
  <c r="J99" i="3"/>
  <c r="V68" i="3"/>
  <c r="H101" i="3"/>
  <c r="X101" i="3"/>
  <c r="M69" i="3"/>
  <c r="P69" i="3" s="1"/>
  <c r="S69" i="3" s="1"/>
  <c r="U69" i="3" s="1"/>
  <c r="H69" i="3"/>
  <c r="K101" i="3"/>
  <c r="V105" i="1"/>
  <c r="S93" i="1"/>
  <c r="S92" i="1"/>
  <c r="L98" i="1"/>
  <c r="N98" i="1" s="1"/>
  <c r="J95" i="1"/>
  <c r="M94" i="1"/>
  <c r="P94" i="1" s="1"/>
  <c r="R94" i="1" s="1"/>
  <c r="H103" i="1"/>
  <c r="T66" i="1"/>
  <c r="N67" i="1"/>
  <c r="P67" i="1" s="1"/>
  <c r="R67" i="1" s="1"/>
  <c r="H68" i="1"/>
  <c r="M68" i="1"/>
  <c r="U70" i="4" l="1"/>
  <c r="U97" i="4"/>
  <c r="U98" i="4" s="1"/>
  <c r="W104" i="4"/>
  <c r="L98" i="4"/>
  <c r="Z97" i="4"/>
  <c r="N98" i="4"/>
  <c r="P98" i="4" s="1"/>
  <c r="R98" i="4" s="1"/>
  <c r="T98" i="4" s="1"/>
  <c r="K104" i="4"/>
  <c r="G101" i="4"/>
  <c r="F101" i="4"/>
  <c r="D101" i="4"/>
  <c r="E101" i="4"/>
  <c r="H104" i="4"/>
  <c r="M103" i="4"/>
  <c r="M71" i="4"/>
  <c r="P71" i="4" s="1"/>
  <c r="R71" i="4" s="1"/>
  <c r="T71" i="4" s="1"/>
  <c r="H71" i="4"/>
  <c r="AA89" i="3"/>
  <c r="L100" i="3"/>
  <c r="N99" i="3"/>
  <c r="H70" i="3"/>
  <c r="M70" i="3"/>
  <c r="P70" i="3" s="1"/>
  <c r="S70" i="3" s="1"/>
  <c r="U70" i="3" s="1"/>
  <c r="S96" i="3"/>
  <c r="H102" i="3"/>
  <c r="V69" i="3"/>
  <c r="J100" i="3"/>
  <c r="X102" i="3"/>
  <c r="K102" i="3"/>
  <c r="V106" i="1"/>
  <c r="T93" i="1"/>
  <c r="S94" i="1"/>
  <c r="L99" i="1"/>
  <c r="N99" i="1" s="1"/>
  <c r="H104" i="1"/>
  <c r="J96" i="1"/>
  <c r="M95" i="1"/>
  <c r="P95" i="1" s="1"/>
  <c r="R95" i="1" s="1"/>
  <c r="S67" i="1"/>
  <c r="T67" i="1"/>
  <c r="N68" i="1"/>
  <c r="P68" i="1" s="1"/>
  <c r="R68" i="1" s="1"/>
  <c r="H69" i="1"/>
  <c r="M69" i="1"/>
  <c r="M72" i="4" l="1"/>
  <c r="P72" i="4" s="1"/>
  <c r="R72" i="4" s="1"/>
  <c r="T72" i="4" s="1"/>
  <c r="H72" i="4"/>
  <c r="L99" i="4"/>
  <c r="Z98" i="4"/>
  <c r="K105" i="4"/>
  <c r="W105" i="4"/>
  <c r="M104" i="4"/>
  <c r="H105" i="4"/>
  <c r="C101" i="4"/>
  <c r="U71" i="4"/>
  <c r="U72" i="4" s="1"/>
  <c r="V70" i="3"/>
  <c r="L101" i="3"/>
  <c r="N100" i="3"/>
  <c r="X103" i="3"/>
  <c r="J101" i="3"/>
  <c r="S97" i="3"/>
  <c r="K103" i="3"/>
  <c r="H103" i="3"/>
  <c r="M71" i="3"/>
  <c r="P71" i="3" s="1"/>
  <c r="S71" i="3" s="1"/>
  <c r="U71" i="3" s="1"/>
  <c r="H71" i="3"/>
  <c r="V107" i="1"/>
  <c r="S95" i="1"/>
  <c r="T94" i="1"/>
  <c r="T95" i="1" s="1"/>
  <c r="L100" i="1"/>
  <c r="N100" i="1" s="1"/>
  <c r="H105" i="1"/>
  <c r="J97" i="1"/>
  <c r="M96" i="1"/>
  <c r="P96" i="1" s="1"/>
  <c r="R96" i="1" s="1"/>
  <c r="S68" i="1"/>
  <c r="T68" i="1"/>
  <c r="N69" i="1"/>
  <c r="P69" i="1" s="1"/>
  <c r="R69" i="1" s="1"/>
  <c r="S69" i="1" s="1"/>
  <c r="M70" i="1"/>
  <c r="H70" i="1"/>
  <c r="K106" i="4" l="1"/>
  <c r="L100" i="4"/>
  <c r="N99" i="4"/>
  <c r="P99" i="4" s="1"/>
  <c r="R99" i="4" s="1"/>
  <c r="Z99" i="4"/>
  <c r="M105" i="4"/>
  <c r="H106" i="4"/>
  <c r="M73" i="4"/>
  <c r="P73" i="4" s="1"/>
  <c r="R73" i="4" s="1"/>
  <c r="T73" i="4" s="1"/>
  <c r="H73" i="4"/>
  <c r="G102" i="4"/>
  <c r="F102" i="4"/>
  <c r="E102" i="4"/>
  <c r="D102" i="4"/>
  <c r="W106" i="4"/>
  <c r="C90" i="3"/>
  <c r="L102" i="3"/>
  <c r="N101" i="3"/>
  <c r="I99" i="3"/>
  <c r="S98" i="3"/>
  <c r="V71" i="3"/>
  <c r="H104" i="3"/>
  <c r="J102" i="3"/>
  <c r="M72" i="3"/>
  <c r="P72" i="3" s="1"/>
  <c r="S72" i="3" s="1"/>
  <c r="U72" i="3" s="1"/>
  <c r="H72" i="3"/>
  <c r="K104" i="3"/>
  <c r="X104" i="3"/>
  <c r="V108" i="1"/>
  <c r="S96" i="1"/>
  <c r="L101" i="1"/>
  <c r="N101" i="1" s="1"/>
  <c r="T96" i="1"/>
  <c r="H106" i="1"/>
  <c r="J98" i="1"/>
  <c r="M97" i="1"/>
  <c r="P97" i="1" s="1"/>
  <c r="R97" i="1" s="1"/>
  <c r="N70" i="1"/>
  <c r="P70" i="1" s="1"/>
  <c r="R70" i="1" s="1"/>
  <c r="T69" i="1"/>
  <c r="M71" i="1"/>
  <c r="H71" i="1"/>
  <c r="W107" i="4" l="1"/>
  <c r="M74" i="4"/>
  <c r="P74" i="4" s="1"/>
  <c r="R74" i="4" s="1"/>
  <c r="T74" i="4" s="1"/>
  <c r="H74" i="4"/>
  <c r="T99" i="4"/>
  <c r="U99" i="4"/>
  <c r="C102" i="4"/>
  <c r="U73" i="4"/>
  <c r="L101" i="4"/>
  <c r="Z100" i="4"/>
  <c r="N100" i="4"/>
  <c r="P100" i="4" s="1"/>
  <c r="R100" i="4" s="1"/>
  <c r="T100" i="4" s="1"/>
  <c r="H107" i="4"/>
  <c r="M106" i="4"/>
  <c r="K107" i="4"/>
  <c r="AA90" i="3"/>
  <c r="L103" i="3"/>
  <c r="N102" i="3"/>
  <c r="K105" i="3"/>
  <c r="M73" i="3"/>
  <c r="P73" i="3" s="1"/>
  <c r="S73" i="3" s="1"/>
  <c r="U73" i="3" s="1"/>
  <c r="H73" i="3"/>
  <c r="V72" i="3"/>
  <c r="H105" i="3"/>
  <c r="X105" i="3"/>
  <c r="J103" i="3"/>
  <c r="I100" i="3"/>
  <c r="M99" i="3"/>
  <c r="P99" i="3" s="1"/>
  <c r="S99" i="3" s="1"/>
  <c r="V109" i="1"/>
  <c r="S97" i="1"/>
  <c r="L102" i="1"/>
  <c r="N102" i="1" s="1"/>
  <c r="H107" i="1"/>
  <c r="J99" i="1"/>
  <c r="M98" i="1"/>
  <c r="P98" i="1" s="1"/>
  <c r="R98" i="1" s="1"/>
  <c r="S70" i="1"/>
  <c r="T70" i="1"/>
  <c r="N71" i="1"/>
  <c r="P71" i="1" s="1"/>
  <c r="R71" i="1" s="1"/>
  <c r="S71" i="1" s="1"/>
  <c r="H72" i="1"/>
  <c r="M72" i="1"/>
  <c r="K108" i="4" l="1"/>
  <c r="M75" i="4"/>
  <c r="P75" i="4" s="1"/>
  <c r="R75" i="4" s="1"/>
  <c r="T75" i="4" s="1"/>
  <c r="H75" i="4"/>
  <c r="L102" i="4"/>
  <c r="N101" i="4"/>
  <c r="P101" i="4" s="1"/>
  <c r="R101" i="4" s="1"/>
  <c r="T101" i="4" s="1"/>
  <c r="Z101" i="4"/>
  <c r="U74" i="4"/>
  <c r="E103" i="4"/>
  <c r="D103" i="4"/>
  <c r="G103" i="4"/>
  <c r="F103" i="4"/>
  <c r="M107" i="4"/>
  <c r="H108" i="4"/>
  <c r="U100" i="4"/>
  <c r="W108" i="4"/>
  <c r="C91" i="3"/>
  <c r="V73" i="3"/>
  <c r="L104" i="3"/>
  <c r="N103" i="3"/>
  <c r="M74" i="3"/>
  <c r="P74" i="3" s="1"/>
  <c r="S74" i="3" s="1"/>
  <c r="U74" i="3" s="1"/>
  <c r="H74" i="3"/>
  <c r="J104" i="3"/>
  <c r="X106" i="3"/>
  <c r="I101" i="3"/>
  <c r="M100" i="3"/>
  <c r="P100" i="3" s="1"/>
  <c r="S100" i="3" s="1"/>
  <c r="H106" i="3"/>
  <c r="K106" i="3"/>
  <c r="V110" i="1"/>
  <c r="T97" i="1"/>
  <c r="T98" i="1" s="1"/>
  <c r="S98" i="1"/>
  <c r="L103" i="1"/>
  <c r="H108" i="1"/>
  <c r="J100" i="1"/>
  <c r="M99" i="1"/>
  <c r="P99" i="1" s="1"/>
  <c r="R99" i="1" s="1"/>
  <c r="T71" i="1"/>
  <c r="N72" i="1"/>
  <c r="P72" i="1" s="1"/>
  <c r="R72" i="1" s="1"/>
  <c r="S72" i="1" s="1"/>
  <c r="M73" i="1"/>
  <c r="H73" i="1"/>
  <c r="L103" i="4" l="1"/>
  <c r="N102" i="4"/>
  <c r="P102" i="4" s="1"/>
  <c r="R102" i="4" s="1"/>
  <c r="T102" i="4" s="1"/>
  <c r="Z102" i="4"/>
  <c r="M76" i="4"/>
  <c r="P76" i="4" s="1"/>
  <c r="R76" i="4" s="1"/>
  <c r="T76" i="4" s="1"/>
  <c r="H76" i="4"/>
  <c r="W109" i="4"/>
  <c r="C103" i="4"/>
  <c r="U101" i="4"/>
  <c r="U102" i="4" s="1"/>
  <c r="M108" i="4"/>
  <c r="H109" i="4"/>
  <c r="U75" i="4"/>
  <c r="K109" i="4"/>
  <c r="AA91" i="3"/>
  <c r="L105" i="3"/>
  <c r="N104" i="3"/>
  <c r="H107" i="3"/>
  <c r="X107" i="3"/>
  <c r="M75" i="3"/>
  <c r="P75" i="3" s="1"/>
  <c r="S75" i="3" s="1"/>
  <c r="U75" i="3" s="1"/>
  <c r="H75" i="3"/>
  <c r="I102" i="3"/>
  <c r="M101" i="3"/>
  <c r="P101" i="3" s="1"/>
  <c r="S101" i="3" s="1"/>
  <c r="J105" i="3"/>
  <c r="K107" i="3"/>
  <c r="V74" i="3"/>
  <c r="V111" i="1"/>
  <c r="N103" i="1"/>
  <c r="S99" i="1"/>
  <c r="L104" i="1"/>
  <c r="T99" i="1"/>
  <c r="J101" i="1"/>
  <c r="M100" i="1"/>
  <c r="P100" i="1" s="1"/>
  <c r="R100" i="1" s="1"/>
  <c r="H109" i="1"/>
  <c r="N73" i="1"/>
  <c r="P73" i="1" s="1"/>
  <c r="R73" i="1" s="1"/>
  <c r="S73" i="1" s="1"/>
  <c r="T72" i="1"/>
  <c r="M74" i="1"/>
  <c r="H74" i="1"/>
  <c r="W110" i="4" l="1"/>
  <c r="H110" i="4"/>
  <c r="M109" i="4"/>
  <c r="K110" i="4"/>
  <c r="G104" i="4"/>
  <c r="F104" i="4"/>
  <c r="E104" i="4"/>
  <c r="D104" i="4"/>
  <c r="U76" i="4"/>
  <c r="U77" i="4" s="1"/>
  <c r="L104" i="4"/>
  <c r="N103" i="4"/>
  <c r="P103" i="4" s="1"/>
  <c r="R103" i="4" s="1"/>
  <c r="T103" i="4" s="1"/>
  <c r="Z103" i="4"/>
  <c r="C92" i="3"/>
  <c r="AA92" i="3" s="1"/>
  <c r="L106" i="3"/>
  <c r="N105" i="3"/>
  <c r="K108" i="3"/>
  <c r="M76" i="3"/>
  <c r="P76" i="3" s="1"/>
  <c r="S76" i="3" s="1"/>
  <c r="U76" i="3" s="1"/>
  <c r="H76" i="3"/>
  <c r="J106" i="3"/>
  <c r="X108" i="3"/>
  <c r="H108" i="3"/>
  <c r="V75" i="3"/>
  <c r="I103" i="3"/>
  <c r="M102" i="3"/>
  <c r="P102" i="3" s="1"/>
  <c r="S102" i="3" s="1"/>
  <c r="N104" i="1"/>
  <c r="V112" i="1"/>
  <c r="T100" i="1"/>
  <c r="L105" i="1"/>
  <c r="J102" i="1"/>
  <c r="M101" i="1"/>
  <c r="P101" i="1" s="1"/>
  <c r="R101" i="1" s="1"/>
  <c r="H110" i="1"/>
  <c r="N74" i="1"/>
  <c r="P74" i="1" s="1"/>
  <c r="R74" i="1" s="1"/>
  <c r="S74" i="1" s="1"/>
  <c r="T73" i="1"/>
  <c r="H75" i="1"/>
  <c r="M75" i="1"/>
  <c r="C104" i="4" l="1"/>
  <c r="U103" i="4"/>
  <c r="U104" i="4" s="1"/>
  <c r="H111" i="4"/>
  <c r="M110" i="4"/>
  <c r="L105" i="4"/>
  <c r="Z104" i="4"/>
  <c r="N104" i="4"/>
  <c r="P104" i="4" s="1"/>
  <c r="R104" i="4" s="1"/>
  <c r="T104" i="4" s="1"/>
  <c r="K111" i="4"/>
  <c r="W111" i="4"/>
  <c r="V76" i="3"/>
  <c r="V77" i="3" s="1"/>
  <c r="L107" i="3"/>
  <c r="N106" i="3"/>
  <c r="J107" i="3"/>
  <c r="H109" i="3"/>
  <c r="I104" i="3"/>
  <c r="M103" i="3"/>
  <c r="P103" i="3" s="1"/>
  <c r="S103" i="3" s="1"/>
  <c r="X109" i="3"/>
  <c r="K109" i="3"/>
  <c r="V113" i="1"/>
  <c r="N105" i="1"/>
  <c r="S100" i="1"/>
  <c r="S101" i="1"/>
  <c r="T101" i="1"/>
  <c r="L106" i="1"/>
  <c r="H111" i="1"/>
  <c r="J103" i="1"/>
  <c r="M102" i="1"/>
  <c r="P102" i="1" s="1"/>
  <c r="R102" i="1" s="1"/>
  <c r="T74" i="1"/>
  <c r="N75" i="1"/>
  <c r="P75" i="1" s="1"/>
  <c r="R75" i="1" s="1"/>
  <c r="H76" i="1"/>
  <c r="M76" i="1"/>
  <c r="W112" i="4" l="1"/>
  <c r="K112" i="4"/>
  <c r="M111" i="4"/>
  <c r="H112" i="4"/>
  <c r="M112" i="4" s="1"/>
  <c r="L106" i="4"/>
  <c r="N105" i="4"/>
  <c r="P105" i="4" s="1"/>
  <c r="R105" i="4" s="1"/>
  <c r="T105" i="4" s="1"/>
  <c r="G105" i="4"/>
  <c r="F105" i="4"/>
  <c r="E105" i="4"/>
  <c r="D105" i="4"/>
  <c r="C93" i="3"/>
  <c r="L108" i="3"/>
  <c r="N107" i="3"/>
  <c r="H110" i="3"/>
  <c r="K110" i="3"/>
  <c r="X110" i="3"/>
  <c r="I105" i="3"/>
  <c r="M104" i="3"/>
  <c r="P104" i="3" s="1"/>
  <c r="S104" i="3" s="1"/>
  <c r="J108" i="3"/>
  <c r="N106" i="1"/>
  <c r="V114" i="1"/>
  <c r="T102" i="1"/>
  <c r="L107" i="1"/>
  <c r="J104" i="1"/>
  <c r="M103" i="1"/>
  <c r="P103" i="1" s="1"/>
  <c r="R103" i="1" s="1"/>
  <c r="H112" i="1"/>
  <c r="S75" i="1"/>
  <c r="T75" i="1"/>
  <c r="N76" i="1"/>
  <c r="P76" i="1" s="1"/>
  <c r="R76" i="1" s="1"/>
  <c r="S76" i="1" s="1"/>
  <c r="M77" i="1"/>
  <c r="H77" i="1"/>
  <c r="L107" i="4" l="1"/>
  <c r="N106" i="4"/>
  <c r="P106" i="4" s="1"/>
  <c r="R106" i="4" s="1"/>
  <c r="T106" i="4" s="1"/>
  <c r="U105" i="4"/>
  <c r="U106" i="4" s="1"/>
  <c r="C105" i="4"/>
  <c r="AA93" i="3"/>
  <c r="C94" i="3"/>
  <c r="AA94" i="3" s="1"/>
  <c r="L109" i="3"/>
  <c r="N108" i="3"/>
  <c r="X111" i="3"/>
  <c r="K111" i="3"/>
  <c r="J109" i="3"/>
  <c r="H111" i="3"/>
  <c r="I106" i="3"/>
  <c r="M105" i="3"/>
  <c r="P105" i="3" s="1"/>
  <c r="S105" i="3" s="1"/>
  <c r="N107" i="1"/>
  <c r="S102" i="1"/>
  <c r="T103" i="1"/>
  <c r="L108" i="1"/>
  <c r="H113" i="1"/>
  <c r="J105" i="1"/>
  <c r="M104" i="1"/>
  <c r="P104" i="1" s="1"/>
  <c r="R104" i="1" s="1"/>
  <c r="N77" i="1"/>
  <c r="P77" i="1" s="1"/>
  <c r="R77" i="1" s="1"/>
  <c r="S77" i="1" s="1"/>
  <c r="T76" i="1"/>
  <c r="M78" i="1"/>
  <c r="H78" i="1"/>
  <c r="E106" i="4" l="1"/>
  <c r="D106" i="4"/>
  <c r="G106" i="4"/>
  <c r="F106" i="4"/>
  <c r="Z105" i="4"/>
  <c r="L108" i="4"/>
  <c r="N107" i="4"/>
  <c r="P107" i="4" s="1"/>
  <c r="R107" i="4" s="1"/>
  <c r="T107" i="4" s="1"/>
  <c r="L110" i="3"/>
  <c r="N109" i="3"/>
  <c r="J110" i="3"/>
  <c r="I107" i="3"/>
  <c r="M106" i="3"/>
  <c r="P106" i="3" s="1"/>
  <c r="S106" i="3" s="1"/>
  <c r="K112" i="3"/>
  <c r="H112" i="3"/>
  <c r="X112" i="3"/>
  <c r="N108" i="1"/>
  <c r="T104" i="1"/>
  <c r="S103" i="1"/>
  <c r="L109" i="1"/>
  <c r="J106" i="1"/>
  <c r="M105" i="1"/>
  <c r="P105" i="1" s="1"/>
  <c r="R105" i="1" s="1"/>
  <c r="H114" i="1"/>
  <c r="T77" i="1"/>
  <c r="N78" i="1"/>
  <c r="P78" i="1" s="1"/>
  <c r="C106" i="4" l="1"/>
  <c r="L109" i="4"/>
  <c r="N108" i="4"/>
  <c r="P108" i="4" s="1"/>
  <c r="R108" i="4" s="1"/>
  <c r="T108" i="4" s="1"/>
  <c r="U107" i="4"/>
  <c r="C95" i="3"/>
  <c r="AA95" i="3" s="1"/>
  <c r="L111" i="3"/>
  <c r="N110" i="3"/>
  <c r="I108" i="3"/>
  <c r="M107" i="3"/>
  <c r="P107" i="3" s="1"/>
  <c r="S107" i="3" s="1"/>
  <c r="J111" i="3"/>
  <c r="N109" i="1"/>
  <c r="S105" i="1"/>
  <c r="S104" i="1"/>
  <c r="L110" i="1"/>
  <c r="T105" i="1"/>
  <c r="J107" i="1"/>
  <c r="M106" i="1"/>
  <c r="P106" i="1" s="1"/>
  <c r="R106" i="1" s="1"/>
  <c r="R78" i="1"/>
  <c r="S78" i="1" s="1"/>
  <c r="P79" i="1"/>
  <c r="R79" i="1"/>
  <c r="U108" i="4" l="1"/>
  <c r="L110" i="4"/>
  <c r="N109" i="4"/>
  <c r="P109" i="4" s="1"/>
  <c r="R109" i="4" s="1"/>
  <c r="T109" i="4" s="1"/>
  <c r="G107" i="4"/>
  <c r="F107" i="4"/>
  <c r="E107" i="4"/>
  <c r="D107" i="4"/>
  <c r="Z106" i="4"/>
  <c r="L112" i="3"/>
  <c r="N112" i="3" s="1"/>
  <c r="N111" i="3"/>
  <c r="I109" i="3"/>
  <c r="M108" i="3"/>
  <c r="P108" i="3" s="1"/>
  <c r="S108" i="3" s="1"/>
  <c r="J112" i="3"/>
  <c r="N110" i="1"/>
  <c r="T106" i="1"/>
  <c r="L111" i="1"/>
  <c r="J108" i="1"/>
  <c r="M107" i="1"/>
  <c r="P107" i="1" s="1"/>
  <c r="R107" i="1" s="1"/>
  <c r="T78" i="1"/>
  <c r="T79" i="1" s="1"/>
  <c r="C107" i="4" l="1"/>
  <c r="L111" i="4"/>
  <c r="N110" i="4"/>
  <c r="P110" i="4" s="1"/>
  <c r="R110" i="4" s="1"/>
  <c r="T110" i="4" s="1"/>
  <c r="U109" i="4"/>
  <c r="C96" i="3"/>
  <c r="I110" i="3"/>
  <c r="M109" i="3"/>
  <c r="P109" i="3" s="1"/>
  <c r="S109" i="3" s="1"/>
  <c r="N111" i="1"/>
  <c r="S106" i="1"/>
  <c r="S107" i="1"/>
  <c r="L112" i="1"/>
  <c r="T107" i="1"/>
  <c r="J109" i="1"/>
  <c r="M108" i="1"/>
  <c r="P108" i="1" s="1"/>
  <c r="R108" i="1" s="1"/>
  <c r="L112" i="4" l="1"/>
  <c r="N111" i="4"/>
  <c r="P111" i="4" s="1"/>
  <c r="R111" i="4" s="1"/>
  <c r="T111" i="4" s="1"/>
  <c r="U110" i="4"/>
  <c r="U111" i="4" s="1"/>
  <c r="G108" i="4"/>
  <c r="F108" i="4"/>
  <c r="E108" i="4"/>
  <c r="D108" i="4"/>
  <c r="Z107" i="4"/>
  <c r="AA96" i="3"/>
  <c r="I111" i="3"/>
  <c r="M110" i="3"/>
  <c r="P110" i="3" s="1"/>
  <c r="S110" i="3" s="1"/>
  <c r="N112" i="1"/>
  <c r="L113" i="1"/>
  <c r="J110" i="1"/>
  <c r="M109" i="1"/>
  <c r="P109" i="1" s="1"/>
  <c r="R109" i="1" s="1"/>
  <c r="S108" i="1"/>
  <c r="T108" i="1"/>
  <c r="C108" i="4" l="1"/>
  <c r="N112" i="4"/>
  <c r="P112" i="4" s="1"/>
  <c r="C97" i="3"/>
  <c r="AA97" i="3" s="1"/>
  <c r="I112" i="3"/>
  <c r="M111" i="3"/>
  <c r="P111" i="3" s="1"/>
  <c r="S111" i="3" s="1"/>
  <c r="N113" i="1"/>
  <c r="S109" i="1"/>
  <c r="L114" i="1"/>
  <c r="J111" i="1"/>
  <c r="M110" i="1"/>
  <c r="P110" i="1" s="1"/>
  <c r="R110" i="1" s="1"/>
  <c r="R112" i="4" l="1"/>
  <c r="P113" i="4"/>
  <c r="E109" i="4"/>
  <c r="D109" i="4"/>
  <c r="F109" i="4"/>
  <c r="G109" i="4"/>
  <c r="Z108" i="4"/>
  <c r="M112" i="3"/>
  <c r="P112" i="3" s="1"/>
  <c r="N114" i="1"/>
  <c r="S110" i="1"/>
  <c r="T109" i="1"/>
  <c r="T110" i="1" s="1"/>
  <c r="J112" i="1"/>
  <c r="M111" i="1"/>
  <c r="P111" i="1" s="1"/>
  <c r="R111" i="1" s="1"/>
  <c r="C109" i="4" l="1"/>
  <c r="T112" i="4"/>
  <c r="R113" i="4"/>
  <c r="U112" i="4"/>
  <c r="U113" i="4" s="1"/>
  <c r="S112" i="3"/>
  <c r="S111" i="1"/>
  <c r="J113" i="1"/>
  <c r="M112" i="1"/>
  <c r="P112" i="1" s="1"/>
  <c r="R112" i="1" s="1"/>
  <c r="T111" i="1"/>
  <c r="G110" i="4" l="1"/>
  <c r="F110" i="4"/>
  <c r="D110" i="4"/>
  <c r="E110" i="4"/>
  <c r="Z109" i="4"/>
  <c r="AA98" i="3"/>
  <c r="S112" i="1"/>
  <c r="T112" i="1"/>
  <c r="J114" i="1"/>
  <c r="M113" i="1"/>
  <c r="P113" i="1" s="1"/>
  <c r="R113" i="1" s="1"/>
  <c r="C110" i="4" l="1"/>
  <c r="C99" i="3"/>
  <c r="M114" i="1"/>
  <c r="P114" i="1" s="1"/>
  <c r="R114" i="1" s="1"/>
  <c r="S114" i="1" s="1"/>
  <c r="P115" i="1"/>
  <c r="S113" i="1"/>
  <c r="T113" i="1"/>
  <c r="T114" i="1" s="1"/>
  <c r="T115" i="1" s="1"/>
  <c r="R115" i="1"/>
  <c r="C85" i="1"/>
  <c r="D86" i="1" s="1"/>
  <c r="G111" i="4" l="1"/>
  <c r="F111" i="4"/>
  <c r="E111" i="4"/>
  <c r="D111" i="4"/>
  <c r="Z110" i="4"/>
  <c r="AA99" i="3"/>
  <c r="Y85" i="1"/>
  <c r="AB85" i="1" s="1"/>
  <c r="G86" i="1"/>
  <c r="F86" i="1"/>
  <c r="E86" i="1"/>
  <c r="C111" i="4" l="1"/>
  <c r="C100" i="3"/>
  <c r="C86" i="1"/>
  <c r="F112" i="4" l="1"/>
  <c r="E112" i="4"/>
  <c r="D112" i="4"/>
  <c r="G112" i="4"/>
  <c r="Z111" i="4"/>
  <c r="AA100" i="3"/>
  <c r="Y86" i="1"/>
  <c r="AB86" i="1" s="1"/>
  <c r="E87" i="1"/>
  <c r="D87" i="1"/>
  <c r="G87" i="1"/>
  <c r="F87" i="1"/>
  <c r="C112" i="4" l="1"/>
  <c r="Z112" i="4" s="1"/>
  <c r="C101" i="3"/>
  <c r="C87" i="1"/>
  <c r="D88" i="1" s="1"/>
  <c r="AA101" i="3" l="1"/>
  <c r="Y87" i="1"/>
  <c r="AB87" i="1" s="1"/>
  <c r="E88" i="1"/>
  <c r="F88" i="1"/>
  <c r="G88" i="1"/>
  <c r="C102" i="3" l="1"/>
  <c r="C88" i="1"/>
  <c r="G89" i="1" s="1"/>
  <c r="E89" i="1"/>
  <c r="Y88" i="1"/>
  <c r="AB88" i="1" s="1"/>
  <c r="AA102" i="3" l="1"/>
  <c r="D89" i="1"/>
  <c r="F89" i="1"/>
  <c r="C89" i="1" s="1"/>
  <c r="C103" i="3" l="1"/>
  <c r="D90" i="1"/>
  <c r="Y89" i="1"/>
  <c r="AB89" i="1" s="1"/>
  <c r="E90" i="1"/>
  <c r="G90" i="1"/>
  <c r="F90" i="1"/>
  <c r="AA103" i="3" l="1"/>
  <c r="C104" i="3"/>
  <c r="C90" i="1"/>
  <c r="Y90" i="1" s="1"/>
  <c r="AA104" i="3" l="1"/>
  <c r="G91" i="1"/>
  <c r="F91" i="1"/>
  <c r="D91" i="1"/>
  <c r="E91" i="1"/>
  <c r="C105" i="3" l="1"/>
  <c r="AA105" i="3" s="1"/>
  <c r="C91" i="1"/>
  <c r="G92" i="1" s="1"/>
  <c r="C106" i="3" l="1"/>
  <c r="D92" i="1"/>
  <c r="F92" i="1"/>
  <c r="Y91" i="1"/>
  <c r="E92" i="1"/>
  <c r="AA106" i="3" l="1"/>
  <c r="C92" i="1"/>
  <c r="G93" i="1" s="1"/>
  <c r="C107" i="3" l="1"/>
  <c r="Y92" i="1"/>
  <c r="D93" i="1"/>
  <c r="E93" i="1"/>
  <c r="F93" i="1"/>
  <c r="AA107" i="3" l="1"/>
  <c r="C93" i="1"/>
  <c r="Y93" i="1" s="1"/>
  <c r="G94" i="1"/>
  <c r="E94" i="1"/>
  <c r="C108" i="3" l="1"/>
  <c r="D94" i="1"/>
  <c r="C94" i="1" s="1"/>
  <c r="F94" i="1"/>
  <c r="AA108" i="3" l="1"/>
  <c r="Y94" i="1"/>
  <c r="G95" i="1"/>
  <c r="F95" i="1"/>
  <c r="E95" i="1"/>
  <c r="D95" i="1"/>
  <c r="C109" i="3" l="1"/>
  <c r="C95" i="1"/>
  <c r="G96" i="1" s="1"/>
  <c r="AA109" i="3" l="1"/>
  <c r="Y95" i="1"/>
  <c r="D96" i="1"/>
  <c r="E96" i="1"/>
  <c r="F96" i="1"/>
  <c r="C110" i="3" l="1"/>
  <c r="C96" i="1"/>
  <c r="AA110" i="3" l="1"/>
  <c r="D97" i="1"/>
  <c r="G97" i="1"/>
  <c r="F97" i="1"/>
  <c r="Y96" i="1"/>
  <c r="E97" i="1"/>
  <c r="C111" i="3" l="1"/>
  <c r="AA111" i="3" s="1"/>
  <c r="C97" i="1"/>
  <c r="G98" i="1" l="1"/>
  <c r="E98" i="1"/>
  <c r="Y97" i="1"/>
  <c r="F98" i="1"/>
  <c r="D98" i="1"/>
  <c r="C112" i="3" l="1"/>
  <c r="AA112" i="3" s="1"/>
  <c r="C98" i="1"/>
  <c r="D99" i="1" l="1"/>
  <c r="Y98" i="1"/>
  <c r="G99" i="1"/>
  <c r="F99" i="1"/>
  <c r="E99" i="1"/>
  <c r="C99" i="1" l="1"/>
  <c r="F100" i="1" l="1"/>
  <c r="E100" i="1"/>
  <c r="Y99" i="1"/>
  <c r="D100" i="1"/>
  <c r="G100" i="1"/>
  <c r="C100" i="1" l="1"/>
  <c r="D101" i="1" l="1"/>
  <c r="F101" i="1"/>
  <c r="G101" i="1"/>
  <c r="E101" i="1"/>
  <c r="Y100" i="1"/>
  <c r="C101" i="1" l="1"/>
  <c r="Y101" i="1" l="1"/>
  <c r="F102" i="1"/>
  <c r="D102" i="1"/>
  <c r="G102" i="1"/>
  <c r="E102" i="1"/>
  <c r="C102" i="1" l="1"/>
  <c r="E103" i="1" s="1"/>
  <c r="D103" i="1" l="1"/>
  <c r="G103" i="1"/>
  <c r="Y102" i="1"/>
  <c r="F103" i="1"/>
  <c r="C103" i="1" l="1"/>
  <c r="Y103" i="1" s="1"/>
  <c r="F104" i="1" l="1"/>
  <c r="G104" i="1"/>
  <c r="D104" i="1"/>
  <c r="E104" i="1"/>
  <c r="C104" i="1" s="1"/>
  <c r="Y104" i="1" s="1"/>
  <c r="E105" i="1" l="1"/>
  <c r="F105" i="1"/>
  <c r="D105" i="1"/>
  <c r="G105" i="1"/>
  <c r="C105" i="1" l="1"/>
  <c r="Y105" i="1" s="1"/>
  <c r="E106" i="1" l="1"/>
  <c r="G106" i="1"/>
  <c r="D106" i="1"/>
  <c r="F106" i="1"/>
  <c r="C106" i="1" l="1"/>
  <c r="Y106" i="1" s="1"/>
  <c r="E107" i="1" l="1"/>
  <c r="D107" i="1"/>
  <c r="F107" i="1"/>
  <c r="G107" i="1"/>
  <c r="C107" i="1" l="1"/>
  <c r="F108" i="1" s="1"/>
  <c r="E108" i="1" l="1"/>
  <c r="C108" i="1" s="1"/>
  <c r="D108" i="1"/>
  <c r="G108" i="1"/>
  <c r="Y107" i="1"/>
  <c r="F109" i="1" l="1"/>
  <c r="Y108" i="1"/>
  <c r="G109" i="1"/>
  <c r="D109" i="1"/>
  <c r="E109" i="1"/>
  <c r="C109" i="1" l="1"/>
  <c r="Y109" i="1" s="1"/>
  <c r="D110" i="1"/>
  <c r="E110" i="1"/>
  <c r="F110" i="1" l="1"/>
  <c r="G110" i="1"/>
  <c r="C110" i="1"/>
  <c r="G111" i="1" s="1"/>
  <c r="F111" i="1" l="1"/>
  <c r="E111" i="1"/>
  <c r="D111" i="1"/>
  <c r="Y110" i="1"/>
  <c r="C111" i="1" l="1"/>
  <c r="F112" i="1" s="1"/>
  <c r="G112" i="1" l="1"/>
  <c r="Y111" i="1"/>
  <c r="E112" i="1"/>
  <c r="D112" i="1"/>
  <c r="C112" i="1" l="1"/>
  <c r="E113" i="1" s="1"/>
  <c r="D113" i="1" l="1"/>
  <c r="Y112" i="1"/>
  <c r="G113" i="1"/>
  <c r="F113" i="1"/>
  <c r="C113" i="1" l="1"/>
  <c r="F114" i="1" s="1"/>
  <c r="Y113" i="1"/>
  <c r="G114" i="1"/>
  <c r="D114" i="1"/>
  <c r="E114" i="1"/>
  <c r="C114" i="1"/>
  <c r="Y114" i="1" s="1"/>
  <c r="S88" i="3" l="1"/>
</calcChain>
</file>

<file path=xl/sharedStrings.xml><?xml version="1.0" encoding="utf-8"?>
<sst xmlns="http://schemas.openxmlformats.org/spreadsheetml/2006/main" count="483" uniqueCount="198">
  <si>
    <t>■ 기본 정보</t>
  </si>
  <si>
    <t>항목</t>
  </si>
  <si>
    <t>값</t>
  </si>
  <si>
    <t>비고</t>
  </si>
  <si>
    <t>생년월일</t>
  </si>
  <si>
    <t>연금 개시 나이</t>
  </si>
  <si>
    <t>예상 인플레이션</t>
  </si>
  <si>
    <t>연평균 실질 물가상승률</t>
  </si>
  <si>
    <t>■ 주거 조건</t>
  </si>
  <si>
    <t>금액</t>
  </si>
  <si>
    <t>아파트 공시가격</t>
  </si>
  <si>
    <t>주택담보대출</t>
  </si>
  <si>
    <t>대출 이자율</t>
  </si>
  <si>
    <t>연간 대출이자</t>
  </si>
  <si>
    <t>건보료 산정 재산</t>
  </si>
  <si>
    <t>부채 차감 후</t>
  </si>
  <si>
    <t>자산 구분</t>
  </si>
  <si>
    <t>원금</t>
  </si>
  <si>
    <t>연 수익률</t>
  </si>
  <si>
    <t>연 인출률</t>
  </si>
  <si>
    <t>변액유니버셜보험</t>
  </si>
  <si>
    <t>비과세</t>
  </si>
  <si>
    <t>연금소득세</t>
  </si>
  <si>
    <t>퇴직연금</t>
  </si>
  <si>
    <t>사적연금 합계</t>
  </si>
  <si>
    <t>■ 국민연금 정보</t>
  </si>
  <si>
    <t>수령 시기</t>
  </si>
  <si>
    <t>개시 나이</t>
  </si>
  <si>
    <t>월 수령액</t>
  </si>
  <si>
    <t>연 수령액</t>
  </si>
  <si>
    <t>조정률</t>
  </si>
  <si>
    <t>조기수령</t>
  </si>
  <si>
    <t>정상수령</t>
  </si>
  <si>
    <t>연차</t>
  </si>
  <si>
    <t>나이</t>
  </si>
  <si>
    <t>변액보험잔액</t>
  </si>
  <si>
    <t>연금저축잔액</t>
  </si>
  <si>
    <t>퇴직연금잔액</t>
  </si>
  <si>
    <t>사적연금수령</t>
  </si>
  <si>
    <t>국민연금</t>
  </si>
  <si>
    <t>구매력지수</t>
  </si>
  <si>
    <t>누적실질총액</t>
  </si>
  <si>
    <t>세금 및 건강보험료 상세 분석</t>
  </si>
  <si>
    <r>
      <rPr>
        <b/>
        <sz val="11"/>
        <color rgb="FFFF0000"/>
        <rFont val="Noto Sans CJK SC"/>
        <family val="2"/>
      </rPr>
      <t xml:space="preserve">■ 시나리오별 연간 평균 수령액 </t>
    </r>
    <r>
      <rPr>
        <b/>
        <sz val="11"/>
        <color rgb="FFFF0000"/>
        <rFont val="Cambria"/>
        <family val="1"/>
      </rPr>
      <t>(1</t>
    </r>
    <r>
      <rPr>
        <b/>
        <sz val="11"/>
        <color rgb="FFFF0000"/>
        <rFont val="Noto Sans CJK SC"/>
        <family val="2"/>
      </rPr>
      <t>년차 기준</t>
    </r>
    <r>
      <rPr>
        <b/>
        <sz val="11"/>
        <color rgb="FFFF0000"/>
        <rFont val="Cambria"/>
        <family val="1"/>
      </rPr>
      <t>)</t>
    </r>
  </si>
  <si>
    <t>시나리오</t>
  </si>
  <si>
    <t>사적연금</t>
  </si>
  <si>
    <r>
      <rPr>
        <b/>
        <sz val="11"/>
        <rFont val="Cambria"/>
        <family val="1"/>
      </rPr>
      <t>ISA</t>
    </r>
    <r>
      <rPr>
        <b/>
        <sz val="11"/>
        <rFont val="Noto Sans CJK SC"/>
        <family val="2"/>
      </rPr>
      <t>배당</t>
    </r>
  </si>
  <si>
    <t>총 수령액</t>
  </si>
  <si>
    <r>
      <rPr>
        <sz val="11"/>
        <color theme="1"/>
        <rFont val="Noto Sans CJK SC"/>
        <family val="2"/>
      </rPr>
      <t>시나리오</t>
    </r>
    <r>
      <rPr>
        <sz val="11"/>
        <color theme="1"/>
        <rFont val="Calibri"/>
        <family val="2"/>
        <charset val="1"/>
      </rPr>
      <t>1 (59</t>
    </r>
    <r>
      <rPr>
        <sz val="11"/>
        <color theme="1"/>
        <rFont val="Noto Sans CJK SC"/>
        <family val="2"/>
      </rPr>
      <t>세 조기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</si>
  <si>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시나리오</t>
    </r>
    <r>
      <rPr>
        <sz val="11"/>
        <color theme="1"/>
        <rFont val="Calibri"/>
        <family val="2"/>
        <charset val="1"/>
      </rPr>
      <t>2-1 (59~62</t>
    </r>
    <r>
      <rPr>
        <sz val="11"/>
        <color theme="1"/>
        <rFont val="Noto Sans CJK SC"/>
        <family val="2"/>
      </rPr>
      <t>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</si>
  <si>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시나리오</t>
    </r>
    <r>
      <rPr>
        <sz val="11"/>
        <color theme="1"/>
        <rFont val="Calibri"/>
        <family val="2"/>
        <charset val="1"/>
      </rPr>
      <t>2-2 (63</t>
    </r>
    <r>
      <rPr>
        <sz val="11"/>
        <color theme="1"/>
        <rFont val="Noto Sans CJK SC"/>
        <family val="2"/>
      </rPr>
      <t>세</t>
    </r>
    <r>
      <rPr>
        <sz val="11"/>
        <color theme="1"/>
        <rFont val="Calibri"/>
        <family val="2"/>
        <charset val="1"/>
      </rPr>
      <t>~)</t>
    </r>
  </si>
  <si>
    <t>■ 세금 상세</t>
  </si>
  <si>
    <t>사적연금소득</t>
  </si>
  <si>
    <t>국민연금소득</t>
  </si>
  <si>
    <t>연금소득합계</t>
  </si>
  <si>
    <r>
      <rPr>
        <b/>
        <sz val="11"/>
        <rFont val="Cambria"/>
        <family val="1"/>
      </rPr>
      <t>ISA</t>
    </r>
    <r>
      <rPr>
        <b/>
        <sz val="11"/>
        <rFont val="Noto Sans CJK SC"/>
        <family val="2"/>
      </rPr>
      <t>배당세</t>
    </r>
  </si>
  <si>
    <t>총세금</t>
  </si>
  <si>
    <t>실효세율</t>
  </si>
  <si>
    <r>
      <rPr>
        <b/>
        <sz val="11"/>
        <color rgb="FFFF0000"/>
        <rFont val="Noto Sans CJK SC"/>
        <family val="2"/>
      </rPr>
      <t xml:space="preserve">■ 건강보험료 </t>
    </r>
    <r>
      <rPr>
        <b/>
        <sz val="11"/>
        <color rgb="FFFF0000"/>
        <rFont val="Cambria"/>
        <family val="1"/>
      </rPr>
      <t>(</t>
    </r>
    <r>
      <rPr>
        <b/>
        <sz val="11"/>
        <color rgb="FFFF0000"/>
        <rFont val="Noto Sans CJK SC"/>
        <family val="2"/>
      </rPr>
      <t>아파트 보유 조건</t>
    </r>
    <r>
      <rPr>
        <b/>
        <sz val="11"/>
        <color rgb="FFFF0000"/>
        <rFont val="Cambria"/>
        <family val="1"/>
      </rPr>
      <t>)</t>
    </r>
  </si>
  <si>
    <t>재산 항목</t>
  </si>
  <si>
    <t>아파트 공시가</t>
  </si>
  <si>
    <t>주담대</t>
  </si>
  <si>
    <r>
      <rPr>
        <sz val="11"/>
        <color theme="1"/>
        <rFont val="Noto Sans CJK SC"/>
        <family val="2"/>
      </rPr>
      <t xml:space="preserve">순재산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건보료 산정</t>
    </r>
    <r>
      <rPr>
        <sz val="11"/>
        <color theme="1"/>
        <rFont val="Calibri"/>
        <family val="2"/>
        <charset val="1"/>
      </rPr>
      <t>)</t>
    </r>
  </si>
  <si>
    <t>연금소득</t>
  </si>
  <si>
    <t>소득보험료</t>
  </si>
  <si>
    <t>재산보험료</t>
  </si>
  <si>
    <t>자동차</t>
  </si>
  <si>
    <t>월건보료</t>
  </si>
  <si>
    <t>연건보료</t>
  </si>
  <si>
    <r>
      <rPr>
        <b/>
        <sz val="11"/>
        <color rgb="FF0000FF"/>
        <rFont val="Noto Sans CJK SC"/>
        <family val="2"/>
      </rPr>
      <t xml:space="preserve">■ 최종 실수령액 </t>
    </r>
    <r>
      <rPr>
        <b/>
        <sz val="11"/>
        <color rgb="FF0000FF"/>
        <rFont val="Cambria"/>
        <family val="1"/>
      </rPr>
      <t>(</t>
    </r>
    <r>
      <rPr>
        <b/>
        <sz val="11"/>
        <color rgb="FF0000FF"/>
        <rFont val="Noto Sans CJK SC"/>
        <family val="2"/>
      </rPr>
      <t>연간</t>
    </r>
    <r>
      <rPr>
        <b/>
        <sz val="11"/>
        <color rgb="FF0000FF"/>
        <rFont val="Cambria"/>
        <family val="1"/>
      </rPr>
      <t>)</t>
    </r>
  </si>
  <si>
    <t>총소득</t>
  </si>
  <si>
    <t>세금</t>
  </si>
  <si>
    <t>건보료</t>
  </si>
  <si>
    <t>대출이자</t>
  </si>
  <si>
    <t>총부담</t>
  </si>
  <si>
    <t>실수령</t>
  </si>
  <si>
    <t>월실수령</t>
  </si>
  <si>
    <t>부담률</t>
  </si>
  <si>
    <t>■ 배우자 과세 및 건보료</t>
  </si>
  <si>
    <r>
      <rPr>
        <b/>
        <sz val="11"/>
        <rFont val="Noto Sans CJK SC"/>
        <family val="2"/>
      </rPr>
      <t>세금</t>
    </r>
    <r>
      <rPr>
        <b/>
        <sz val="11"/>
        <rFont val="Cambria"/>
        <family val="1"/>
      </rPr>
      <t>/</t>
    </r>
    <r>
      <rPr>
        <b/>
        <sz val="11"/>
        <rFont val="Noto Sans CJK SC"/>
        <family val="2"/>
      </rPr>
      <t>건보료</t>
    </r>
  </si>
  <si>
    <r>
      <rPr>
        <sz val="11"/>
        <color theme="1"/>
        <rFont val="Noto Sans CJK SC"/>
        <family val="2"/>
      </rPr>
      <t xml:space="preserve">배우자 </t>
    </r>
    <r>
      <rPr>
        <sz val="11"/>
        <color theme="1"/>
        <rFont val="Calibri"/>
        <family val="2"/>
        <charset val="1"/>
      </rPr>
      <t xml:space="preserve">ISA </t>
    </r>
    <r>
      <rPr>
        <sz val="11"/>
        <color theme="1"/>
        <rFont val="Noto Sans CJK SC"/>
        <family val="2"/>
      </rPr>
      <t>배당</t>
    </r>
  </si>
  <si>
    <r>
      <rPr>
        <sz val="11"/>
        <color theme="1"/>
        <rFont val="Noto Sans CJK SC"/>
        <family val="2"/>
      </rPr>
      <t xml:space="preserve">배당세 </t>
    </r>
    <r>
      <rPr>
        <sz val="11"/>
        <color theme="1"/>
        <rFont val="Calibri"/>
        <family val="2"/>
        <charset val="1"/>
      </rPr>
      <t>9.9%</t>
    </r>
  </si>
  <si>
    <t>배우자 피부양자 여부</t>
  </si>
  <si>
    <t>탈락 가능성 높음</t>
  </si>
  <si>
    <t>별도 건보료 발생</t>
  </si>
  <si>
    <r>
      <rPr>
        <sz val="11"/>
        <color theme="1"/>
        <rFont val="Noto Sans CJK SC"/>
        <family val="2"/>
      </rPr>
      <t xml:space="preserve">순재산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억 </t>
    </r>
    <r>
      <rPr>
        <sz val="11"/>
        <color theme="1"/>
        <rFont val="Calibri"/>
        <family val="2"/>
        <charset val="1"/>
      </rPr>
      <t>&lt; 5.4</t>
    </r>
    <r>
      <rPr>
        <sz val="11"/>
        <color theme="1"/>
        <rFont val="Noto Sans CJK SC"/>
        <family val="2"/>
      </rPr>
      <t xml:space="preserve">억이나 </t>
    </r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Noto Sans CJK SC"/>
        <family val="2"/>
      </rPr>
      <t>억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대출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억도 체크</t>
    </r>
  </si>
  <si>
    <r>
      <rPr>
        <b/>
        <sz val="11"/>
        <color rgb="FFFF0000"/>
        <rFont val="Noto Sans CJK SC"/>
        <family val="2"/>
      </rPr>
      <t>⚠️ 중요</t>
    </r>
    <r>
      <rPr>
        <b/>
        <sz val="11"/>
        <color rgb="FFFF0000"/>
        <rFont val="Cambria"/>
        <family val="1"/>
      </rPr>
      <t xml:space="preserve">: </t>
    </r>
    <r>
      <rPr>
        <b/>
        <sz val="11"/>
        <color rgb="FFFF0000"/>
        <rFont val="Noto Sans CJK SC"/>
        <family val="2"/>
      </rPr>
      <t xml:space="preserve">아파트 공시가 </t>
    </r>
    <r>
      <rPr>
        <b/>
        <sz val="11"/>
        <color rgb="FFFF0000"/>
        <rFont val="Cambria"/>
        <family val="1"/>
      </rPr>
      <t>6</t>
    </r>
    <r>
      <rPr>
        <b/>
        <sz val="11"/>
        <color rgb="FFFF0000"/>
        <rFont val="Noto Sans CJK SC"/>
        <family val="2"/>
      </rPr>
      <t>억원인 경우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</si>
  <si>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순재산 </t>
    </r>
    <r>
      <rPr>
        <sz val="11"/>
        <color theme="1"/>
        <rFont val="Calibri"/>
        <family val="2"/>
        <charset val="1"/>
      </rPr>
      <t>= 6</t>
    </r>
    <r>
      <rPr>
        <sz val="11"/>
        <color theme="1"/>
        <rFont val="Noto Sans CJK SC"/>
        <family val="2"/>
      </rPr>
      <t xml:space="preserve">억 </t>
    </r>
    <r>
      <rPr>
        <sz val="11"/>
        <color theme="1"/>
        <rFont val="Calibri"/>
        <family val="2"/>
        <charset val="1"/>
      </rPr>
      <t>- 2</t>
    </r>
    <r>
      <rPr>
        <sz val="11"/>
        <color theme="1"/>
        <rFont val="Noto Sans CJK SC"/>
        <family val="2"/>
      </rPr>
      <t xml:space="preserve">억 </t>
    </r>
    <r>
      <rPr>
        <sz val="11"/>
        <color theme="1"/>
        <rFont val="Calibri"/>
        <family val="2"/>
        <charset val="1"/>
      </rPr>
      <t>= 4</t>
    </r>
    <r>
      <rPr>
        <sz val="11"/>
        <color theme="1"/>
        <rFont val="Noto Sans CJK SC"/>
        <family val="2"/>
      </rPr>
      <t>억원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</si>
  <si>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피부양자 기준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재산 </t>
    </r>
    <r>
      <rPr>
        <sz val="11"/>
        <color theme="1"/>
        <rFont val="Calibri"/>
        <family val="2"/>
        <charset val="1"/>
      </rPr>
      <t>5.4</t>
    </r>
    <r>
      <rPr>
        <sz val="11"/>
        <color theme="1"/>
        <rFont val="Noto Sans CJK SC"/>
        <family val="2"/>
      </rPr>
      <t>억원 이하</t>
    </r>
  </si>
  <si>
    <r>
      <rPr>
        <sz val="11"/>
        <color theme="1"/>
        <rFont val="Calibri"/>
        <family val="2"/>
        <charset val="1"/>
      </rPr>
      <t>→ 4</t>
    </r>
    <r>
      <rPr>
        <sz val="11"/>
        <color theme="1"/>
        <rFont val="Noto Sans CJK SC"/>
        <family val="2"/>
      </rPr>
      <t xml:space="preserve">억 </t>
    </r>
    <r>
      <rPr>
        <sz val="11"/>
        <color theme="1"/>
        <rFont val="Calibri"/>
        <family val="2"/>
        <charset val="1"/>
      </rPr>
      <t>&lt; 5.4</t>
    </r>
    <r>
      <rPr>
        <sz val="11"/>
        <color theme="1"/>
        <rFont val="Noto Sans CJK SC"/>
        <family val="2"/>
      </rPr>
      <t>억이므로 배우자 피부양자 등록 가능 ✅</t>
    </r>
  </si>
  <si>
    <r>
      <rPr>
        <sz val="11"/>
        <color theme="1"/>
        <rFont val="Noto Sans CJK SC"/>
        <family val="2"/>
      </rPr>
      <t xml:space="preserve">→ 배우자 건보료 </t>
    </r>
    <r>
      <rPr>
        <sz val="11"/>
        <color theme="1"/>
        <rFont val="Calibri"/>
        <family val="2"/>
        <charset val="1"/>
      </rPr>
      <t>0</t>
    </r>
    <r>
      <rPr>
        <sz val="11"/>
        <color theme="1"/>
        <rFont val="Noto Sans CJK SC"/>
        <family val="2"/>
      </rPr>
      <t xml:space="preserve">원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단</t>
    </r>
    <r>
      <rPr>
        <sz val="11"/>
        <color theme="1"/>
        <rFont val="Calibri"/>
        <family val="2"/>
        <charset val="1"/>
      </rPr>
      <t xml:space="preserve">, ISA </t>
    </r>
    <r>
      <rPr>
        <sz val="11"/>
        <color theme="1"/>
        <rFont val="Noto Sans CJK SC"/>
        <family val="2"/>
      </rPr>
      <t>배당세는 별도</t>
    </r>
    <r>
      <rPr>
        <sz val="11"/>
        <color theme="1"/>
        <rFont val="Calibri"/>
        <family val="2"/>
        <charset val="1"/>
      </rPr>
      <t>)</t>
    </r>
  </si>
  <si>
    <t>경제활동</t>
    <phoneticPr fontId="11" type="noConversion"/>
  </si>
  <si>
    <t>58세까지</t>
    <phoneticPr fontId="11" type="noConversion"/>
  </si>
  <si>
    <t>종합 연금 수령 시뮬레이션 (만 59세 개시, 아파트 보유)</t>
  </si>
  <si>
    <t>1973년생</t>
  </si>
  <si>
    <t>만 59세</t>
  </si>
  <si>
    <t>2032년 시작</t>
  </si>
  <si>
    <t>2억원</t>
  </si>
  <si>
    <t>연 4%</t>
  </si>
  <si>
    <t>30년 상환 가정</t>
  </si>
  <si>
    <t>■ 자산 원금 및 운용 방식 (만 59세 개시일 기준)</t>
  </si>
  <si>
    <t>연금저축+IRP</t>
  </si>
  <si>
    <t>3억원</t>
  </si>
  <si>
    <t>ISA 배당주 (본인)</t>
  </si>
  <si>
    <t>분리과세 9.9%</t>
  </si>
  <si>
    <t>ISA 배당주 (배우자)</t>
  </si>
  <si>
    <t>ISA 합계</t>
  </si>
  <si>
    <t>총 2억원</t>
  </si>
  <si>
    <t>■ 시나리오 1: 59세 조기 국민연금 - 연도별 상세</t>
  </si>
  <si>
    <t>ISA배당</t>
  </si>
  <si>
    <t>총수령액(명목)</t>
  </si>
  <si>
    <t>총수령액(실질)</t>
  </si>
  <si>
    <t>25년 합계</t>
  </si>
  <si>
    <t>■ 시나리오 2: 63세 정상 국민연금 - 연도별 상세</t>
  </si>
  <si>
    <t>연금 인출율</t>
    <phoneticPr fontId="11" type="noConversion"/>
  </si>
  <si>
    <t>ISA 배당률</t>
    <phoneticPr fontId="11" type="noConversion"/>
  </si>
  <si>
    <t>ISA 수익률</t>
    <phoneticPr fontId="11" type="noConversion"/>
  </si>
  <si>
    <t>KRQT</t>
    <phoneticPr fontId="11" type="noConversion"/>
  </si>
  <si>
    <t>투자 총액</t>
    <phoneticPr fontId="11" type="noConversion"/>
  </si>
  <si>
    <t>Crypto</t>
    <phoneticPr fontId="11" type="noConversion"/>
  </si>
  <si>
    <t>연금운용 연수익율</t>
    <phoneticPr fontId="11" type="noConversion"/>
  </si>
  <si>
    <t>KR</t>
    <phoneticPr fontId="11" type="noConversion"/>
  </si>
  <si>
    <t>KR 수익</t>
    <phoneticPr fontId="11" type="noConversion"/>
  </si>
  <si>
    <t>US수익</t>
    <phoneticPr fontId="11" type="noConversion"/>
  </si>
  <si>
    <t>Global</t>
    <phoneticPr fontId="11" type="noConversion"/>
  </si>
  <si>
    <t>Alternative</t>
    <phoneticPr fontId="11" type="noConversion"/>
  </si>
  <si>
    <t>공격투자총액</t>
    <phoneticPr fontId="11" type="noConversion"/>
  </si>
  <si>
    <t>윤저축</t>
    <phoneticPr fontId="11" type="noConversion"/>
  </si>
  <si>
    <t>내 계좌에서</t>
    <phoneticPr fontId="11" type="noConversion"/>
  </si>
  <si>
    <t>윤숙 계좌에서</t>
    <phoneticPr fontId="11" type="noConversion"/>
  </si>
  <si>
    <t>자산합계</t>
    <phoneticPr fontId="11" type="noConversion"/>
  </si>
  <si>
    <t>주택금액</t>
    <phoneticPr fontId="11" type="noConversion"/>
  </si>
  <si>
    <t>아이들 증여</t>
    <phoneticPr fontId="11" type="noConversion"/>
  </si>
  <si>
    <t>주택가격</t>
    <phoneticPr fontId="11" type="noConversion"/>
  </si>
  <si>
    <t>청약저축</t>
    <phoneticPr fontId="11" type="noConversion"/>
  </si>
  <si>
    <t>KR투자금</t>
    <phoneticPr fontId="11" type="noConversion"/>
  </si>
  <si>
    <t>CR투자금</t>
    <phoneticPr fontId="11" type="noConversion"/>
  </si>
  <si>
    <t>US투자금</t>
    <phoneticPr fontId="11" type="noConversion"/>
  </si>
  <si>
    <t>6억원(6.5억원)</t>
    <phoneticPr fontId="11" type="noConversion"/>
  </si>
  <si>
    <t>아이들</t>
    <phoneticPr fontId="11" type="noConversion"/>
  </si>
  <si>
    <t>전세자금</t>
    <phoneticPr fontId="11" type="noConversion"/>
  </si>
  <si>
    <t>사적저축잔액</t>
    <phoneticPr fontId="11" type="noConversion"/>
  </si>
  <si>
    <t>ISA본인</t>
    <phoneticPr fontId="11" type="noConversion"/>
  </si>
  <si>
    <t>ISA배우자</t>
    <phoneticPr fontId="11" type="noConversion"/>
  </si>
  <si>
    <t>연금ISA수령액(명목)</t>
    <phoneticPr fontId="11" type="noConversion"/>
  </si>
  <si>
    <t>부족 생활자금</t>
    <phoneticPr fontId="11" type="noConversion"/>
  </si>
  <si>
    <t>부부 각각 1억씩 중여</t>
    <phoneticPr fontId="11" type="noConversion"/>
  </si>
  <si>
    <t>희망퇴직+실업급여</t>
    <phoneticPr fontId="11" type="noConversion"/>
  </si>
  <si>
    <t>희망퇴직+실업급여 잔여 일부 0.4억</t>
    <phoneticPr fontId="11" type="noConversion"/>
  </si>
  <si>
    <t>부부 각각 5억씩</t>
    <phoneticPr fontId="11" type="noConversion"/>
  </si>
  <si>
    <t>증여세 1.8억</t>
    <phoneticPr fontId="11" type="noConversion"/>
  </si>
  <si>
    <t>5억씩</t>
    <phoneticPr fontId="11" type="noConversion"/>
  </si>
  <si>
    <t>증여세 0.9억</t>
    <phoneticPr fontId="11" type="noConversion"/>
  </si>
  <si>
    <t>2026년 만 53세</t>
    <phoneticPr fontId="11" type="noConversion"/>
  </si>
  <si>
    <t>2026. 53</t>
    <phoneticPr fontId="11" type="noConversion"/>
  </si>
  <si>
    <t>Global수익</t>
    <phoneticPr fontId="11" type="noConversion"/>
  </si>
  <si>
    <t>Pension</t>
    <phoneticPr fontId="11" type="noConversion"/>
  </si>
  <si>
    <t>■ 시나리오 2: 65세 정상 국민연금 - 연도별 상세</t>
    <phoneticPr fontId="11" type="noConversion"/>
  </si>
  <si>
    <t>대출</t>
    <phoneticPr fontId="11" type="noConversion"/>
  </si>
  <si>
    <t>저축</t>
    <phoneticPr fontId="11" type="noConversion"/>
  </si>
  <si>
    <t>비고</t>
    <phoneticPr fontId="11" type="noConversion"/>
  </si>
  <si>
    <t>희망퇴직금+실업급여</t>
    <phoneticPr fontId="11" type="noConversion"/>
  </si>
  <si>
    <t>희망퇴직+실업급여+연금</t>
    <phoneticPr fontId="11" type="noConversion"/>
  </si>
  <si>
    <t>ISA (본인)</t>
    <phoneticPr fontId="11" type="noConversion"/>
  </si>
  <si>
    <t>ISA (배우자)</t>
    <phoneticPr fontId="11" type="noConversion"/>
  </si>
  <si>
    <t>ISA수령</t>
    <phoneticPr fontId="11" type="noConversion"/>
  </si>
  <si>
    <t>2030. 57</t>
    <phoneticPr fontId="11" type="noConversion"/>
  </si>
  <si>
    <t>2038. 65</t>
    <phoneticPr fontId="11" type="noConversion"/>
  </si>
  <si>
    <t xml:space="preserve">2년 조기 수령 </t>
    <phoneticPr fontId="11" type="noConversion"/>
  </si>
  <si>
    <t xml:space="preserve">62세까지 납입 </t>
    <phoneticPr fontId="11" type="noConversion"/>
  </si>
  <si>
    <t>윤숙</t>
    <phoneticPr fontId="11" type="noConversion"/>
  </si>
  <si>
    <t>5억</t>
    <phoneticPr fontId="11" type="noConversion"/>
  </si>
  <si>
    <t>2042. 69</t>
    <phoneticPr fontId="11" type="noConversion"/>
  </si>
  <si>
    <t>5억 중여</t>
    <phoneticPr fontId="11" type="noConversion"/>
  </si>
  <si>
    <t>58세부터 10년간 연금 수령</t>
    <phoneticPr fontId="11" type="noConversion"/>
  </si>
  <si>
    <t>ISA는 배당 아닌 커버드콜로 세금 절세</t>
    <phoneticPr fontId="11" type="noConversion"/>
  </si>
  <si>
    <t>2030. 57 10월퇴사</t>
    <phoneticPr fontId="11" type="noConversion"/>
  </si>
  <si>
    <t>58 연금수령 시작</t>
    <phoneticPr fontId="11" type="noConversion"/>
  </si>
  <si>
    <t>2038. 65 국민연금시작</t>
    <phoneticPr fontId="11" type="noConversion"/>
  </si>
  <si>
    <t>실업급여 26기준</t>
    <phoneticPr fontId="11" type="noConversion"/>
  </si>
  <si>
    <t>일</t>
    <phoneticPr fontId="11" type="noConversion"/>
  </si>
  <si>
    <t>월</t>
    <phoneticPr fontId="11" type="noConversion"/>
  </si>
  <si>
    <t>기간</t>
    <phoneticPr fontId="11" type="noConversion"/>
  </si>
  <si>
    <t>필요금액총액</t>
    <phoneticPr fontId="11" type="noConversion"/>
  </si>
  <si>
    <t>희망+실업+연금+4천증여+여행4천</t>
    <phoneticPr fontId="11" type="noConversion"/>
  </si>
  <si>
    <t>희망+실업+연금+여행4천</t>
    <phoneticPr fontId="11" type="noConversion"/>
  </si>
  <si>
    <t>생활비구매력</t>
    <phoneticPr fontId="11" type="noConversion"/>
  </si>
  <si>
    <t>여행3천+5억증여(세금0.9,실제4.1)</t>
    <phoneticPr fontId="11" type="noConversion"/>
  </si>
  <si>
    <t>여행4천</t>
    <phoneticPr fontId="11" type="noConversion"/>
  </si>
  <si>
    <t xml:space="preserve">수령 </t>
    <phoneticPr fontId="11" type="noConversion"/>
  </si>
  <si>
    <t>연금ISA수령액</t>
    <phoneticPr fontId="11" type="noConversion"/>
  </si>
  <si>
    <t>희망+실급</t>
    <phoneticPr fontId="11" type="noConversion"/>
  </si>
  <si>
    <t>여행5천</t>
    <phoneticPr fontId="11" type="noConversion"/>
  </si>
  <si>
    <t>여행6천</t>
    <phoneticPr fontId="11" type="noConversion"/>
  </si>
  <si>
    <t>2억</t>
    <phoneticPr fontId="11" type="noConversion"/>
  </si>
  <si>
    <t>증여세 0.4억</t>
    <phoneticPr fontId="11" type="noConversion"/>
  </si>
  <si>
    <t>여행4천+2억증여</t>
    <phoneticPr fontId="11" type="noConversion"/>
  </si>
  <si>
    <t>여행4천+5억증여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</si>
</sst>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"/>
    <numFmt numFmtId="177" formatCode="0.0%"/>
    <numFmt numFmtId="186" formatCode="#,##0_);[Red]\(#,##0\)"/>
  </numFmts>
  <fonts count="25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FFFFFF"/>
      <name val="Noto Sans CJK SC"/>
      <family val="2"/>
    </font>
    <font>
      <b/>
      <sz val="11"/>
      <color rgb="FFFF0000"/>
      <name val="Noto Sans CJK SC"/>
      <family val="2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color rgb="FFFF0000"/>
      <name val="Cambria"/>
      <family val="1"/>
    </font>
    <font>
      <b/>
      <sz val="11"/>
      <name val="Cambria"/>
      <family val="1"/>
    </font>
    <font>
      <b/>
      <sz val="11"/>
      <color rgb="FFFFFFFF"/>
      <name val="Noto Sans CJK SC"/>
      <family val="2"/>
    </font>
    <font>
      <b/>
      <sz val="11"/>
      <color rgb="FF0000FF"/>
      <name val="Noto Sans CJK SC"/>
      <family val="2"/>
    </font>
    <font>
      <b/>
      <sz val="11"/>
      <color rgb="FF0000FF"/>
      <name val="Cambria"/>
      <family val="1"/>
    </font>
    <font>
      <sz val="8"/>
      <name val="돋움"/>
      <family val="3"/>
      <charset val="129"/>
    </font>
    <font>
      <sz val="10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10"/>
      <color theme="1"/>
      <name val="Noto Sans KR"/>
      <family val="3"/>
      <charset val="129"/>
    </font>
    <font>
      <b/>
      <sz val="10"/>
      <color rgb="FFFF0000"/>
      <name val="Noto Sans KR"/>
      <family val="3"/>
      <charset val="129"/>
    </font>
    <font>
      <b/>
      <sz val="10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b/>
      <sz val="10"/>
      <color theme="0"/>
      <name val="Noto Sans KR"/>
      <family val="3"/>
      <charset val="129"/>
    </font>
    <font>
      <sz val="10"/>
      <name val="Arial"/>
      <family val="2"/>
    </font>
    <font>
      <sz val="10"/>
      <color rgb="FFFF0000"/>
      <name val="Noto Sans KR"/>
      <family val="3"/>
      <charset val="129"/>
    </font>
    <font>
      <sz val="11"/>
      <color theme="1"/>
      <name val="Calibri"/>
      <family val="2"/>
      <charset val="1"/>
    </font>
    <font>
      <sz val="10"/>
      <color rgb="FF1F1F1F"/>
      <name val="Arial"/>
      <family val="2"/>
    </font>
    <font>
      <sz val="10"/>
      <color rgb="FF0070C0"/>
      <name val="Noto Sans KR"/>
      <family val="3"/>
      <charset val="129"/>
    </font>
    <font>
      <sz val="10"/>
      <color rgb="FF00B050"/>
      <name val="Noto Sans KR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3D3D3"/>
        <bgColor rgb="FFC0C0C0"/>
      </patternFill>
    </fill>
    <fill>
      <patternFill patternType="solid">
        <fgColor rgb="FF0070C0"/>
        <bgColor rgb="FF008080"/>
      </patternFill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33996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DE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rgb="FF339966"/>
      </patternFill>
    </fill>
    <fill>
      <patternFill patternType="solid">
        <fgColor theme="7" tint="0.39997558519241921"/>
        <bgColor rgb="FF339966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3">
    <xf numFmtId="0" fontId="0" fillId="0" borderId="0"/>
    <xf numFmtId="9" fontId="1" fillId="0" borderId="0" applyBorder="0" applyAlignment="0" applyProtection="0"/>
    <xf numFmtId="41" fontId="21" fillId="0" borderId="0" applyFont="0" applyFill="0" applyBorder="0" applyAlignment="0" applyProtection="0">
      <alignment vertical="center"/>
    </xf>
  </cellStyleXfs>
  <cellXfs count="270">
    <xf numFmtId="0" fontId="0" fillId="0" borderId="0" xfId="0"/>
    <xf numFmtId="0" fontId="3" fillId="0" borderId="0" xfId="0" applyFont="1"/>
    <xf numFmtId="0" fontId="4" fillId="3" borderId="0" xfId="0" applyFont="1" applyFill="1"/>
    <xf numFmtId="0" fontId="5" fillId="0" borderId="0" xfId="0" applyFont="1"/>
    <xf numFmtId="3" fontId="0" fillId="0" borderId="0" xfId="0" applyNumberFormat="1"/>
    <xf numFmtId="0" fontId="7" fillId="3" borderId="0" xfId="0" applyFont="1" applyFill="1"/>
    <xf numFmtId="177" fontId="0" fillId="0" borderId="0" xfId="0" applyNumberFormat="1"/>
    <xf numFmtId="0" fontId="9" fillId="0" borderId="0" xfId="0" applyFont="1"/>
    <xf numFmtId="0" fontId="8" fillId="7" borderId="0" xfId="0" applyFont="1" applyFill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177" fontId="14" fillId="0" borderId="1" xfId="0" applyNumberFormat="1" applyFont="1" applyBorder="1" applyAlignment="1">
      <alignment horizontal="center"/>
    </xf>
    <xf numFmtId="177" fontId="14" fillId="0" borderId="0" xfId="0" applyNumberFormat="1" applyFont="1" applyAlignment="1">
      <alignment horizontal="right"/>
    </xf>
    <xf numFmtId="0" fontId="14" fillId="0" borderId="1" xfId="0" applyFont="1" applyBorder="1"/>
    <xf numFmtId="3" fontId="17" fillId="0" borderId="1" xfId="0" applyNumberFormat="1" applyFont="1" applyBorder="1"/>
    <xf numFmtId="3" fontId="14" fillId="0" borderId="0" xfId="0" applyNumberFormat="1" applyFont="1"/>
    <xf numFmtId="0" fontId="16" fillId="3" borderId="0" xfId="0" applyFont="1" applyFill="1"/>
    <xf numFmtId="177" fontId="12" fillId="0" borderId="0" xfId="1" applyNumberFormat="1" applyFont="1" applyAlignment="1">
      <alignment horizontal="right"/>
    </xf>
    <xf numFmtId="0" fontId="16" fillId="3" borderId="0" xfId="0" applyFont="1" applyFill="1" applyAlignment="1">
      <alignment horizontal="right"/>
    </xf>
    <xf numFmtId="177" fontId="14" fillId="0" borderId="0" xfId="0" applyNumberFormat="1" applyFont="1"/>
    <xf numFmtId="0" fontId="16" fillId="0" borderId="0" xfId="0" applyFont="1"/>
    <xf numFmtId="3" fontId="16" fillId="0" borderId="0" xfId="0" applyNumberFormat="1" applyFont="1"/>
    <xf numFmtId="9" fontId="14" fillId="0" borderId="0" xfId="0" applyNumberFormat="1" applyFont="1"/>
    <xf numFmtId="0" fontId="18" fillId="10" borderId="1" xfId="0" applyFont="1" applyFill="1" applyBorder="1" applyAlignment="1">
      <alignment horizontal="center"/>
    </xf>
    <xf numFmtId="177" fontId="14" fillId="0" borderId="1" xfId="0" applyNumberFormat="1" applyFont="1" applyBorder="1"/>
    <xf numFmtId="177" fontId="19" fillId="0" borderId="1" xfId="1" applyNumberFormat="1" applyFont="1" applyBorder="1"/>
    <xf numFmtId="0" fontId="13" fillId="5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8" borderId="1" xfId="0" applyFont="1" applyFill="1" applyBorder="1" applyAlignment="1">
      <alignment horizontal="center" wrapText="1"/>
    </xf>
    <xf numFmtId="3" fontId="14" fillId="0" borderId="1" xfId="0" applyNumberFormat="1" applyFont="1" applyBorder="1"/>
    <xf numFmtId="176" fontId="14" fillId="0" borderId="1" xfId="0" applyNumberFormat="1" applyFont="1" applyBorder="1"/>
    <xf numFmtId="176" fontId="14" fillId="0" borderId="0" xfId="0" applyNumberFormat="1" applyFont="1"/>
    <xf numFmtId="3" fontId="16" fillId="6" borderId="0" xfId="0" applyNumberFormat="1" applyFont="1" applyFill="1"/>
    <xf numFmtId="0" fontId="18" fillId="7" borderId="1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center" wrapText="1"/>
    </xf>
    <xf numFmtId="3" fontId="13" fillId="7" borderId="1" xfId="0" applyNumberFormat="1" applyFont="1" applyFill="1" applyBorder="1" applyAlignment="1">
      <alignment horizontal="center" wrapText="1"/>
    </xf>
    <xf numFmtId="176" fontId="13" fillId="7" borderId="1" xfId="0" applyNumberFormat="1" applyFont="1" applyFill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3" fontId="14" fillId="0" borderId="1" xfId="0" applyNumberFormat="1" applyFont="1" applyBorder="1" applyAlignment="1">
      <alignment wrapText="1"/>
    </xf>
    <xf numFmtId="3" fontId="14" fillId="0" borderId="5" xfId="0" applyNumberFormat="1" applyFont="1" applyBorder="1" applyAlignment="1">
      <alignment wrapText="1"/>
    </xf>
    <xf numFmtId="176" fontId="14" fillId="0" borderId="1" xfId="0" applyNumberFormat="1" applyFont="1" applyBorder="1" applyAlignment="1">
      <alignment horizontal="center" wrapText="1"/>
    </xf>
    <xf numFmtId="3" fontId="14" fillId="0" borderId="5" xfId="0" applyNumberFormat="1" applyFont="1" applyBorder="1" applyAlignment="1">
      <alignment horizontal="center" wrapText="1"/>
    </xf>
    <xf numFmtId="3" fontId="14" fillId="9" borderId="1" xfId="0" applyNumberFormat="1" applyFont="1" applyFill="1" applyBorder="1" applyAlignment="1">
      <alignment wrapText="1"/>
    </xf>
    <xf numFmtId="0" fontId="14" fillId="0" borderId="3" xfId="0" applyFont="1" applyBorder="1" applyAlignment="1">
      <alignment horizontal="center"/>
    </xf>
    <xf numFmtId="3" fontId="14" fillId="0" borderId="5" xfId="0" applyNumberFormat="1" applyFont="1" applyBorder="1"/>
    <xf numFmtId="0" fontId="16" fillId="6" borderId="0" xfId="0" applyFont="1" applyFill="1"/>
    <xf numFmtId="3" fontId="14" fillId="0" borderId="1" xfId="0" applyNumberFormat="1" applyFont="1" applyBorder="1" applyAlignment="1">
      <alignment horizontal="right" wrapText="1"/>
    </xf>
    <xf numFmtId="0" fontId="14" fillId="9" borderId="1" xfId="0" applyFont="1" applyFill="1" applyBorder="1" applyAlignment="1">
      <alignment horizontal="center" wrapText="1"/>
    </xf>
    <xf numFmtId="0" fontId="14" fillId="9" borderId="3" xfId="0" applyFont="1" applyFill="1" applyBorder="1" applyAlignment="1">
      <alignment horizontal="center" wrapText="1"/>
    </xf>
    <xf numFmtId="3" fontId="14" fillId="9" borderId="5" xfId="0" applyNumberFormat="1" applyFont="1" applyFill="1" applyBorder="1" applyAlignment="1">
      <alignment wrapText="1"/>
    </xf>
    <xf numFmtId="176" fontId="14" fillId="9" borderId="1" xfId="0" applyNumberFormat="1" applyFont="1" applyFill="1" applyBorder="1" applyAlignment="1">
      <alignment horizontal="center" wrapText="1"/>
    </xf>
    <xf numFmtId="3" fontId="14" fillId="9" borderId="5" xfId="0" applyNumberFormat="1" applyFont="1" applyFill="1" applyBorder="1" applyAlignment="1">
      <alignment horizontal="center" wrapText="1"/>
    </xf>
    <xf numFmtId="3" fontId="14" fillId="9" borderId="1" xfId="0" applyNumberFormat="1" applyFont="1" applyFill="1" applyBorder="1" applyAlignment="1">
      <alignment horizontal="right" wrapText="1"/>
    </xf>
    <xf numFmtId="0" fontId="13" fillId="2" borderId="0" xfId="0" applyFont="1" applyFill="1" applyAlignment="1">
      <alignment horizontal="center"/>
    </xf>
    <xf numFmtId="0" fontId="13" fillId="4" borderId="0" xfId="0" applyFont="1" applyFill="1"/>
    <xf numFmtId="0" fontId="13" fillId="5" borderId="0" xfId="0" applyFont="1" applyFill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8" borderId="0" xfId="0" applyFont="1" applyFill="1" applyAlignment="1">
      <alignment horizontal="center" wrapText="1"/>
    </xf>
    <xf numFmtId="0" fontId="13" fillId="7" borderId="0" xfId="0" applyFont="1" applyFill="1"/>
    <xf numFmtId="177" fontId="12" fillId="8" borderId="1" xfId="1" applyNumberFormat="1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 wrapText="1"/>
    </xf>
    <xf numFmtId="3" fontId="14" fillId="11" borderId="1" xfId="0" applyNumberFormat="1" applyFont="1" applyFill="1" applyBorder="1" applyAlignment="1">
      <alignment horizontal="right" wrapText="1"/>
    </xf>
    <xf numFmtId="3" fontId="14" fillId="11" borderId="1" xfId="0" applyNumberFormat="1" applyFont="1" applyFill="1" applyBorder="1" applyAlignment="1">
      <alignment wrapText="1"/>
    </xf>
    <xf numFmtId="3" fontId="14" fillId="11" borderId="5" xfId="0" applyNumberFormat="1" applyFont="1" applyFill="1" applyBorder="1" applyAlignment="1">
      <alignment wrapText="1"/>
    </xf>
    <xf numFmtId="176" fontId="14" fillId="11" borderId="1" xfId="0" applyNumberFormat="1" applyFont="1" applyFill="1" applyBorder="1" applyAlignment="1">
      <alignment horizontal="center" wrapText="1"/>
    </xf>
    <xf numFmtId="3" fontId="14" fillId="11" borderId="5" xfId="0" applyNumberFormat="1" applyFont="1" applyFill="1" applyBorder="1" applyAlignment="1">
      <alignment horizontal="center" wrapText="1"/>
    </xf>
    <xf numFmtId="3" fontId="14" fillId="9" borderId="1" xfId="0" applyNumberFormat="1" applyFont="1" applyFill="1" applyBorder="1"/>
    <xf numFmtId="3" fontId="12" fillId="0" borderId="1" xfId="0" applyNumberFormat="1" applyFont="1" applyBorder="1" applyAlignment="1">
      <alignment horizontal="right" wrapText="1"/>
    </xf>
    <xf numFmtId="177" fontId="16" fillId="8" borderId="1" xfId="1" applyNumberFormat="1" applyFont="1" applyFill="1" applyBorder="1" applyAlignment="1">
      <alignment horizontal="center"/>
    </xf>
    <xf numFmtId="3" fontId="17" fillId="0" borderId="1" xfId="0" applyNumberFormat="1" applyFont="1" applyBorder="1" applyAlignment="1">
      <alignment wrapText="1"/>
    </xf>
    <xf numFmtId="4" fontId="14" fillId="0" borderId="0" xfId="0" applyNumberFormat="1" applyFont="1"/>
    <xf numFmtId="3" fontId="12" fillId="11" borderId="5" xfId="0" applyNumberFormat="1" applyFont="1" applyFill="1" applyBorder="1" applyAlignment="1">
      <alignment wrapText="1"/>
    </xf>
    <xf numFmtId="0" fontId="14" fillId="12" borderId="3" xfId="0" applyFont="1" applyFill="1" applyBorder="1" applyAlignment="1">
      <alignment horizontal="center" wrapText="1"/>
    </xf>
    <xf numFmtId="177" fontId="1" fillId="0" borderId="0" xfId="1" applyNumberFormat="1"/>
    <xf numFmtId="3" fontId="20" fillId="13" borderId="5" xfId="0" applyNumberFormat="1" applyFont="1" applyFill="1" applyBorder="1" applyAlignment="1">
      <alignment wrapText="1"/>
    </xf>
    <xf numFmtId="3" fontId="20" fillId="13" borderId="5" xfId="0" applyNumberFormat="1" applyFont="1" applyFill="1" applyBorder="1" applyAlignment="1">
      <alignment horizontal="right" wrapText="1"/>
    </xf>
    <xf numFmtId="3" fontId="20" fillId="13" borderId="1" xfId="0" applyNumberFormat="1" applyFont="1" applyFill="1" applyBorder="1" applyAlignment="1">
      <alignment wrapText="1"/>
    </xf>
    <xf numFmtId="0" fontId="17" fillId="0" borderId="3" xfId="0" applyFont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3" fontId="12" fillId="9" borderId="1" xfId="0" applyNumberFormat="1" applyFont="1" applyFill="1" applyBorder="1" applyAlignment="1">
      <alignment horizontal="right" wrapText="1"/>
    </xf>
    <xf numFmtId="3" fontId="14" fillId="9" borderId="5" xfId="0" applyNumberFormat="1" applyFont="1" applyFill="1" applyBorder="1"/>
    <xf numFmtId="176" fontId="14" fillId="9" borderId="1" xfId="0" applyNumberFormat="1" applyFont="1" applyFill="1" applyBorder="1"/>
    <xf numFmtId="3" fontId="14" fillId="14" borderId="1" xfId="0" applyNumberFormat="1" applyFont="1" applyFill="1" applyBorder="1" applyAlignment="1">
      <alignment wrapText="1"/>
    </xf>
    <xf numFmtId="3" fontId="14" fillId="14" borderId="1" xfId="0" applyNumberFormat="1" applyFont="1" applyFill="1" applyBorder="1" applyAlignment="1">
      <alignment horizontal="right" wrapText="1"/>
    </xf>
    <xf numFmtId="3" fontId="14" fillId="15" borderId="1" xfId="0" applyNumberFormat="1" applyFont="1" applyFill="1" applyBorder="1"/>
    <xf numFmtId="3" fontId="15" fillId="14" borderId="1" xfId="0" applyNumberFormat="1" applyFont="1" applyFill="1" applyBorder="1" applyAlignment="1">
      <alignment wrapText="1"/>
    </xf>
    <xf numFmtId="0" fontId="17" fillId="12" borderId="3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3" fontId="14" fillId="0" borderId="5" xfId="0" applyNumberFormat="1" applyFont="1" applyBorder="1" applyAlignment="1">
      <alignment horizontal="right" wrapText="1"/>
    </xf>
    <xf numFmtId="3" fontId="14" fillId="16" borderId="1" xfId="0" applyNumberFormat="1" applyFont="1" applyFill="1" applyBorder="1" applyAlignment="1">
      <alignment wrapText="1"/>
    </xf>
    <xf numFmtId="3" fontId="12" fillId="0" borderId="5" xfId="0" applyNumberFormat="1" applyFont="1" applyFill="1" applyBorder="1" applyAlignment="1">
      <alignment wrapText="1"/>
    </xf>
    <xf numFmtId="3" fontId="14" fillId="16" borderId="1" xfId="0" applyNumberFormat="1" applyFont="1" applyFill="1" applyBorder="1" applyAlignment="1">
      <alignment horizontal="right" wrapText="1"/>
    </xf>
    <xf numFmtId="3" fontId="14" fillId="16" borderId="5" xfId="0" applyNumberFormat="1" applyFont="1" applyFill="1" applyBorder="1" applyAlignment="1">
      <alignment wrapText="1"/>
    </xf>
    <xf numFmtId="176" fontId="14" fillId="16" borderId="1" xfId="0" applyNumberFormat="1" applyFont="1" applyFill="1" applyBorder="1" applyAlignment="1">
      <alignment horizontal="center" wrapText="1"/>
    </xf>
    <xf numFmtId="3" fontId="14" fillId="16" borderId="5" xfId="0" applyNumberFormat="1" applyFont="1" applyFill="1" applyBorder="1" applyAlignment="1">
      <alignment horizontal="center" wrapText="1"/>
    </xf>
    <xf numFmtId="3" fontId="14" fillId="16" borderId="1" xfId="0" applyNumberFormat="1" applyFont="1" applyFill="1" applyBorder="1"/>
    <xf numFmtId="3" fontId="20" fillId="9" borderId="1" xfId="0" applyNumberFormat="1" applyFont="1" applyFill="1" applyBorder="1"/>
    <xf numFmtId="3" fontId="17" fillId="9" borderId="1" xfId="0" applyNumberFormat="1" applyFont="1" applyFill="1" applyBorder="1"/>
    <xf numFmtId="3" fontId="20" fillId="9" borderId="1" xfId="0" applyNumberFormat="1" applyFont="1" applyFill="1" applyBorder="1" applyAlignment="1">
      <alignment wrapText="1"/>
    </xf>
    <xf numFmtId="3" fontId="20" fillId="9" borderId="5" xfId="0" applyNumberFormat="1" applyFont="1" applyFill="1" applyBorder="1" applyAlignment="1">
      <alignment wrapText="1"/>
    </xf>
    <xf numFmtId="3" fontId="14" fillId="0" borderId="1" xfId="0" applyNumberFormat="1" applyFont="1" applyFill="1" applyBorder="1" applyAlignment="1">
      <alignment wrapText="1"/>
    </xf>
    <xf numFmtId="3" fontId="14" fillId="0" borderId="1" xfId="0" applyNumberFormat="1" applyFont="1" applyFill="1" applyBorder="1" applyAlignment="1">
      <alignment horizontal="right" wrapText="1"/>
    </xf>
    <xf numFmtId="3" fontId="20" fillId="0" borderId="1" xfId="0" applyNumberFormat="1" applyFont="1" applyFill="1" applyBorder="1" applyAlignment="1">
      <alignment wrapText="1"/>
    </xf>
    <xf numFmtId="3" fontId="20" fillId="0" borderId="5" xfId="0" applyNumberFormat="1" applyFont="1" applyFill="1" applyBorder="1" applyAlignment="1">
      <alignment wrapText="1"/>
    </xf>
    <xf numFmtId="3" fontId="20" fillId="0" borderId="1" xfId="0" applyNumberFormat="1" applyFont="1" applyFill="1" applyBorder="1"/>
    <xf numFmtId="41" fontId="14" fillId="0" borderId="0" xfId="2" applyFont="1" applyAlignment="1"/>
    <xf numFmtId="41" fontId="14" fillId="0" borderId="0" xfId="0" applyNumberFormat="1" applyFont="1"/>
    <xf numFmtId="0" fontId="14" fillId="14" borderId="1" xfId="0" applyFont="1" applyFill="1" applyBorder="1" applyAlignment="1">
      <alignment horizontal="center"/>
    </xf>
    <xf numFmtId="0" fontId="17" fillId="14" borderId="3" xfId="0" applyFont="1" applyFill="1" applyBorder="1" applyAlignment="1">
      <alignment horizontal="center"/>
    </xf>
    <xf numFmtId="3" fontId="12" fillId="14" borderId="1" xfId="0" applyNumberFormat="1" applyFont="1" applyFill="1" applyBorder="1" applyAlignment="1">
      <alignment horizontal="right" wrapText="1"/>
    </xf>
    <xf numFmtId="3" fontId="20" fillId="14" borderId="1" xfId="0" applyNumberFormat="1" applyFont="1" applyFill="1" applyBorder="1" applyAlignment="1">
      <alignment wrapText="1"/>
    </xf>
    <xf numFmtId="3" fontId="20" fillId="14" borderId="5" xfId="0" applyNumberFormat="1" applyFont="1" applyFill="1" applyBorder="1" applyAlignment="1">
      <alignment wrapText="1"/>
    </xf>
    <xf numFmtId="3" fontId="20" fillId="14" borderId="1" xfId="0" applyNumberFormat="1" applyFont="1" applyFill="1" applyBorder="1"/>
    <xf numFmtId="3" fontId="14" fillId="14" borderId="1" xfId="0" applyNumberFormat="1" applyFont="1" applyFill="1" applyBorder="1"/>
    <xf numFmtId="3" fontId="17" fillId="14" borderId="1" xfId="0" applyNumberFormat="1" applyFont="1" applyFill="1" applyBorder="1"/>
    <xf numFmtId="176" fontId="14" fillId="14" borderId="1" xfId="0" applyNumberFormat="1" applyFont="1" applyFill="1" applyBorder="1"/>
    <xf numFmtId="3" fontId="14" fillId="0" borderId="1" xfId="0" applyNumberFormat="1" applyFont="1" applyFill="1" applyBorder="1"/>
    <xf numFmtId="3" fontId="17" fillId="0" borderId="1" xfId="0" applyNumberFormat="1" applyFont="1" applyFill="1" applyBorder="1"/>
    <xf numFmtId="0" fontId="13" fillId="2" borderId="0" xfId="0" applyFont="1" applyFill="1" applyAlignment="1">
      <alignment horizontal="center"/>
    </xf>
    <xf numFmtId="0" fontId="13" fillId="4" borderId="1" xfId="0" applyFont="1" applyFill="1" applyBorder="1"/>
    <xf numFmtId="0" fontId="13" fillId="7" borderId="1" xfId="0" applyFont="1" applyFill="1" applyBorder="1"/>
    <xf numFmtId="0" fontId="2" fillId="2" borderId="0" xfId="0" applyFont="1" applyFill="1"/>
    <xf numFmtId="0" fontId="3" fillId="0" borderId="0" xfId="0" applyFont="1"/>
    <xf numFmtId="0" fontId="14" fillId="12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177" fontId="14" fillId="0" borderId="0" xfId="0" applyNumberFormat="1" applyFont="1" applyAlignment="1">
      <alignment horizontal="right" vertical="center"/>
    </xf>
    <xf numFmtId="0" fontId="14" fillId="0" borderId="1" xfId="0" applyFont="1" applyBorder="1" applyAlignment="1">
      <alignment vertical="center"/>
    </xf>
    <xf numFmtId="3" fontId="17" fillId="0" borderId="1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0" fontId="16" fillId="3" borderId="0" xfId="0" applyFont="1" applyFill="1" applyAlignment="1">
      <alignment vertical="center"/>
    </xf>
    <xf numFmtId="4" fontId="14" fillId="0" borderId="0" xfId="0" applyNumberFormat="1" applyFont="1" applyAlignment="1">
      <alignment vertical="center"/>
    </xf>
    <xf numFmtId="177" fontId="12" fillId="0" borderId="0" xfId="1" applyNumberFormat="1" applyFont="1" applyAlignment="1">
      <alignment horizontal="right" vertical="center"/>
    </xf>
    <xf numFmtId="0" fontId="16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177" fontId="14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3" fontId="16" fillId="0" borderId="0" xfId="0" applyNumberFormat="1" applyFont="1" applyAlignment="1">
      <alignment vertical="center"/>
    </xf>
    <xf numFmtId="9" fontId="14" fillId="0" borderId="0" xfId="0" applyNumberFormat="1" applyFont="1" applyAlignment="1">
      <alignment vertical="center"/>
    </xf>
    <xf numFmtId="41" fontId="14" fillId="0" borderId="0" xfId="2" applyFont="1" applyAlignment="1">
      <alignment vertical="center"/>
    </xf>
    <xf numFmtId="41" fontId="14" fillId="0" borderId="0" xfId="0" applyNumberFormat="1" applyFont="1" applyAlignment="1">
      <alignment vertical="center"/>
    </xf>
    <xf numFmtId="0" fontId="18" fillId="10" borderId="1" xfId="0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vertical="center"/>
    </xf>
    <xf numFmtId="0" fontId="18" fillId="7" borderId="1" xfId="0" applyFont="1" applyFill="1" applyBorder="1" applyAlignment="1">
      <alignment horizontal="center" vertical="center" wrapText="1"/>
    </xf>
    <xf numFmtId="177" fontId="19" fillId="0" borderId="1" xfId="1" applyNumberFormat="1" applyFont="1" applyBorder="1" applyAlignment="1">
      <alignment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3" fontId="14" fillId="0" borderId="1" xfId="0" applyNumberFormat="1" applyFont="1" applyBorder="1" applyAlignment="1">
      <alignment vertical="center"/>
    </xf>
    <xf numFmtId="3" fontId="16" fillId="6" borderId="0" xfId="0" applyNumberFormat="1" applyFont="1" applyFill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7" borderId="0" xfId="0" applyFont="1" applyFill="1" applyAlignment="1">
      <alignment vertical="center"/>
    </xf>
    <xf numFmtId="0" fontId="13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3" fontId="13" fillId="18" borderId="1" xfId="0" applyNumberFormat="1" applyFont="1" applyFill="1" applyBorder="1" applyAlignment="1">
      <alignment horizontal="center" vertical="center" wrapText="1"/>
    </xf>
    <xf numFmtId="3" fontId="13" fillId="7" borderId="1" xfId="0" applyNumberFormat="1" applyFont="1" applyFill="1" applyBorder="1" applyAlignment="1">
      <alignment horizontal="center" vertical="center" wrapText="1"/>
    </xf>
    <xf numFmtId="177" fontId="16" fillId="8" borderId="1" xfId="1" applyNumberFormat="1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right" vertical="center" wrapText="1"/>
    </xf>
    <xf numFmtId="3" fontId="14" fillId="0" borderId="1" xfId="0" applyNumberFormat="1" applyFont="1" applyBorder="1" applyAlignment="1">
      <alignment vertical="center" wrapText="1"/>
    </xf>
    <xf numFmtId="3" fontId="14" fillId="0" borderId="5" xfId="0" applyNumberFormat="1" applyFont="1" applyBorder="1" applyAlignment="1">
      <alignment vertical="center" wrapText="1"/>
    </xf>
    <xf numFmtId="3" fontId="14" fillId="0" borderId="5" xfId="0" applyNumberFormat="1" applyFont="1" applyBorder="1" applyAlignment="1">
      <alignment horizontal="center" vertical="center" wrapText="1"/>
    </xf>
    <xf numFmtId="177" fontId="12" fillId="8" borderId="1" xfId="1" applyNumberFormat="1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 wrapText="1"/>
    </xf>
    <xf numFmtId="177" fontId="1" fillId="0" borderId="0" xfId="1" applyNumberFormat="1" applyAlignment="1">
      <alignment vertical="center"/>
    </xf>
    <xf numFmtId="3" fontId="14" fillId="9" borderId="1" xfId="0" applyNumberFormat="1" applyFont="1" applyFill="1" applyBorder="1" applyAlignment="1">
      <alignment vertical="center" wrapText="1"/>
    </xf>
    <xf numFmtId="3" fontId="12" fillId="0" borderId="5" xfId="0" applyNumberFormat="1" applyFont="1" applyFill="1" applyBorder="1" applyAlignment="1">
      <alignment vertical="center" wrapText="1"/>
    </xf>
    <xf numFmtId="3" fontId="14" fillId="16" borderId="1" xfId="0" applyNumberFormat="1" applyFont="1" applyFill="1" applyBorder="1" applyAlignment="1">
      <alignment horizontal="right" vertical="center" wrapText="1"/>
    </xf>
    <xf numFmtId="3" fontId="14" fillId="16" borderId="1" xfId="0" applyNumberFormat="1" applyFont="1" applyFill="1" applyBorder="1" applyAlignment="1">
      <alignment vertical="center" wrapText="1"/>
    </xf>
    <xf numFmtId="3" fontId="14" fillId="16" borderId="5" xfId="0" applyNumberFormat="1" applyFont="1" applyFill="1" applyBorder="1" applyAlignment="1">
      <alignment vertical="center" wrapText="1"/>
    </xf>
    <xf numFmtId="3" fontId="14" fillId="16" borderId="5" xfId="0" applyNumberFormat="1" applyFont="1" applyFill="1" applyBorder="1" applyAlignment="1">
      <alignment horizontal="center" vertical="center" wrapText="1"/>
    </xf>
    <xf numFmtId="3" fontId="14" fillId="16" borderId="1" xfId="0" applyNumberFormat="1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3" fontId="14" fillId="9" borderId="1" xfId="0" applyNumberFormat="1" applyFont="1" applyFill="1" applyBorder="1" applyAlignment="1">
      <alignment horizontal="right" vertical="center" wrapText="1"/>
    </xf>
    <xf numFmtId="3" fontId="14" fillId="9" borderId="1" xfId="0" applyNumberFormat="1" applyFont="1" applyFill="1" applyBorder="1" applyAlignment="1">
      <alignment vertical="center"/>
    </xf>
    <xf numFmtId="3" fontId="20" fillId="13" borderId="5" xfId="0" applyNumberFormat="1" applyFont="1" applyFill="1" applyBorder="1" applyAlignment="1">
      <alignment vertical="center" wrapText="1"/>
    </xf>
    <xf numFmtId="0" fontId="14" fillId="9" borderId="2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right" vertical="center" wrapText="1"/>
    </xf>
    <xf numFmtId="0" fontId="17" fillId="0" borderId="3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right" vertical="center" wrapText="1"/>
    </xf>
    <xf numFmtId="3" fontId="14" fillId="0" borderId="1" xfId="0" applyNumberFormat="1" applyFont="1" applyFill="1" applyBorder="1" applyAlignment="1">
      <alignment vertical="center" wrapText="1"/>
    </xf>
    <xf numFmtId="3" fontId="14" fillId="0" borderId="1" xfId="0" applyNumberFormat="1" applyFont="1" applyFill="1" applyBorder="1" applyAlignment="1">
      <alignment horizontal="right" vertical="center" wrapText="1"/>
    </xf>
    <xf numFmtId="3" fontId="20" fillId="14" borderId="1" xfId="0" applyNumberFormat="1" applyFont="1" applyFill="1" applyBorder="1" applyAlignment="1">
      <alignment vertical="center" wrapText="1"/>
    </xf>
    <xf numFmtId="0" fontId="14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3" fontId="12" fillId="14" borderId="1" xfId="0" applyNumberFormat="1" applyFont="1" applyFill="1" applyBorder="1" applyAlignment="1">
      <alignment horizontal="right" vertical="center" wrapText="1"/>
    </xf>
    <xf numFmtId="3" fontId="14" fillId="14" borderId="1" xfId="0" applyNumberFormat="1" applyFont="1" applyFill="1" applyBorder="1" applyAlignment="1">
      <alignment vertical="center" wrapText="1"/>
    </xf>
    <xf numFmtId="3" fontId="14" fillId="14" borderId="1" xfId="0" applyNumberFormat="1" applyFont="1" applyFill="1" applyBorder="1" applyAlignment="1">
      <alignment horizontal="right" vertical="center" wrapText="1"/>
    </xf>
    <xf numFmtId="3" fontId="14" fillId="14" borderId="1" xfId="0" applyNumberFormat="1" applyFont="1" applyFill="1" applyBorder="1" applyAlignment="1">
      <alignment vertical="center"/>
    </xf>
    <xf numFmtId="3" fontId="17" fillId="14" borderId="1" xfId="0" applyNumberFormat="1" applyFont="1" applyFill="1" applyBorder="1" applyAlignment="1">
      <alignment vertical="center"/>
    </xf>
    <xf numFmtId="3" fontId="14" fillId="0" borderId="1" xfId="0" applyNumberFormat="1" applyFont="1" applyFill="1" applyBorder="1" applyAlignment="1">
      <alignment vertical="center"/>
    </xf>
    <xf numFmtId="3" fontId="17" fillId="0" borderId="1" xfId="0" applyNumberFormat="1" applyFont="1" applyFill="1" applyBorder="1" applyAlignment="1">
      <alignment vertical="center"/>
    </xf>
    <xf numFmtId="3" fontId="14" fillId="0" borderId="5" xfId="0" applyNumberFormat="1" applyFont="1" applyBorder="1" applyAlignment="1">
      <alignment vertical="center"/>
    </xf>
    <xf numFmtId="3" fontId="22" fillId="0" borderId="0" xfId="0" applyNumberFormat="1" applyFont="1" applyFill="1" applyAlignment="1">
      <alignment horizontal="center" vertical="center" wrapText="1"/>
    </xf>
    <xf numFmtId="3" fontId="14" fillId="9" borderId="5" xfId="0" applyNumberFormat="1" applyFont="1" applyFill="1" applyBorder="1" applyAlignment="1">
      <alignment horizontal="right" vertical="center" wrapText="1"/>
    </xf>
    <xf numFmtId="186" fontId="14" fillId="0" borderId="0" xfId="0" applyNumberFormat="1" applyFont="1" applyAlignment="1">
      <alignment vertical="center"/>
    </xf>
    <xf numFmtId="186" fontId="13" fillId="5" borderId="1" xfId="0" applyNumberFormat="1" applyFont="1" applyFill="1" applyBorder="1" applyAlignment="1">
      <alignment horizontal="center" vertical="center" wrapText="1"/>
    </xf>
    <xf numFmtId="186" fontId="14" fillId="0" borderId="1" xfId="0" applyNumberFormat="1" applyFont="1" applyBorder="1" applyAlignment="1">
      <alignment horizontal="center" vertical="center" wrapText="1"/>
    </xf>
    <xf numFmtId="186" fontId="14" fillId="8" borderId="1" xfId="0" applyNumberFormat="1" applyFont="1" applyFill="1" applyBorder="1" applyAlignment="1">
      <alignment horizontal="center" vertical="center" wrapText="1"/>
    </xf>
    <xf numFmtId="186" fontId="14" fillId="0" borderId="1" xfId="0" applyNumberFormat="1" applyFont="1" applyBorder="1" applyAlignment="1">
      <alignment vertical="center"/>
    </xf>
    <xf numFmtId="186" fontId="13" fillId="7" borderId="1" xfId="0" applyNumberFormat="1" applyFont="1" applyFill="1" applyBorder="1" applyAlignment="1">
      <alignment horizontal="center" vertical="center" wrapText="1"/>
    </xf>
    <xf numFmtId="186" fontId="14" fillId="16" borderId="1" xfId="0" applyNumberFormat="1" applyFont="1" applyFill="1" applyBorder="1" applyAlignment="1">
      <alignment horizontal="center" vertical="center" wrapText="1"/>
    </xf>
    <xf numFmtId="186" fontId="14" fillId="9" borderId="5" xfId="0" applyNumberFormat="1" applyFont="1" applyFill="1" applyBorder="1" applyAlignment="1">
      <alignment horizontal="right" vertical="center" wrapText="1"/>
    </xf>
    <xf numFmtId="186" fontId="14" fillId="0" borderId="5" xfId="0" applyNumberFormat="1" applyFont="1" applyFill="1" applyBorder="1" applyAlignment="1">
      <alignment horizontal="right" vertical="center" wrapText="1"/>
    </xf>
    <xf numFmtId="186" fontId="14" fillId="14" borderId="5" xfId="0" applyNumberFormat="1" applyFont="1" applyFill="1" applyBorder="1" applyAlignment="1">
      <alignment horizontal="right" vertical="center" wrapText="1"/>
    </xf>
    <xf numFmtId="3" fontId="12" fillId="9" borderId="1" xfId="0" applyNumberFormat="1" applyFont="1" applyFill="1" applyBorder="1" applyAlignment="1">
      <alignment vertical="center" wrapText="1"/>
    </xf>
    <xf numFmtId="3" fontId="12" fillId="9" borderId="5" xfId="0" applyNumberFormat="1" applyFont="1" applyFill="1" applyBorder="1" applyAlignment="1">
      <alignment vertical="center" wrapText="1"/>
    </xf>
    <xf numFmtId="3" fontId="20" fillId="0" borderId="5" xfId="0" applyNumberFormat="1" applyFont="1" applyBorder="1" applyAlignment="1">
      <alignment horizontal="right" vertical="center" wrapText="1"/>
    </xf>
    <xf numFmtId="3" fontId="23" fillId="9" borderId="1" xfId="0" applyNumberFormat="1" applyFont="1" applyFill="1" applyBorder="1" applyAlignment="1">
      <alignment vertical="center"/>
    </xf>
    <xf numFmtId="3" fontId="23" fillId="0" borderId="1" xfId="0" applyNumberFormat="1" applyFont="1" applyBorder="1" applyAlignment="1">
      <alignment vertical="center"/>
    </xf>
    <xf numFmtId="3" fontId="23" fillId="14" borderId="1" xfId="0" applyNumberFormat="1" applyFont="1" applyFill="1" applyBorder="1" applyAlignment="1">
      <alignment vertical="center"/>
    </xf>
    <xf numFmtId="3" fontId="23" fillId="0" borderId="1" xfId="0" applyNumberFormat="1" applyFont="1" applyBorder="1" applyAlignment="1">
      <alignment vertical="center" wrapText="1"/>
    </xf>
    <xf numFmtId="3" fontId="23" fillId="16" borderId="1" xfId="0" applyNumberFormat="1" applyFont="1" applyFill="1" applyBorder="1" applyAlignment="1">
      <alignment vertical="center" wrapText="1"/>
    </xf>
    <xf numFmtId="3" fontId="23" fillId="9" borderId="1" xfId="0" applyNumberFormat="1" applyFont="1" applyFill="1" applyBorder="1" applyAlignment="1">
      <alignment vertical="center" wrapText="1"/>
    </xf>
    <xf numFmtId="3" fontId="23" fillId="0" borderId="1" xfId="0" applyNumberFormat="1" applyFont="1" applyFill="1" applyBorder="1" applyAlignment="1">
      <alignment vertical="center" wrapText="1"/>
    </xf>
    <xf numFmtId="3" fontId="23" fillId="14" borderId="1" xfId="0" applyNumberFormat="1" applyFont="1" applyFill="1" applyBorder="1" applyAlignment="1">
      <alignment vertical="center" wrapText="1"/>
    </xf>
    <xf numFmtId="3" fontId="24" fillId="9" borderId="1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>
      <alignment vertical="center" wrapText="1"/>
    </xf>
    <xf numFmtId="3" fontId="24" fillId="0" borderId="1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vertical="center"/>
    </xf>
    <xf numFmtId="3" fontId="14" fillId="0" borderId="5" xfId="0" applyNumberFormat="1" applyFont="1" applyFill="1" applyBorder="1" applyAlignment="1">
      <alignment horizontal="right" vertical="center" wrapText="1"/>
    </xf>
    <xf numFmtId="41" fontId="17" fillId="0" borderId="0" xfId="0" applyNumberFormat="1" applyFont="1" applyAlignment="1">
      <alignment vertical="center"/>
    </xf>
    <xf numFmtId="3" fontId="24" fillId="14" borderId="1" xfId="0" applyNumberFormat="1" applyFont="1" applyFill="1" applyBorder="1" applyAlignment="1">
      <alignment vertical="center"/>
    </xf>
    <xf numFmtId="3" fontId="12" fillId="14" borderId="1" xfId="0" applyNumberFormat="1" applyFont="1" applyFill="1" applyBorder="1" applyAlignment="1">
      <alignment vertical="center" wrapText="1"/>
    </xf>
    <xf numFmtId="3" fontId="12" fillId="14" borderId="5" xfId="0" applyNumberFormat="1" applyFont="1" applyFill="1" applyBorder="1" applyAlignment="1">
      <alignment vertical="center" wrapText="1"/>
    </xf>
    <xf numFmtId="3" fontId="14" fillId="14" borderId="5" xfId="0" applyNumberFormat="1" applyFont="1" applyFill="1" applyBorder="1" applyAlignment="1">
      <alignment horizontal="right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right" vertical="center" wrapText="1"/>
    </xf>
    <xf numFmtId="3" fontId="23" fillId="0" borderId="8" xfId="0" applyNumberFormat="1" applyFont="1" applyFill="1" applyBorder="1" applyAlignment="1">
      <alignment vertical="center" wrapText="1"/>
    </xf>
    <xf numFmtId="3" fontId="14" fillId="0" borderId="8" xfId="0" applyNumberFormat="1" applyFont="1" applyFill="1" applyBorder="1" applyAlignment="1">
      <alignment horizontal="right" vertical="center" wrapText="1"/>
    </xf>
    <xf numFmtId="3" fontId="14" fillId="0" borderId="8" xfId="0" applyNumberFormat="1" applyFont="1" applyFill="1" applyBorder="1" applyAlignment="1">
      <alignment vertical="center" wrapText="1"/>
    </xf>
    <xf numFmtId="3" fontId="14" fillId="0" borderId="8" xfId="0" applyNumberFormat="1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3" fontId="12" fillId="0" borderId="7" xfId="0" applyNumberFormat="1" applyFont="1" applyBorder="1" applyAlignment="1">
      <alignment horizontal="right" vertical="center" wrapText="1"/>
    </xf>
    <xf numFmtId="3" fontId="23" fillId="0" borderId="7" xfId="0" applyNumberFormat="1" applyFont="1" applyFill="1" applyBorder="1" applyAlignment="1">
      <alignment vertical="center" wrapText="1"/>
    </xf>
    <xf numFmtId="3" fontId="14" fillId="0" borderId="7" xfId="0" applyNumberFormat="1" applyFont="1" applyFill="1" applyBorder="1" applyAlignment="1">
      <alignment horizontal="right" vertical="center" wrapText="1"/>
    </xf>
    <xf numFmtId="3" fontId="14" fillId="0" borderId="7" xfId="0" applyNumberFormat="1" applyFont="1" applyFill="1" applyBorder="1" applyAlignment="1">
      <alignment vertical="center" wrapText="1"/>
    </xf>
    <xf numFmtId="3" fontId="14" fillId="0" borderId="7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vertical="center"/>
    </xf>
    <xf numFmtId="3" fontId="12" fillId="0" borderId="5" xfId="0" applyNumberFormat="1" applyFont="1" applyBorder="1" applyAlignment="1">
      <alignment vertical="center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DE6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0401-7FB7-41F6-AB15-65C6805BDDDF}">
  <dimension ref="A1:AE114"/>
  <sheetViews>
    <sheetView tabSelected="1" topLeftCell="K39" zoomScaleNormal="100" workbookViewId="0">
      <selection activeCell="S95" sqref="S95"/>
    </sheetView>
  </sheetViews>
  <sheetFormatPr defaultColWidth="8.7109375" defaultRowHeight="16.5"/>
  <cols>
    <col min="1" max="1" width="15.42578125" style="135" customWidth="1"/>
    <col min="2" max="2" width="19.5703125" style="135" customWidth="1"/>
    <col min="3" max="3" width="14.5703125" style="135" customWidth="1"/>
    <col min="4" max="4" width="15" style="135" customWidth="1"/>
    <col min="5" max="5" width="14.42578125" style="135" customWidth="1"/>
    <col min="6" max="7" width="13.85546875" style="135" customWidth="1"/>
    <col min="8" max="8" width="13.7109375" style="135" customWidth="1"/>
    <col min="9" max="9" width="13" style="135" customWidth="1"/>
    <col min="10" max="10" width="12.5703125" style="135" customWidth="1"/>
    <col min="11" max="11" width="12.28515625" style="135" customWidth="1"/>
    <col min="12" max="12" width="12.85546875" style="135" customWidth="1"/>
    <col min="13" max="14" width="13" style="135" customWidth="1"/>
    <col min="15" max="15" width="14.5703125" style="135" customWidth="1"/>
    <col min="16" max="16" width="13.140625" style="135" customWidth="1"/>
    <col min="17" max="17" width="12.85546875" style="135" customWidth="1"/>
    <col min="18" max="18" width="13.5703125" style="135" customWidth="1"/>
    <col min="19" max="19" width="15.85546875" style="135" customWidth="1"/>
    <col min="20" max="20" width="28.28515625" style="135" customWidth="1"/>
    <col min="21" max="21" width="11.85546875" style="224" customWidth="1"/>
    <col min="22" max="22" width="15.7109375" style="135" customWidth="1"/>
    <col min="23" max="23" width="14.28515625" style="135" customWidth="1"/>
    <col min="24" max="24" width="13.140625" style="135" customWidth="1"/>
    <col min="25" max="25" width="13" style="135" customWidth="1"/>
    <col min="26" max="26" width="11.5703125" style="135" customWidth="1"/>
    <col min="27" max="27" width="15.85546875" style="135" customWidth="1"/>
    <col min="28" max="28" width="13" style="135" customWidth="1"/>
    <col min="29" max="29" width="14.7109375" style="135" customWidth="1"/>
    <col min="30" max="16384" width="8.7109375" style="135"/>
  </cols>
  <sheetData>
    <row r="1" spans="1:23">
      <c r="A1" s="133" t="s">
        <v>93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4"/>
    </row>
    <row r="3" spans="1:23">
      <c r="A3" s="136" t="s">
        <v>0</v>
      </c>
    </row>
    <row r="4" spans="1:23">
      <c r="A4" s="137" t="s">
        <v>1</v>
      </c>
      <c r="B4" s="138" t="s">
        <v>2</v>
      </c>
      <c r="C4" s="139" t="s">
        <v>3</v>
      </c>
    </row>
    <row r="5" spans="1:23">
      <c r="A5" s="140" t="s">
        <v>4</v>
      </c>
      <c r="B5" s="141" t="s">
        <v>94</v>
      </c>
      <c r="C5" s="142" t="s">
        <v>153</v>
      </c>
      <c r="D5" s="143"/>
      <c r="E5" s="143"/>
      <c r="F5" s="143"/>
      <c r="G5" s="143"/>
    </row>
    <row r="6" spans="1:23">
      <c r="A6" s="140" t="s">
        <v>91</v>
      </c>
      <c r="B6" s="140" t="s">
        <v>92</v>
      </c>
      <c r="C6" s="143"/>
      <c r="D6" s="143"/>
      <c r="E6" s="143"/>
      <c r="F6" s="143"/>
      <c r="G6" s="143"/>
    </row>
    <row r="7" spans="1:23">
      <c r="A7" s="140" t="s">
        <v>5</v>
      </c>
      <c r="B7" s="140" t="s">
        <v>95</v>
      </c>
      <c r="C7" s="143" t="s">
        <v>96</v>
      </c>
      <c r="D7" s="143"/>
      <c r="E7" s="143"/>
      <c r="F7" s="143"/>
      <c r="G7" s="143"/>
    </row>
    <row r="8" spans="1:23">
      <c r="A8" s="140" t="s">
        <v>120</v>
      </c>
      <c r="B8" s="144">
        <v>7.4999999999999997E-2</v>
      </c>
      <c r="C8" s="143"/>
      <c r="D8" s="145"/>
      <c r="E8" s="145"/>
      <c r="F8" s="145"/>
      <c r="G8" s="145"/>
    </row>
    <row r="9" spans="1:23">
      <c r="A9" s="140" t="s">
        <v>114</v>
      </c>
      <c r="B9" s="144">
        <v>7.4999999999999997E-2</v>
      </c>
      <c r="C9" s="143"/>
      <c r="D9" s="145"/>
      <c r="E9" s="145"/>
      <c r="F9" s="145"/>
      <c r="G9" s="145"/>
    </row>
    <row r="10" spans="1:23">
      <c r="A10" s="140" t="s">
        <v>116</v>
      </c>
      <c r="B10" s="144">
        <v>0.09</v>
      </c>
      <c r="C10" s="143"/>
      <c r="D10" s="145"/>
      <c r="E10" s="145"/>
      <c r="F10" s="145"/>
      <c r="G10" s="145"/>
    </row>
    <row r="11" spans="1:23">
      <c r="A11" s="140" t="s">
        <v>115</v>
      </c>
      <c r="B11" s="144">
        <v>7.0000000000000007E-2</v>
      </c>
      <c r="C11" s="143"/>
      <c r="D11" s="145"/>
      <c r="E11" s="145"/>
      <c r="F11" s="145"/>
      <c r="G11" s="145"/>
    </row>
    <row r="12" spans="1:23">
      <c r="A12" s="140" t="s">
        <v>6</v>
      </c>
      <c r="B12" s="144">
        <v>2.5000000000000001E-2</v>
      </c>
      <c r="C12" s="143" t="s">
        <v>7</v>
      </c>
      <c r="D12" s="145"/>
      <c r="E12" s="145"/>
      <c r="F12" s="145"/>
      <c r="G12" s="145"/>
    </row>
    <row r="13" spans="1:23">
      <c r="A13" s="146"/>
      <c r="B13" s="147">
        <v>100000000</v>
      </c>
      <c r="C13" s="148">
        <f>B13*4%</f>
        <v>4000000</v>
      </c>
      <c r="D13" s="148"/>
      <c r="E13" s="148"/>
      <c r="F13" s="148"/>
      <c r="G13" s="148"/>
    </row>
    <row r="15" spans="1:23">
      <c r="A15" s="136" t="s">
        <v>8</v>
      </c>
    </row>
    <row r="16" spans="1:23">
      <c r="A16" s="149" t="s">
        <v>1</v>
      </c>
      <c r="B16" s="149" t="s">
        <v>9</v>
      </c>
      <c r="C16" s="149" t="s">
        <v>3</v>
      </c>
    </row>
    <row r="17" spans="1:12">
      <c r="A17" s="135" t="s">
        <v>10</v>
      </c>
      <c r="B17" s="148">
        <v>460000000</v>
      </c>
      <c r="C17" s="143" t="s">
        <v>138</v>
      </c>
      <c r="D17" s="150"/>
      <c r="E17" s="148"/>
      <c r="F17" s="148"/>
      <c r="G17" s="148"/>
    </row>
    <row r="18" spans="1:12">
      <c r="A18" s="135" t="s">
        <v>11</v>
      </c>
      <c r="B18" s="148">
        <v>200000000</v>
      </c>
      <c r="C18" s="143" t="s">
        <v>97</v>
      </c>
      <c r="D18" s="148"/>
      <c r="E18" s="148"/>
      <c r="F18" s="148"/>
      <c r="G18" s="148"/>
    </row>
    <row r="19" spans="1:12">
      <c r="A19" s="135" t="s">
        <v>12</v>
      </c>
      <c r="B19" s="151">
        <v>0.04</v>
      </c>
      <c r="C19" s="143" t="s">
        <v>98</v>
      </c>
      <c r="D19" s="151"/>
      <c r="E19" s="151"/>
      <c r="F19" s="151"/>
      <c r="G19" s="151"/>
    </row>
    <row r="20" spans="1:12">
      <c r="A20" s="135" t="s">
        <v>13</v>
      </c>
      <c r="B20" s="148">
        <f>B18*B19</f>
        <v>8000000</v>
      </c>
      <c r="C20" s="143" t="s">
        <v>99</v>
      </c>
      <c r="D20" s="148">
        <f>B20/12</f>
        <v>666666.66666666663</v>
      </c>
      <c r="E20" s="148">
        <v>12000000</v>
      </c>
      <c r="F20" s="148">
        <f>E20/12</f>
        <v>1000000</v>
      </c>
      <c r="G20" s="148"/>
    </row>
    <row r="21" spans="1:12">
      <c r="A21" s="135" t="s">
        <v>14</v>
      </c>
      <c r="B21" s="148">
        <f>B17-B18</f>
        <v>260000000</v>
      </c>
      <c r="C21" s="143" t="s">
        <v>15</v>
      </c>
      <c r="D21" s="148"/>
      <c r="E21" s="148"/>
      <c r="F21" s="148"/>
      <c r="G21" s="148"/>
    </row>
    <row r="22" spans="1:12">
      <c r="I22" s="135" t="s">
        <v>180</v>
      </c>
      <c r="J22" s="135" t="s">
        <v>181</v>
      </c>
      <c r="K22" s="135" t="s">
        <v>182</v>
      </c>
    </row>
    <row r="23" spans="1:12">
      <c r="H23" s="135" t="s">
        <v>179</v>
      </c>
      <c r="I23" s="222">
        <v>68100</v>
      </c>
      <c r="J23" s="222">
        <v>2043000</v>
      </c>
      <c r="K23" s="135">
        <v>270</v>
      </c>
      <c r="L23" s="158">
        <f>I23*K23</f>
        <v>18387000</v>
      </c>
    </row>
    <row r="24" spans="1:12">
      <c r="A24" s="136" t="s">
        <v>100</v>
      </c>
    </row>
    <row r="25" spans="1:12">
      <c r="A25" s="152" t="s">
        <v>16</v>
      </c>
      <c r="B25" s="152" t="s">
        <v>17</v>
      </c>
      <c r="C25" s="152" t="s">
        <v>18</v>
      </c>
      <c r="D25" s="152" t="s">
        <v>19</v>
      </c>
      <c r="E25" s="153" t="s">
        <v>3</v>
      </c>
    </row>
    <row r="26" spans="1:12">
      <c r="A26" s="135" t="s">
        <v>20</v>
      </c>
      <c r="B26" s="148">
        <f>H87</f>
        <v>136217852.34375</v>
      </c>
      <c r="C26" s="154">
        <f>B8</f>
        <v>7.4999999999999997E-2</v>
      </c>
      <c r="D26" s="154">
        <v>7.4999999999999997E-2</v>
      </c>
      <c r="E26" s="135" t="s">
        <v>21</v>
      </c>
      <c r="F26" s="148"/>
      <c r="G26" s="148"/>
    </row>
    <row r="27" spans="1:12">
      <c r="A27" s="135" t="s">
        <v>101</v>
      </c>
      <c r="B27" s="148">
        <f>I87</f>
        <v>166679186.71875</v>
      </c>
      <c r="C27" s="154">
        <f>B8</f>
        <v>7.4999999999999997E-2</v>
      </c>
      <c r="D27" s="154">
        <v>7.4999999999999997E-2</v>
      </c>
      <c r="E27" s="135" t="s">
        <v>22</v>
      </c>
      <c r="F27" s="148"/>
      <c r="G27" s="148"/>
    </row>
    <row r="28" spans="1:12">
      <c r="A28" s="135" t="s">
        <v>23</v>
      </c>
      <c r="B28" s="148">
        <f>J87</f>
        <v>173084523.828125</v>
      </c>
      <c r="C28" s="154">
        <f>B8</f>
        <v>7.4999999999999997E-2</v>
      </c>
      <c r="D28" s="154">
        <v>7.4999999999999997E-2</v>
      </c>
      <c r="E28" s="135" t="s">
        <v>22</v>
      </c>
      <c r="F28" s="148"/>
      <c r="G28" s="148"/>
    </row>
    <row r="29" spans="1:12">
      <c r="A29" s="155" t="s">
        <v>24</v>
      </c>
      <c r="B29" s="156">
        <f>SUM(B26:B28)</f>
        <v>475981562.890625</v>
      </c>
      <c r="E29" s="135" t="s">
        <v>102</v>
      </c>
      <c r="F29" s="156"/>
      <c r="G29" s="156"/>
    </row>
    <row r="30" spans="1:12">
      <c r="B30" s="148"/>
      <c r="F30" s="148"/>
      <c r="G30" s="148"/>
    </row>
    <row r="31" spans="1:12">
      <c r="A31" s="135" t="s">
        <v>163</v>
      </c>
      <c r="B31" s="148">
        <f>L87/2</f>
        <v>71113976.901960015</v>
      </c>
      <c r="C31" s="154">
        <v>0.09</v>
      </c>
      <c r="D31" s="154">
        <v>7.0000000000000007E-2</v>
      </c>
      <c r="F31" s="148"/>
      <c r="G31" s="148"/>
    </row>
    <row r="32" spans="1:12">
      <c r="A32" s="135" t="s">
        <v>164</v>
      </c>
      <c r="B32" s="148">
        <f>B31</f>
        <v>71113976.901960015</v>
      </c>
      <c r="C32" s="154">
        <v>0.09</v>
      </c>
      <c r="D32" s="154">
        <v>7.0000000000000007E-2</v>
      </c>
      <c r="F32" s="148"/>
      <c r="G32" s="148"/>
    </row>
    <row r="33" spans="1:23">
      <c r="A33" s="155" t="s">
        <v>106</v>
      </c>
      <c r="B33" s="156">
        <f>SUM(B31:B32)</f>
        <v>142227953.80392003</v>
      </c>
      <c r="E33" s="135" t="s">
        <v>175</v>
      </c>
      <c r="F33" s="156"/>
      <c r="G33" s="156"/>
    </row>
    <row r="35" spans="1:23">
      <c r="A35" s="136" t="s">
        <v>25</v>
      </c>
    </row>
    <row r="36" spans="1:23">
      <c r="A36" s="149" t="s">
        <v>26</v>
      </c>
      <c r="B36" s="149" t="s">
        <v>27</v>
      </c>
      <c r="C36" s="149" t="s">
        <v>28</v>
      </c>
      <c r="D36" s="149" t="s">
        <v>29</v>
      </c>
      <c r="E36" s="149" t="s">
        <v>30</v>
      </c>
    </row>
    <row r="37" spans="1:23">
      <c r="A37" s="135" t="s">
        <v>31</v>
      </c>
      <c r="B37" s="135">
        <v>59</v>
      </c>
      <c r="C37" s="148">
        <v>1140000</v>
      </c>
      <c r="D37" s="148">
        <f>C37*12</f>
        <v>13680000</v>
      </c>
      <c r="E37" s="157">
        <v>0.76</v>
      </c>
    </row>
    <row r="38" spans="1:23">
      <c r="A38" s="135" t="s">
        <v>189</v>
      </c>
      <c r="B38" s="135">
        <v>63</v>
      </c>
      <c r="C38" s="148">
        <f>1700000*100%</f>
        <v>1700000</v>
      </c>
      <c r="D38" s="148">
        <f>C38*12</f>
        <v>20400000</v>
      </c>
      <c r="E38" s="157">
        <v>1</v>
      </c>
      <c r="F38" s="135" t="s">
        <v>169</v>
      </c>
    </row>
    <row r="39" spans="1:23">
      <c r="A39" s="135" t="s">
        <v>170</v>
      </c>
      <c r="C39" s="158">
        <v>400000</v>
      </c>
      <c r="D39" s="159">
        <f>C39*12</f>
        <v>4800000</v>
      </c>
      <c r="E39" s="250">
        <f>(D38+D39)*(1+33%)</f>
        <v>33516000</v>
      </c>
      <c r="H39" s="148"/>
      <c r="I39" s="148"/>
    </row>
    <row r="40" spans="1:23">
      <c r="A40" s="160" t="s">
        <v>122</v>
      </c>
      <c r="B40" s="161">
        <v>0.14000000000000001</v>
      </c>
      <c r="C40" s="162" t="s">
        <v>125</v>
      </c>
      <c r="D40" s="163">
        <v>0.09</v>
      </c>
      <c r="E40" s="162" t="s">
        <v>139</v>
      </c>
      <c r="F40" s="163">
        <v>0.18</v>
      </c>
      <c r="O40" s="158">
        <v>1850000</v>
      </c>
    </row>
    <row r="41" spans="1:23">
      <c r="A41" s="160" t="s">
        <v>155</v>
      </c>
      <c r="B41" s="163">
        <v>0.12</v>
      </c>
      <c r="C41" s="164" t="s">
        <v>156</v>
      </c>
      <c r="D41" s="163">
        <v>7.0000000000000007E-2</v>
      </c>
      <c r="O41" s="159">
        <f>O40*94%</f>
        <v>1739000</v>
      </c>
    </row>
    <row r="42" spans="1:23">
      <c r="J42" s="135" t="s">
        <v>128</v>
      </c>
      <c r="L42" s="148">
        <v>20000000</v>
      </c>
      <c r="O42" s="159">
        <f>O41*88%</f>
        <v>1530320</v>
      </c>
    </row>
    <row r="43" spans="1:23" hidden="1">
      <c r="A43" s="165" t="s">
        <v>108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6"/>
    </row>
    <row r="44" spans="1:23" hidden="1">
      <c r="A44" s="167" t="s">
        <v>33</v>
      </c>
      <c r="B44" s="167" t="s">
        <v>34</v>
      </c>
      <c r="C44" s="167" t="s">
        <v>118</v>
      </c>
      <c r="D44" s="167"/>
      <c r="E44" s="167" t="s">
        <v>117</v>
      </c>
      <c r="F44" s="167"/>
      <c r="G44" s="167"/>
      <c r="H44" s="167" t="s">
        <v>35</v>
      </c>
      <c r="I44" s="167" t="s">
        <v>36</v>
      </c>
      <c r="J44" s="167" t="s">
        <v>37</v>
      </c>
      <c r="K44" s="168"/>
      <c r="M44" s="167" t="s">
        <v>38</v>
      </c>
      <c r="N44" s="167" t="s">
        <v>109</v>
      </c>
      <c r="O44" s="167" t="s">
        <v>39</v>
      </c>
      <c r="P44" s="167" t="s">
        <v>110</v>
      </c>
      <c r="Q44" s="167"/>
      <c r="R44" s="167"/>
      <c r="S44" s="167" t="s">
        <v>111</v>
      </c>
      <c r="T44" s="167"/>
      <c r="U44" s="225" t="s">
        <v>40</v>
      </c>
      <c r="V44" s="167" t="s">
        <v>41</v>
      </c>
      <c r="W44" s="168"/>
    </row>
    <row r="45" spans="1:23" hidden="1">
      <c r="A45" s="169">
        <v>-6</v>
      </c>
      <c r="B45" s="169">
        <v>52</v>
      </c>
      <c r="C45" s="169"/>
      <c r="D45" s="169"/>
      <c r="E45" s="169"/>
      <c r="F45" s="169"/>
      <c r="G45" s="169"/>
      <c r="H45" s="169"/>
      <c r="I45" s="169"/>
      <c r="J45" s="169"/>
      <c r="K45" s="170"/>
      <c r="M45" s="169"/>
      <c r="N45" s="169"/>
      <c r="O45" s="169"/>
      <c r="P45" s="169"/>
      <c r="Q45" s="169"/>
      <c r="R45" s="169"/>
      <c r="S45" s="169"/>
      <c r="T45" s="169"/>
      <c r="U45" s="226"/>
      <c r="V45" s="169"/>
      <c r="W45" s="170"/>
    </row>
    <row r="46" spans="1:23" hidden="1">
      <c r="A46" s="169">
        <v>-5</v>
      </c>
      <c r="B46" s="169">
        <v>53</v>
      </c>
      <c r="C46" s="169"/>
      <c r="D46" s="169"/>
      <c r="E46" s="169"/>
      <c r="F46" s="169"/>
      <c r="G46" s="169"/>
      <c r="H46" s="169"/>
      <c r="I46" s="169"/>
      <c r="J46" s="169"/>
      <c r="K46" s="170"/>
      <c r="M46" s="169"/>
      <c r="N46" s="169"/>
      <c r="O46" s="169"/>
      <c r="P46" s="169"/>
      <c r="Q46" s="169"/>
      <c r="R46" s="169"/>
      <c r="S46" s="169"/>
      <c r="T46" s="169"/>
      <c r="U46" s="226"/>
      <c r="V46" s="169"/>
      <c r="W46" s="170"/>
    </row>
    <row r="47" spans="1:23" hidden="1">
      <c r="A47" s="169">
        <v>-4</v>
      </c>
      <c r="B47" s="169">
        <v>54</v>
      </c>
      <c r="C47" s="169"/>
      <c r="D47" s="169"/>
      <c r="E47" s="169"/>
      <c r="F47" s="169"/>
      <c r="G47" s="169"/>
      <c r="H47" s="169"/>
      <c r="I47" s="169"/>
      <c r="J47" s="169"/>
      <c r="K47" s="170"/>
      <c r="M47" s="169"/>
      <c r="N47" s="169"/>
      <c r="O47" s="169"/>
      <c r="P47" s="169"/>
      <c r="Q47" s="169"/>
      <c r="R47" s="169"/>
      <c r="S47" s="169"/>
      <c r="T47" s="169"/>
      <c r="U47" s="226"/>
      <c r="V47" s="169"/>
      <c r="W47" s="170"/>
    </row>
    <row r="48" spans="1:23" hidden="1">
      <c r="A48" s="169">
        <v>-3</v>
      </c>
      <c r="B48" s="169">
        <v>55</v>
      </c>
      <c r="C48" s="169"/>
      <c r="D48" s="169"/>
      <c r="E48" s="169"/>
      <c r="F48" s="169"/>
      <c r="G48" s="169"/>
      <c r="H48" s="169"/>
      <c r="I48" s="169"/>
      <c r="J48" s="169"/>
      <c r="K48" s="170"/>
      <c r="M48" s="169"/>
      <c r="N48" s="169"/>
      <c r="O48" s="169"/>
      <c r="P48" s="169"/>
      <c r="Q48" s="169"/>
      <c r="R48" s="169"/>
      <c r="S48" s="169"/>
      <c r="T48" s="169"/>
      <c r="U48" s="226"/>
      <c r="V48" s="169"/>
      <c r="W48" s="170"/>
    </row>
    <row r="49" spans="1:23" hidden="1">
      <c r="A49" s="169">
        <v>-2</v>
      </c>
      <c r="B49" s="169">
        <v>56</v>
      </c>
      <c r="C49" s="169"/>
      <c r="D49" s="169"/>
      <c r="E49" s="169"/>
      <c r="F49" s="169"/>
      <c r="G49" s="169"/>
      <c r="H49" s="169"/>
      <c r="I49" s="169"/>
      <c r="J49" s="169"/>
      <c r="K49" s="170"/>
      <c r="M49" s="169"/>
      <c r="N49" s="169"/>
      <c r="O49" s="169"/>
      <c r="P49" s="169"/>
      <c r="Q49" s="169"/>
      <c r="R49" s="169"/>
      <c r="S49" s="169"/>
      <c r="T49" s="169"/>
      <c r="U49" s="226"/>
      <c r="V49" s="169"/>
      <c r="W49" s="170"/>
    </row>
    <row r="50" spans="1:23" hidden="1">
      <c r="A50" s="169">
        <v>-1</v>
      </c>
      <c r="B50" s="169">
        <v>57</v>
      </c>
      <c r="C50" s="169"/>
      <c r="D50" s="169"/>
      <c r="E50" s="169"/>
      <c r="F50" s="169"/>
      <c r="G50" s="169"/>
      <c r="H50" s="169"/>
      <c r="I50" s="169"/>
      <c r="J50" s="169"/>
      <c r="K50" s="170"/>
      <c r="M50" s="169"/>
      <c r="N50" s="169"/>
      <c r="O50" s="169"/>
      <c r="P50" s="169"/>
      <c r="Q50" s="169"/>
      <c r="R50" s="169"/>
      <c r="S50" s="169"/>
      <c r="T50" s="169"/>
      <c r="U50" s="226"/>
      <c r="V50" s="169"/>
      <c r="W50" s="170"/>
    </row>
    <row r="51" spans="1:23" hidden="1">
      <c r="A51" s="171">
        <v>0</v>
      </c>
      <c r="B51" s="171">
        <v>58</v>
      </c>
      <c r="C51" s="171"/>
      <c r="D51" s="171"/>
      <c r="E51" s="171"/>
      <c r="F51" s="171"/>
      <c r="G51" s="171"/>
      <c r="H51" s="171"/>
      <c r="I51" s="171"/>
      <c r="J51" s="171"/>
      <c r="K51" s="172"/>
      <c r="M51" s="171"/>
      <c r="N51" s="171"/>
      <c r="O51" s="171"/>
      <c r="P51" s="171"/>
      <c r="Q51" s="171"/>
      <c r="R51" s="171"/>
      <c r="S51" s="171"/>
      <c r="T51" s="171"/>
      <c r="U51" s="227"/>
      <c r="V51" s="171"/>
      <c r="W51" s="172"/>
    </row>
    <row r="52" spans="1:23" hidden="1">
      <c r="A52" s="140">
        <v>1</v>
      </c>
      <c r="B52" s="140">
        <v>59</v>
      </c>
      <c r="C52" s="140"/>
      <c r="D52" s="140"/>
      <c r="E52" s="140"/>
      <c r="F52" s="140"/>
      <c r="G52" s="140"/>
      <c r="H52" s="173">
        <v>100000000</v>
      </c>
      <c r="I52" s="173">
        <v>100000000</v>
      </c>
      <c r="J52" s="173">
        <v>100000000</v>
      </c>
      <c r="K52" s="148"/>
      <c r="M52" s="173">
        <f>(H52+I52+J52)*0.04</f>
        <v>12000000</v>
      </c>
      <c r="N52" s="173" t="e">
        <f>#REF!*0.04</f>
        <v>#REF!</v>
      </c>
      <c r="O52" s="173">
        <f t="shared" ref="O52:O76" si="0">$D$37</f>
        <v>13680000</v>
      </c>
      <c r="P52" s="173" t="e">
        <f t="shared" ref="P52:P76" si="1">M52+N52+O52</f>
        <v>#REF!</v>
      </c>
      <c r="Q52" s="173"/>
      <c r="R52" s="173"/>
      <c r="S52" s="173" t="e">
        <f>P52/POWER(1+$B$12,0)</f>
        <v>#REF!</v>
      </c>
      <c r="T52" s="173"/>
      <c r="U52" s="228" t="e">
        <f t="shared" ref="U52:U76" si="2">S52/$S$52*100</f>
        <v>#REF!</v>
      </c>
      <c r="V52" s="173" t="e">
        <f>S52</f>
        <v>#REF!</v>
      </c>
      <c r="W52" s="148"/>
    </row>
    <row r="53" spans="1:23" hidden="1">
      <c r="A53" s="140">
        <v>2</v>
      </c>
      <c r="B53" s="140">
        <v>60</v>
      </c>
      <c r="C53" s="140"/>
      <c r="D53" s="140"/>
      <c r="E53" s="140"/>
      <c r="F53" s="140"/>
      <c r="G53" s="140"/>
      <c r="H53" s="173">
        <f t="shared" ref="H53:J68" si="3">H52*(1+0.07)-H52*0.04</f>
        <v>103000000</v>
      </c>
      <c r="I53" s="173">
        <f t="shared" si="3"/>
        <v>103000000</v>
      </c>
      <c r="J53" s="173">
        <f t="shared" si="3"/>
        <v>103000000</v>
      </c>
      <c r="K53" s="148"/>
      <c r="M53" s="173">
        <f t="shared" ref="M53:M76" si="4">(H52+I52+J52)*0.04</f>
        <v>12000000</v>
      </c>
      <c r="N53" s="173" t="e">
        <f>#REF!*0.04</f>
        <v>#REF!</v>
      </c>
      <c r="O53" s="173">
        <f t="shared" si="0"/>
        <v>13680000</v>
      </c>
      <c r="P53" s="173" t="e">
        <f t="shared" si="1"/>
        <v>#REF!</v>
      </c>
      <c r="Q53" s="173"/>
      <c r="R53" s="173"/>
      <c r="S53" s="173" t="e">
        <f>P53/POWER(1+$B$12,1)</f>
        <v>#REF!</v>
      </c>
      <c r="T53" s="173"/>
      <c r="U53" s="228" t="e">
        <f t="shared" si="2"/>
        <v>#REF!</v>
      </c>
      <c r="V53" s="173" t="e">
        <f t="shared" ref="V53:V76" si="5">V52+S53</f>
        <v>#REF!</v>
      </c>
      <c r="W53" s="148"/>
    </row>
    <row r="54" spans="1:23" hidden="1">
      <c r="A54" s="140">
        <v>3</v>
      </c>
      <c r="B54" s="140">
        <v>61</v>
      </c>
      <c r="C54" s="140"/>
      <c r="D54" s="140"/>
      <c r="E54" s="140"/>
      <c r="F54" s="140"/>
      <c r="G54" s="140"/>
      <c r="H54" s="173">
        <f t="shared" si="3"/>
        <v>106090000</v>
      </c>
      <c r="I54" s="173">
        <f t="shared" si="3"/>
        <v>106090000</v>
      </c>
      <c r="J54" s="173">
        <f t="shared" si="3"/>
        <v>106090000</v>
      </c>
      <c r="K54" s="148"/>
      <c r="M54" s="173">
        <f t="shared" si="4"/>
        <v>12360000</v>
      </c>
      <c r="N54" s="173" t="e">
        <f>#REF!*0.04</f>
        <v>#REF!</v>
      </c>
      <c r="O54" s="173">
        <f t="shared" si="0"/>
        <v>13680000</v>
      </c>
      <c r="P54" s="173" t="e">
        <f t="shared" si="1"/>
        <v>#REF!</v>
      </c>
      <c r="Q54" s="173"/>
      <c r="R54" s="173"/>
      <c r="S54" s="173" t="e">
        <f>P54/POWER(1+$B$12,2)</f>
        <v>#REF!</v>
      </c>
      <c r="T54" s="173"/>
      <c r="U54" s="228" t="e">
        <f t="shared" si="2"/>
        <v>#REF!</v>
      </c>
      <c r="V54" s="173" t="e">
        <f t="shared" si="5"/>
        <v>#REF!</v>
      </c>
      <c r="W54" s="148"/>
    </row>
    <row r="55" spans="1:23" hidden="1">
      <c r="A55" s="140">
        <v>4</v>
      </c>
      <c r="B55" s="140">
        <v>62</v>
      </c>
      <c r="C55" s="140"/>
      <c r="D55" s="140"/>
      <c r="E55" s="140"/>
      <c r="F55" s="140"/>
      <c r="G55" s="140"/>
      <c r="H55" s="173">
        <f t="shared" si="3"/>
        <v>109272700</v>
      </c>
      <c r="I55" s="173">
        <f t="shared" si="3"/>
        <v>109272700</v>
      </c>
      <c r="J55" s="173">
        <f t="shared" si="3"/>
        <v>109272700</v>
      </c>
      <c r="K55" s="148"/>
      <c r="M55" s="173">
        <f t="shared" si="4"/>
        <v>12730800</v>
      </c>
      <c r="N55" s="173" t="e">
        <f>#REF!*0.04</f>
        <v>#REF!</v>
      </c>
      <c r="O55" s="173">
        <f t="shared" si="0"/>
        <v>13680000</v>
      </c>
      <c r="P55" s="173" t="e">
        <f t="shared" si="1"/>
        <v>#REF!</v>
      </c>
      <c r="Q55" s="173"/>
      <c r="R55" s="173"/>
      <c r="S55" s="173" t="e">
        <f>P55/POWER(1+$B$12,3)</f>
        <v>#REF!</v>
      </c>
      <c r="T55" s="173"/>
      <c r="U55" s="228" t="e">
        <f t="shared" si="2"/>
        <v>#REF!</v>
      </c>
      <c r="V55" s="173" t="e">
        <f t="shared" si="5"/>
        <v>#REF!</v>
      </c>
      <c r="W55" s="148"/>
    </row>
    <row r="56" spans="1:23" hidden="1">
      <c r="A56" s="140">
        <v>5</v>
      </c>
      <c r="B56" s="140">
        <v>63</v>
      </c>
      <c r="C56" s="140"/>
      <c r="D56" s="140"/>
      <c r="E56" s="140"/>
      <c r="F56" s="140"/>
      <c r="G56" s="140"/>
      <c r="H56" s="173">
        <f t="shared" si="3"/>
        <v>112550881</v>
      </c>
      <c r="I56" s="173">
        <f t="shared" si="3"/>
        <v>112550881</v>
      </c>
      <c r="J56" s="173">
        <f t="shared" si="3"/>
        <v>112550881</v>
      </c>
      <c r="K56" s="148"/>
      <c r="M56" s="173">
        <f t="shared" si="4"/>
        <v>13112724</v>
      </c>
      <c r="N56" s="173" t="e">
        <f>#REF!*0.04</f>
        <v>#REF!</v>
      </c>
      <c r="O56" s="173">
        <f t="shared" si="0"/>
        <v>13680000</v>
      </c>
      <c r="P56" s="173" t="e">
        <f t="shared" si="1"/>
        <v>#REF!</v>
      </c>
      <c r="Q56" s="173"/>
      <c r="R56" s="173"/>
      <c r="S56" s="173" t="e">
        <f>P56/POWER(1+$B$12,4)</f>
        <v>#REF!</v>
      </c>
      <c r="T56" s="173"/>
      <c r="U56" s="228" t="e">
        <f t="shared" si="2"/>
        <v>#REF!</v>
      </c>
      <c r="V56" s="173" t="e">
        <f t="shared" si="5"/>
        <v>#REF!</v>
      </c>
      <c r="W56" s="148"/>
    </row>
    <row r="57" spans="1:23" hidden="1">
      <c r="A57" s="140">
        <v>6</v>
      </c>
      <c r="B57" s="140">
        <v>64</v>
      </c>
      <c r="C57" s="140"/>
      <c r="D57" s="140"/>
      <c r="E57" s="140"/>
      <c r="F57" s="140"/>
      <c r="G57" s="140"/>
      <c r="H57" s="173">
        <f t="shared" si="3"/>
        <v>115927407.43000001</v>
      </c>
      <c r="I57" s="173">
        <f t="shared" si="3"/>
        <v>115927407.43000001</v>
      </c>
      <c r="J57" s="173">
        <f t="shared" si="3"/>
        <v>115927407.43000001</v>
      </c>
      <c r="K57" s="148"/>
      <c r="M57" s="173">
        <f t="shared" si="4"/>
        <v>13506105.720000001</v>
      </c>
      <c r="N57" s="173" t="e">
        <f>#REF!*0.04</f>
        <v>#REF!</v>
      </c>
      <c r="O57" s="173">
        <f t="shared" si="0"/>
        <v>13680000</v>
      </c>
      <c r="P57" s="173" t="e">
        <f t="shared" si="1"/>
        <v>#REF!</v>
      </c>
      <c r="Q57" s="173"/>
      <c r="R57" s="173"/>
      <c r="S57" s="173" t="e">
        <f>P57/POWER(1+$B$12,5)</f>
        <v>#REF!</v>
      </c>
      <c r="T57" s="173"/>
      <c r="U57" s="228" t="e">
        <f t="shared" si="2"/>
        <v>#REF!</v>
      </c>
      <c r="V57" s="173" t="e">
        <f t="shared" si="5"/>
        <v>#REF!</v>
      </c>
      <c r="W57" s="148"/>
    </row>
    <row r="58" spans="1:23" hidden="1">
      <c r="A58" s="140">
        <v>7</v>
      </c>
      <c r="B58" s="140">
        <v>65</v>
      </c>
      <c r="C58" s="140"/>
      <c r="D58" s="140"/>
      <c r="E58" s="140"/>
      <c r="F58" s="140"/>
      <c r="G58" s="140"/>
      <c r="H58" s="173">
        <f t="shared" si="3"/>
        <v>119405229.65290003</v>
      </c>
      <c r="I58" s="173">
        <f t="shared" si="3"/>
        <v>119405229.65290003</v>
      </c>
      <c r="J58" s="173">
        <f t="shared" si="3"/>
        <v>119405229.65290003</v>
      </c>
      <c r="K58" s="148"/>
      <c r="M58" s="173">
        <f t="shared" si="4"/>
        <v>13911288.891600002</v>
      </c>
      <c r="N58" s="173" t="e">
        <f>#REF!*0.04</f>
        <v>#REF!</v>
      </c>
      <c r="O58" s="173">
        <f t="shared" si="0"/>
        <v>13680000</v>
      </c>
      <c r="P58" s="173" t="e">
        <f t="shared" si="1"/>
        <v>#REF!</v>
      </c>
      <c r="Q58" s="173"/>
      <c r="R58" s="173"/>
      <c r="S58" s="173" t="e">
        <f>P58/POWER(1+$B$12,6)</f>
        <v>#REF!</v>
      </c>
      <c r="T58" s="173"/>
      <c r="U58" s="228" t="e">
        <f t="shared" si="2"/>
        <v>#REF!</v>
      </c>
      <c r="V58" s="173" t="e">
        <f t="shared" si="5"/>
        <v>#REF!</v>
      </c>
      <c r="W58" s="148"/>
    </row>
    <row r="59" spans="1:23" hidden="1">
      <c r="A59" s="140">
        <v>8</v>
      </c>
      <c r="B59" s="140">
        <v>66</v>
      </c>
      <c r="C59" s="140"/>
      <c r="D59" s="140"/>
      <c r="E59" s="140"/>
      <c r="F59" s="140"/>
      <c r="G59" s="140"/>
      <c r="H59" s="173">
        <f t="shared" si="3"/>
        <v>122987386.54248704</v>
      </c>
      <c r="I59" s="173">
        <f t="shared" si="3"/>
        <v>122987386.54248704</v>
      </c>
      <c r="J59" s="173">
        <f t="shared" si="3"/>
        <v>122987386.54248704</v>
      </c>
      <c r="K59" s="148"/>
      <c r="M59" s="173">
        <f t="shared" si="4"/>
        <v>14328627.558348002</v>
      </c>
      <c r="N59" s="173" t="e">
        <f>#REF!*0.04</f>
        <v>#REF!</v>
      </c>
      <c r="O59" s="173">
        <f t="shared" si="0"/>
        <v>13680000</v>
      </c>
      <c r="P59" s="173" t="e">
        <f t="shared" si="1"/>
        <v>#REF!</v>
      </c>
      <c r="Q59" s="173"/>
      <c r="R59" s="173"/>
      <c r="S59" s="173" t="e">
        <f>P59/POWER(1+$B$12,7)</f>
        <v>#REF!</v>
      </c>
      <c r="T59" s="173"/>
      <c r="U59" s="228" t="e">
        <f t="shared" si="2"/>
        <v>#REF!</v>
      </c>
      <c r="V59" s="173" t="e">
        <f t="shared" si="5"/>
        <v>#REF!</v>
      </c>
      <c r="W59" s="148"/>
    </row>
    <row r="60" spans="1:23" hidden="1">
      <c r="A60" s="140">
        <v>9</v>
      </c>
      <c r="B60" s="140">
        <v>67</v>
      </c>
      <c r="C60" s="140"/>
      <c r="D60" s="140"/>
      <c r="E60" s="140"/>
      <c r="F60" s="140"/>
      <c r="G60" s="140"/>
      <c r="H60" s="173">
        <f t="shared" si="3"/>
        <v>126677008.13876165</v>
      </c>
      <c r="I60" s="173">
        <f t="shared" si="3"/>
        <v>126677008.13876165</v>
      </c>
      <c r="J60" s="173">
        <f t="shared" si="3"/>
        <v>126677008.13876165</v>
      </c>
      <c r="K60" s="148"/>
      <c r="M60" s="173">
        <f t="shared" si="4"/>
        <v>14758486.385098446</v>
      </c>
      <c r="N60" s="173" t="e">
        <f>#REF!*0.04</f>
        <v>#REF!</v>
      </c>
      <c r="O60" s="173">
        <f t="shared" si="0"/>
        <v>13680000</v>
      </c>
      <c r="P60" s="173" t="e">
        <f t="shared" si="1"/>
        <v>#REF!</v>
      </c>
      <c r="Q60" s="173"/>
      <c r="R60" s="173"/>
      <c r="S60" s="173" t="e">
        <f>P60/POWER(1+$B$12,8)</f>
        <v>#REF!</v>
      </c>
      <c r="T60" s="173"/>
      <c r="U60" s="228" t="e">
        <f t="shared" si="2"/>
        <v>#REF!</v>
      </c>
      <c r="V60" s="173" t="e">
        <f t="shared" si="5"/>
        <v>#REF!</v>
      </c>
      <c r="W60" s="148"/>
    </row>
    <row r="61" spans="1:23" hidden="1">
      <c r="A61" s="140">
        <v>10</v>
      </c>
      <c r="B61" s="140">
        <v>68</v>
      </c>
      <c r="C61" s="140"/>
      <c r="D61" s="140"/>
      <c r="E61" s="140"/>
      <c r="F61" s="140"/>
      <c r="G61" s="140"/>
      <c r="H61" s="173">
        <f t="shared" si="3"/>
        <v>130477318.3829245</v>
      </c>
      <c r="I61" s="173">
        <f t="shared" si="3"/>
        <v>130477318.3829245</v>
      </c>
      <c r="J61" s="173">
        <f t="shared" si="3"/>
        <v>130477318.3829245</v>
      </c>
      <c r="K61" s="148"/>
      <c r="M61" s="173">
        <f t="shared" si="4"/>
        <v>15201240.9766514</v>
      </c>
      <c r="N61" s="173" t="e">
        <f>#REF!*0.04</f>
        <v>#REF!</v>
      </c>
      <c r="O61" s="173">
        <f t="shared" si="0"/>
        <v>13680000</v>
      </c>
      <c r="P61" s="173" t="e">
        <f t="shared" si="1"/>
        <v>#REF!</v>
      </c>
      <c r="Q61" s="173"/>
      <c r="R61" s="173"/>
      <c r="S61" s="173" t="e">
        <f>P61/POWER(1+$B$12,9)</f>
        <v>#REF!</v>
      </c>
      <c r="T61" s="173"/>
      <c r="U61" s="228" t="e">
        <f t="shared" si="2"/>
        <v>#REF!</v>
      </c>
      <c r="V61" s="173" t="e">
        <f t="shared" si="5"/>
        <v>#REF!</v>
      </c>
      <c r="W61" s="148"/>
    </row>
    <row r="62" spans="1:23" hidden="1">
      <c r="A62" s="140">
        <v>11</v>
      </c>
      <c r="B62" s="140">
        <v>69</v>
      </c>
      <c r="C62" s="140"/>
      <c r="D62" s="140"/>
      <c r="E62" s="140"/>
      <c r="F62" s="140"/>
      <c r="G62" s="140"/>
      <c r="H62" s="173">
        <f t="shared" si="3"/>
        <v>134391637.93441224</v>
      </c>
      <c r="I62" s="173">
        <f t="shared" si="3"/>
        <v>134391637.93441224</v>
      </c>
      <c r="J62" s="173">
        <f t="shared" si="3"/>
        <v>134391637.93441224</v>
      </c>
      <c r="K62" s="148"/>
      <c r="M62" s="173">
        <f t="shared" si="4"/>
        <v>15657278.20595094</v>
      </c>
      <c r="N62" s="173" t="e">
        <f>#REF!*0.04</f>
        <v>#REF!</v>
      </c>
      <c r="O62" s="173">
        <f t="shared" si="0"/>
        <v>13680000</v>
      </c>
      <c r="P62" s="173" t="e">
        <f t="shared" si="1"/>
        <v>#REF!</v>
      </c>
      <c r="Q62" s="173"/>
      <c r="R62" s="173"/>
      <c r="S62" s="173" t="e">
        <f>P62/POWER(1+$B$12,10)</f>
        <v>#REF!</v>
      </c>
      <c r="T62" s="173"/>
      <c r="U62" s="228" t="e">
        <f t="shared" si="2"/>
        <v>#REF!</v>
      </c>
      <c r="V62" s="173" t="e">
        <f t="shared" si="5"/>
        <v>#REF!</v>
      </c>
      <c r="W62" s="148"/>
    </row>
    <row r="63" spans="1:23" hidden="1">
      <c r="A63" s="140">
        <v>12</v>
      </c>
      <c r="B63" s="140">
        <v>70</v>
      </c>
      <c r="C63" s="140"/>
      <c r="D63" s="140"/>
      <c r="E63" s="140"/>
      <c r="F63" s="140"/>
      <c r="G63" s="140"/>
      <c r="H63" s="173">
        <f t="shared" si="3"/>
        <v>138423387.07244462</v>
      </c>
      <c r="I63" s="173">
        <f t="shared" si="3"/>
        <v>138423387.07244462</v>
      </c>
      <c r="J63" s="173">
        <f t="shared" si="3"/>
        <v>138423387.07244462</v>
      </c>
      <c r="K63" s="148"/>
      <c r="M63" s="173">
        <f t="shared" si="4"/>
        <v>16126996.55212947</v>
      </c>
      <c r="N63" s="173" t="e">
        <f>#REF!*0.04</f>
        <v>#REF!</v>
      </c>
      <c r="O63" s="173">
        <f t="shared" si="0"/>
        <v>13680000</v>
      </c>
      <c r="P63" s="173" t="e">
        <f t="shared" si="1"/>
        <v>#REF!</v>
      </c>
      <c r="Q63" s="173"/>
      <c r="R63" s="173"/>
      <c r="S63" s="173" t="e">
        <f>P63/POWER(1+$B$12,11)</f>
        <v>#REF!</v>
      </c>
      <c r="T63" s="173"/>
      <c r="U63" s="228" t="e">
        <f t="shared" si="2"/>
        <v>#REF!</v>
      </c>
      <c r="V63" s="173" t="e">
        <f t="shared" si="5"/>
        <v>#REF!</v>
      </c>
      <c r="W63" s="148"/>
    </row>
    <row r="64" spans="1:23" hidden="1">
      <c r="A64" s="140">
        <v>13</v>
      </c>
      <c r="B64" s="140">
        <v>71</v>
      </c>
      <c r="C64" s="140"/>
      <c r="D64" s="140"/>
      <c r="E64" s="140"/>
      <c r="F64" s="140"/>
      <c r="G64" s="140"/>
      <c r="H64" s="173">
        <f t="shared" si="3"/>
        <v>142576088.68461797</v>
      </c>
      <c r="I64" s="173">
        <f t="shared" si="3"/>
        <v>142576088.68461797</v>
      </c>
      <c r="J64" s="173">
        <f t="shared" si="3"/>
        <v>142576088.68461797</v>
      </c>
      <c r="K64" s="148"/>
      <c r="M64" s="173">
        <f t="shared" si="4"/>
        <v>16610806.448693354</v>
      </c>
      <c r="N64" s="173" t="e">
        <f>#REF!*0.04</f>
        <v>#REF!</v>
      </c>
      <c r="O64" s="173">
        <f t="shared" si="0"/>
        <v>13680000</v>
      </c>
      <c r="P64" s="173" t="e">
        <f t="shared" si="1"/>
        <v>#REF!</v>
      </c>
      <c r="Q64" s="173"/>
      <c r="R64" s="173"/>
      <c r="S64" s="173" t="e">
        <f>P64/POWER(1+$B$12,12)</f>
        <v>#REF!</v>
      </c>
      <c r="T64" s="173"/>
      <c r="U64" s="228" t="e">
        <f t="shared" si="2"/>
        <v>#REF!</v>
      </c>
      <c r="V64" s="173" t="e">
        <f t="shared" si="5"/>
        <v>#REF!</v>
      </c>
      <c r="W64" s="148"/>
    </row>
    <row r="65" spans="1:29" hidden="1">
      <c r="A65" s="140">
        <v>14</v>
      </c>
      <c r="B65" s="140">
        <v>72</v>
      </c>
      <c r="C65" s="140"/>
      <c r="D65" s="140"/>
      <c r="E65" s="140"/>
      <c r="F65" s="140"/>
      <c r="G65" s="140"/>
      <c r="H65" s="173">
        <f t="shared" si="3"/>
        <v>146853371.34515652</v>
      </c>
      <c r="I65" s="173">
        <f t="shared" si="3"/>
        <v>146853371.34515652</v>
      </c>
      <c r="J65" s="173">
        <f t="shared" si="3"/>
        <v>146853371.34515652</v>
      </c>
      <c r="K65" s="148"/>
      <c r="M65" s="173">
        <f t="shared" si="4"/>
        <v>17109130.642154153</v>
      </c>
      <c r="N65" s="173" t="e">
        <f>#REF!*0.04</f>
        <v>#REF!</v>
      </c>
      <c r="O65" s="173">
        <f t="shared" si="0"/>
        <v>13680000</v>
      </c>
      <c r="P65" s="173" t="e">
        <f t="shared" si="1"/>
        <v>#REF!</v>
      </c>
      <c r="Q65" s="173"/>
      <c r="R65" s="173"/>
      <c r="S65" s="173" t="e">
        <f>P65/POWER(1+$B$12,13)</f>
        <v>#REF!</v>
      </c>
      <c r="T65" s="173"/>
      <c r="U65" s="228" t="e">
        <f t="shared" si="2"/>
        <v>#REF!</v>
      </c>
      <c r="V65" s="173" t="e">
        <f t="shared" si="5"/>
        <v>#REF!</v>
      </c>
      <c r="W65" s="148"/>
    </row>
    <row r="66" spans="1:29" hidden="1">
      <c r="A66" s="140">
        <v>15</v>
      </c>
      <c r="B66" s="140">
        <v>73</v>
      </c>
      <c r="C66" s="140"/>
      <c r="D66" s="140"/>
      <c r="E66" s="140"/>
      <c r="F66" s="140"/>
      <c r="G66" s="140"/>
      <c r="H66" s="173">
        <f t="shared" si="3"/>
        <v>151258972.48551124</v>
      </c>
      <c r="I66" s="173">
        <f t="shared" si="3"/>
        <v>151258972.48551124</v>
      </c>
      <c r="J66" s="173">
        <f t="shared" si="3"/>
        <v>151258972.48551124</v>
      </c>
      <c r="K66" s="148"/>
      <c r="M66" s="173">
        <f t="shared" si="4"/>
        <v>17622404.561418783</v>
      </c>
      <c r="N66" s="173" t="e">
        <f>#REF!*0.04</f>
        <v>#REF!</v>
      </c>
      <c r="O66" s="173">
        <f t="shared" si="0"/>
        <v>13680000</v>
      </c>
      <c r="P66" s="173" t="e">
        <f t="shared" si="1"/>
        <v>#REF!</v>
      </c>
      <c r="Q66" s="173"/>
      <c r="R66" s="173"/>
      <c r="S66" s="173" t="e">
        <f>P66/POWER(1+$B$12,14)</f>
        <v>#REF!</v>
      </c>
      <c r="T66" s="173"/>
      <c r="U66" s="228" t="e">
        <f t="shared" si="2"/>
        <v>#REF!</v>
      </c>
      <c r="V66" s="173" t="e">
        <f t="shared" si="5"/>
        <v>#REF!</v>
      </c>
      <c r="W66" s="148"/>
    </row>
    <row r="67" spans="1:29" hidden="1">
      <c r="A67" s="143">
        <v>16</v>
      </c>
      <c r="B67" s="143">
        <v>74</v>
      </c>
      <c r="C67" s="143"/>
      <c r="D67" s="143"/>
      <c r="E67" s="143"/>
      <c r="F67" s="143"/>
      <c r="G67" s="143"/>
      <c r="H67" s="148">
        <f t="shared" si="3"/>
        <v>155796741.66007659</v>
      </c>
      <c r="I67" s="148">
        <f t="shared" si="3"/>
        <v>155796741.66007659</v>
      </c>
      <c r="J67" s="148">
        <f t="shared" si="3"/>
        <v>155796741.66007659</v>
      </c>
      <c r="K67" s="148"/>
      <c r="M67" s="148">
        <f t="shared" si="4"/>
        <v>18151076.69826135</v>
      </c>
      <c r="N67" s="148" t="e">
        <f>#REF!*0.04</f>
        <v>#REF!</v>
      </c>
      <c r="O67" s="148">
        <f t="shared" si="0"/>
        <v>13680000</v>
      </c>
      <c r="P67" s="148" t="e">
        <f t="shared" si="1"/>
        <v>#REF!</v>
      </c>
      <c r="Q67" s="148"/>
      <c r="R67" s="148"/>
      <c r="S67" s="148" t="e">
        <f>P67/POWER(1+$B$12,15)</f>
        <v>#REF!</v>
      </c>
      <c r="T67" s="148"/>
      <c r="U67" s="224" t="e">
        <f t="shared" si="2"/>
        <v>#REF!</v>
      </c>
      <c r="V67" s="148" t="e">
        <f t="shared" si="5"/>
        <v>#REF!</v>
      </c>
      <c r="W67" s="148"/>
    </row>
    <row r="68" spans="1:29" hidden="1">
      <c r="A68" s="143">
        <v>17</v>
      </c>
      <c r="B68" s="143">
        <v>75</v>
      </c>
      <c r="C68" s="143"/>
      <c r="D68" s="143"/>
      <c r="E68" s="143"/>
      <c r="F68" s="143"/>
      <c r="G68" s="143"/>
      <c r="H68" s="148">
        <f t="shared" si="3"/>
        <v>160470643.90987891</v>
      </c>
      <c r="I68" s="148">
        <f t="shared" si="3"/>
        <v>160470643.90987891</v>
      </c>
      <c r="J68" s="148">
        <f t="shared" si="3"/>
        <v>160470643.90987891</v>
      </c>
      <c r="K68" s="148"/>
      <c r="M68" s="148">
        <f t="shared" si="4"/>
        <v>18695608.999209192</v>
      </c>
      <c r="N68" s="148" t="e">
        <f>#REF!*0.04</f>
        <v>#REF!</v>
      </c>
      <c r="O68" s="148">
        <f t="shared" si="0"/>
        <v>13680000</v>
      </c>
      <c r="P68" s="148" t="e">
        <f t="shared" si="1"/>
        <v>#REF!</v>
      </c>
      <c r="Q68" s="148"/>
      <c r="R68" s="148"/>
      <c r="S68" s="148" t="e">
        <f>P68/POWER(1+$B$12,16)</f>
        <v>#REF!</v>
      </c>
      <c r="T68" s="148"/>
      <c r="U68" s="224" t="e">
        <f t="shared" si="2"/>
        <v>#REF!</v>
      </c>
      <c r="V68" s="148" t="e">
        <f t="shared" si="5"/>
        <v>#REF!</v>
      </c>
      <c r="W68" s="148"/>
    </row>
    <row r="69" spans="1:29" hidden="1">
      <c r="A69" s="143">
        <v>18</v>
      </c>
      <c r="B69" s="143">
        <v>76</v>
      </c>
      <c r="C69" s="143"/>
      <c r="D69" s="143"/>
      <c r="E69" s="143"/>
      <c r="F69" s="143"/>
      <c r="G69" s="143"/>
      <c r="H69" s="148">
        <f t="shared" ref="H69:J76" si="6">H68*(1+0.07)-H68*0.04</f>
        <v>165284763.2271753</v>
      </c>
      <c r="I69" s="148">
        <f t="shared" si="6"/>
        <v>165284763.2271753</v>
      </c>
      <c r="J69" s="148">
        <f t="shared" si="6"/>
        <v>165284763.2271753</v>
      </c>
      <c r="K69" s="148"/>
      <c r="M69" s="148">
        <f t="shared" si="4"/>
        <v>19256477.269185469</v>
      </c>
      <c r="N69" s="148" t="e">
        <f>#REF!*0.04</f>
        <v>#REF!</v>
      </c>
      <c r="O69" s="148">
        <f t="shared" si="0"/>
        <v>13680000</v>
      </c>
      <c r="P69" s="148" t="e">
        <f t="shared" si="1"/>
        <v>#REF!</v>
      </c>
      <c r="Q69" s="148"/>
      <c r="R69" s="148"/>
      <c r="S69" s="148" t="e">
        <f>P69/POWER(1+$B$12,17)</f>
        <v>#REF!</v>
      </c>
      <c r="T69" s="148"/>
      <c r="U69" s="224" t="e">
        <f t="shared" si="2"/>
        <v>#REF!</v>
      </c>
      <c r="V69" s="148" t="e">
        <f t="shared" si="5"/>
        <v>#REF!</v>
      </c>
      <c r="W69" s="148"/>
    </row>
    <row r="70" spans="1:29" hidden="1">
      <c r="A70" s="143">
        <v>19</v>
      </c>
      <c r="B70" s="143">
        <v>77</v>
      </c>
      <c r="C70" s="143"/>
      <c r="D70" s="143"/>
      <c r="E70" s="143"/>
      <c r="F70" s="143"/>
      <c r="G70" s="143"/>
      <c r="H70" s="148">
        <f t="shared" si="6"/>
        <v>170243306.12399057</v>
      </c>
      <c r="I70" s="148">
        <f t="shared" si="6"/>
        <v>170243306.12399057</v>
      </c>
      <c r="J70" s="148">
        <f t="shared" si="6"/>
        <v>170243306.12399057</v>
      </c>
      <c r="K70" s="148"/>
      <c r="M70" s="148">
        <f t="shared" si="4"/>
        <v>19834171.587261036</v>
      </c>
      <c r="N70" s="148" t="e">
        <f>#REF!*0.04</f>
        <v>#REF!</v>
      </c>
      <c r="O70" s="148">
        <f t="shared" si="0"/>
        <v>13680000</v>
      </c>
      <c r="P70" s="148" t="e">
        <f t="shared" si="1"/>
        <v>#REF!</v>
      </c>
      <c r="Q70" s="148"/>
      <c r="R70" s="148"/>
      <c r="S70" s="148" t="e">
        <f>P70/POWER(1+$B$12,18)</f>
        <v>#REF!</v>
      </c>
      <c r="T70" s="148"/>
      <c r="U70" s="224" t="e">
        <f t="shared" si="2"/>
        <v>#REF!</v>
      </c>
      <c r="V70" s="148" t="e">
        <f t="shared" si="5"/>
        <v>#REF!</v>
      </c>
      <c r="W70" s="148"/>
    </row>
    <row r="71" spans="1:29" hidden="1">
      <c r="A71" s="143">
        <v>20</v>
      </c>
      <c r="B71" s="143">
        <v>78</v>
      </c>
      <c r="C71" s="143"/>
      <c r="D71" s="143"/>
      <c r="E71" s="143"/>
      <c r="F71" s="143"/>
      <c r="G71" s="143"/>
      <c r="H71" s="148">
        <f t="shared" si="6"/>
        <v>175350605.30771029</v>
      </c>
      <c r="I71" s="148">
        <f t="shared" si="6"/>
        <v>175350605.30771029</v>
      </c>
      <c r="J71" s="148">
        <f t="shared" si="6"/>
        <v>175350605.30771029</v>
      </c>
      <c r="K71" s="148"/>
      <c r="M71" s="148">
        <f t="shared" si="4"/>
        <v>20429196.734878868</v>
      </c>
      <c r="N71" s="148" t="e">
        <f>#REF!*0.04</f>
        <v>#REF!</v>
      </c>
      <c r="O71" s="148">
        <f t="shared" si="0"/>
        <v>13680000</v>
      </c>
      <c r="P71" s="148" t="e">
        <f t="shared" si="1"/>
        <v>#REF!</v>
      </c>
      <c r="Q71" s="148"/>
      <c r="R71" s="148"/>
      <c r="S71" s="148" t="e">
        <f>P71/POWER(1+$B$12,19)</f>
        <v>#REF!</v>
      </c>
      <c r="T71" s="148"/>
      <c r="U71" s="224" t="e">
        <f t="shared" si="2"/>
        <v>#REF!</v>
      </c>
      <c r="V71" s="148" t="e">
        <f t="shared" si="5"/>
        <v>#REF!</v>
      </c>
      <c r="W71" s="148"/>
    </row>
    <row r="72" spans="1:29" hidden="1">
      <c r="A72" s="143">
        <v>21</v>
      </c>
      <c r="B72" s="143">
        <v>79</v>
      </c>
      <c r="C72" s="143"/>
      <c r="D72" s="143"/>
      <c r="E72" s="143"/>
      <c r="F72" s="143"/>
      <c r="G72" s="143"/>
      <c r="H72" s="148">
        <f t="shared" si="6"/>
        <v>180611123.46694162</v>
      </c>
      <c r="I72" s="148">
        <f t="shared" si="6"/>
        <v>180611123.46694162</v>
      </c>
      <c r="J72" s="148">
        <f t="shared" si="6"/>
        <v>180611123.46694162</v>
      </c>
      <c r="K72" s="148"/>
      <c r="M72" s="148">
        <f t="shared" si="4"/>
        <v>21042072.636925235</v>
      </c>
      <c r="N72" s="148" t="e">
        <f>#REF!*0.04</f>
        <v>#REF!</v>
      </c>
      <c r="O72" s="148">
        <f t="shared" si="0"/>
        <v>13680000</v>
      </c>
      <c r="P72" s="148" t="e">
        <f t="shared" si="1"/>
        <v>#REF!</v>
      </c>
      <c r="Q72" s="148"/>
      <c r="R72" s="148"/>
      <c r="S72" s="148" t="e">
        <f>P72/POWER(1+$B$12,20)</f>
        <v>#REF!</v>
      </c>
      <c r="T72" s="148"/>
      <c r="U72" s="224" t="e">
        <f t="shared" si="2"/>
        <v>#REF!</v>
      </c>
      <c r="V72" s="148" t="e">
        <f t="shared" si="5"/>
        <v>#REF!</v>
      </c>
      <c r="W72" s="148"/>
    </row>
    <row r="73" spans="1:29" hidden="1">
      <c r="A73" s="143">
        <v>22</v>
      </c>
      <c r="B73" s="143">
        <v>80</v>
      </c>
      <c r="C73" s="143"/>
      <c r="D73" s="143"/>
      <c r="E73" s="143"/>
      <c r="F73" s="143"/>
      <c r="G73" s="143"/>
      <c r="H73" s="148">
        <f t="shared" si="6"/>
        <v>186029457.17094988</v>
      </c>
      <c r="I73" s="148">
        <f t="shared" si="6"/>
        <v>186029457.17094988</v>
      </c>
      <c r="J73" s="148">
        <f t="shared" si="6"/>
        <v>186029457.17094988</v>
      </c>
      <c r="K73" s="148"/>
      <c r="M73" s="148">
        <f t="shared" si="4"/>
        <v>21673334.816032998</v>
      </c>
      <c r="N73" s="148" t="e">
        <f>#REF!*0.04</f>
        <v>#REF!</v>
      </c>
      <c r="O73" s="148">
        <f t="shared" si="0"/>
        <v>13680000</v>
      </c>
      <c r="P73" s="148" t="e">
        <f t="shared" si="1"/>
        <v>#REF!</v>
      </c>
      <c r="Q73" s="148"/>
      <c r="R73" s="148"/>
      <c r="S73" s="148" t="e">
        <f>P73/POWER(1+$B$12,21)</f>
        <v>#REF!</v>
      </c>
      <c r="T73" s="148"/>
      <c r="U73" s="224" t="e">
        <f t="shared" si="2"/>
        <v>#REF!</v>
      </c>
      <c r="V73" s="148" t="e">
        <f t="shared" si="5"/>
        <v>#REF!</v>
      </c>
      <c r="W73" s="148"/>
    </row>
    <row r="74" spans="1:29" hidden="1">
      <c r="A74" s="143">
        <v>23</v>
      </c>
      <c r="B74" s="143">
        <v>81</v>
      </c>
      <c r="C74" s="143"/>
      <c r="D74" s="143"/>
      <c r="E74" s="143"/>
      <c r="F74" s="143"/>
      <c r="G74" s="143"/>
      <c r="H74" s="148">
        <f t="shared" si="6"/>
        <v>191610340.88607839</v>
      </c>
      <c r="I74" s="148">
        <f t="shared" si="6"/>
        <v>191610340.88607839</v>
      </c>
      <c r="J74" s="148">
        <f t="shared" si="6"/>
        <v>191610340.88607839</v>
      </c>
      <c r="K74" s="148"/>
      <c r="M74" s="148">
        <f t="shared" si="4"/>
        <v>22323534.860513981</v>
      </c>
      <c r="N74" s="148" t="e">
        <f>#REF!*0.04</f>
        <v>#REF!</v>
      </c>
      <c r="O74" s="148">
        <f t="shared" si="0"/>
        <v>13680000</v>
      </c>
      <c r="P74" s="148" t="e">
        <f t="shared" si="1"/>
        <v>#REF!</v>
      </c>
      <c r="Q74" s="148"/>
      <c r="R74" s="148"/>
      <c r="S74" s="148" t="e">
        <f>P74/POWER(1+$B$12,22)</f>
        <v>#REF!</v>
      </c>
      <c r="T74" s="148"/>
      <c r="U74" s="224" t="e">
        <f t="shared" si="2"/>
        <v>#REF!</v>
      </c>
      <c r="V74" s="148" t="e">
        <f t="shared" si="5"/>
        <v>#REF!</v>
      </c>
      <c r="W74" s="148"/>
    </row>
    <row r="75" spans="1:29" hidden="1">
      <c r="A75" s="143">
        <v>24</v>
      </c>
      <c r="B75" s="143">
        <v>82</v>
      </c>
      <c r="C75" s="143"/>
      <c r="D75" s="143"/>
      <c r="E75" s="143"/>
      <c r="F75" s="143"/>
      <c r="G75" s="143"/>
      <c r="H75" s="148">
        <f t="shared" si="6"/>
        <v>197358651.11266077</v>
      </c>
      <c r="I75" s="148">
        <f t="shared" si="6"/>
        <v>197358651.11266077</v>
      </c>
      <c r="J75" s="148">
        <f t="shared" si="6"/>
        <v>197358651.11266077</v>
      </c>
      <c r="K75" s="148"/>
      <c r="M75" s="148">
        <f t="shared" si="4"/>
        <v>22993240.906329408</v>
      </c>
      <c r="N75" s="148" t="e">
        <f>#REF!*0.04</f>
        <v>#REF!</v>
      </c>
      <c r="O75" s="148">
        <f t="shared" si="0"/>
        <v>13680000</v>
      </c>
      <c r="P75" s="148" t="e">
        <f t="shared" si="1"/>
        <v>#REF!</v>
      </c>
      <c r="Q75" s="148"/>
      <c r="R75" s="148"/>
      <c r="S75" s="148" t="e">
        <f>P75/POWER(1+$B$12,23)</f>
        <v>#REF!</v>
      </c>
      <c r="T75" s="148"/>
      <c r="U75" s="224" t="e">
        <f t="shared" si="2"/>
        <v>#REF!</v>
      </c>
      <c r="V75" s="148" t="e">
        <f t="shared" si="5"/>
        <v>#REF!</v>
      </c>
      <c r="W75" s="148"/>
    </row>
    <row r="76" spans="1:29" hidden="1">
      <c r="A76" s="143">
        <v>25</v>
      </c>
      <c r="B76" s="143">
        <v>83</v>
      </c>
      <c r="C76" s="143"/>
      <c r="D76" s="143"/>
      <c r="E76" s="143"/>
      <c r="F76" s="143"/>
      <c r="G76" s="143"/>
      <c r="H76" s="148">
        <f t="shared" si="6"/>
        <v>203279410.64604059</v>
      </c>
      <c r="I76" s="148">
        <f t="shared" si="6"/>
        <v>203279410.64604059</v>
      </c>
      <c r="J76" s="148">
        <f t="shared" si="6"/>
        <v>203279410.64604059</v>
      </c>
      <c r="K76" s="148"/>
      <c r="M76" s="148">
        <f t="shared" si="4"/>
        <v>23683038.133519292</v>
      </c>
      <c r="N76" s="148" t="e">
        <f>#REF!*0.04</f>
        <v>#REF!</v>
      </c>
      <c r="O76" s="148">
        <f t="shared" si="0"/>
        <v>13680000</v>
      </c>
      <c r="P76" s="148" t="e">
        <f t="shared" si="1"/>
        <v>#REF!</v>
      </c>
      <c r="Q76" s="148"/>
      <c r="R76" s="148"/>
      <c r="S76" s="148" t="e">
        <f>P76/POWER(1+$B$12,24)</f>
        <v>#REF!</v>
      </c>
      <c r="T76" s="148"/>
      <c r="U76" s="224" t="e">
        <f t="shared" si="2"/>
        <v>#REF!</v>
      </c>
      <c r="V76" s="148" t="e">
        <f t="shared" si="5"/>
        <v>#REF!</v>
      </c>
      <c r="W76" s="148"/>
    </row>
    <row r="77" spans="1:29" hidden="1">
      <c r="A77" s="155" t="s">
        <v>112</v>
      </c>
      <c r="H77" s="148"/>
      <c r="I77" s="148"/>
      <c r="J77" s="148"/>
      <c r="K77" s="148"/>
      <c r="L77" s="148"/>
      <c r="M77" s="148"/>
      <c r="N77" s="148"/>
      <c r="O77" s="148"/>
      <c r="P77" s="174" t="e">
        <f>SUM(P52:P76)</f>
        <v>#REF!</v>
      </c>
      <c r="Q77" s="174"/>
      <c r="R77" s="174"/>
      <c r="S77" s="174" t="e">
        <f>SUM(S52:S76)</f>
        <v>#REF!</v>
      </c>
      <c r="T77" s="174"/>
      <c r="V77" s="174" t="e">
        <f>V76</f>
        <v>#REF!</v>
      </c>
      <c r="W77" s="174"/>
    </row>
    <row r="78" spans="1:29">
      <c r="H78" s="148"/>
      <c r="I78" s="148">
        <f>6000000+3000000</f>
        <v>9000000</v>
      </c>
      <c r="J78" s="148" t="s">
        <v>129</v>
      </c>
      <c r="K78" s="148"/>
      <c r="L78" s="148">
        <v>20000000</v>
      </c>
      <c r="M78" s="148"/>
      <c r="N78" s="148"/>
      <c r="O78" s="148"/>
      <c r="P78" s="148"/>
      <c r="Q78" s="148"/>
      <c r="R78" s="148"/>
      <c r="S78" s="148"/>
      <c r="T78" s="148"/>
      <c r="V78" s="148"/>
      <c r="W78" s="148"/>
    </row>
    <row r="79" spans="1:29">
      <c r="A79" s="175" t="s">
        <v>157</v>
      </c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6"/>
    </row>
    <row r="80" spans="1:29" ht="19.5" customHeight="1">
      <c r="A80" s="164" t="s">
        <v>33</v>
      </c>
      <c r="B80" s="164" t="s">
        <v>34</v>
      </c>
      <c r="C80" s="177" t="s">
        <v>126</v>
      </c>
      <c r="D80" s="177" t="s">
        <v>121</v>
      </c>
      <c r="E80" s="177" t="s">
        <v>124</v>
      </c>
      <c r="F80" s="178" t="s">
        <v>125</v>
      </c>
      <c r="G80" s="177" t="s">
        <v>119</v>
      </c>
      <c r="H80" s="179" t="s">
        <v>35</v>
      </c>
      <c r="I80" s="179" t="s">
        <v>141</v>
      </c>
      <c r="J80" s="179" t="s">
        <v>37</v>
      </c>
      <c r="K80" s="179" t="s">
        <v>142</v>
      </c>
      <c r="L80" s="179" t="s">
        <v>143</v>
      </c>
      <c r="M80" s="180" t="s">
        <v>38</v>
      </c>
      <c r="N80" s="180" t="s">
        <v>165</v>
      </c>
      <c r="O80" s="180" t="s">
        <v>39</v>
      </c>
      <c r="P80" s="180" t="s">
        <v>190</v>
      </c>
      <c r="Q80" s="180" t="s">
        <v>191</v>
      </c>
      <c r="R80" s="180" t="s">
        <v>145</v>
      </c>
      <c r="S80" s="180" t="s">
        <v>111</v>
      </c>
      <c r="T80" s="180" t="s">
        <v>160</v>
      </c>
      <c r="U80" s="229" t="s">
        <v>186</v>
      </c>
      <c r="V80" s="180" t="s">
        <v>183</v>
      </c>
      <c r="W80" s="180" t="s">
        <v>132</v>
      </c>
      <c r="X80" s="180" t="s">
        <v>131</v>
      </c>
      <c r="Y80" s="180" t="s">
        <v>159</v>
      </c>
      <c r="Z80" s="180" t="s">
        <v>134</v>
      </c>
      <c r="AA80" s="180" t="s">
        <v>130</v>
      </c>
      <c r="AB80" s="181" t="s">
        <v>133</v>
      </c>
      <c r="AC80" s="182">
        <v>750000000</v>
      </c>
    </row>
    <row r="81" spans="1:31">
      <c r="A81" s="169">
        <v>-6</v>
      </c>
      <c r="B81" s="183">
        <v>52</v>
      </c>
      <c r="C81" s="184">
        <f>D81+E81+F81+G81</f>
        <v>891384748</v>
      </c>
      <c r="D81" s="240">
        <v>514753229</v>
      </c>
      <c r="E81" s="185">
        <v>228537719</v>
      </c>
      <c r="F81" s="185">
        <v>49597939</v>
      </c>
      <c r="G81" s="185">
        <v>98495861</v>
      </c>
      <c r="H81" s="185">
        <v>73000000</v>
      </c>
      <c r="I81" s="186">
        <v>27257887</v>
      </c>
      <c r="J81" s="185">
        <v>58527425</v>
      </c>
      <c r="K81" s="185">
        <v>0</v>
      </c>
      <c r="L81" s="185">
        <v>0</v>
      </c>
      <c r="M81" s="185"/>
      <c r="N81" s="185"/>
      <c r="O81" s="185"/>
      <c r="P81" s="185"/>
      <c r="Q81" s="185"/>
      <c r="R81" s="185"/>
      <c r="S81" s="185"/>
      <c r="T81" s="185"/>
      <c r="U81" s="226"/>
      <c r="V81" s="187"/>
      <c r="W81" s="187"/>
      <c r="X81" s="185">
        <v>550000000</v>
      </c>
      <c r="Y81" s="185">
        <v>208000000</v>
      </c>
      <c r="Z81" s="185">
        <v>17500000</v>
      </c>
      <c r="AA81" s="173">
        <f>Z81+Y81+X81+L81+J81+I81+H81+C81+K81</f>
        <v>1825670060</v>
      </c>
      <c r="AB81" s="188" t="s">
        <v>127</v>
      </c>
      <c r="AC81" s="185">
        <v>-110000000</v>
      </c>
    </row>
    <row r="82" spans="1:31">
      <c r="A82" s="169">
        <v>-5</v>
      </c>
      <c r="B82" s="189" t="s">
        <v>154</v>
      </c>
      <c r="C82" s="184">
        <f>D82+E82+F82</f>
        <v>1135433431.8200002</v>
      </c>
      <c r="D82" s="240">
        <f>645307213*(1+$B$40/2)</f>
        <v>690478717.91000009</v>
      </c>
      <c r="E82" s="184">
        <f>275351063*(1+$B$41/2)</f>
        <v>291872126.78000003</v>
      </c>
      <c r="F82" s="184">
        <f>146490514*(1+$D$40/2)</f>
        <v>153082587.13</v>
      </c>
      <c r="G82" s="185"/>
      <c r="H82" s="185">
        <v>102000000</v>
      </c>
      <c r="I82" s="186">
        <v>60000000</v>
      </c>
      <c r="J82" s="185">
        <v>90000000</v>
      </c>
      <c r="K82" s="185">
        <v>54000000</v>
      </c>
      <c r="L82" s="185">
        <f>40000000*(1+$B$10)</f>
        <v>43600000</v>
      </c>
      <c r="M82" s="185"/>
      <c r="N82" s="185"/>
      <c r="O82" s="185"/>
      <c r="P82" s="185"/>
      <c r="Q82" s="185"/>
      <c r="R82" s="185"/>
      <c r="S82" s="185"/>
      <c r="T82" s="185"/>
      <c r="U82" s="226"/>
      <c r="V82" s="187"/>
      <c r="W82" s="236">
        <v>80000000</v>
      </c>
      <c r="X82" s="185">
        <v>550000000</v>
      </c>
      <c r="Y82" s="185">
        <v>110000000</v>
      </c>
      <c r="Z82" s="185">
        <v>17500000</v>
      </c>
      <c r="AA82" s="173">
        <f>Z82+Y82+X82+L82+J82+I82+H82+C82+K82</f>
        <v>2162533431.8200002</v>
      </c>
      <c r="AB82" s="188" t="s">
        <v>134</v>
      </c>
      <c r="AC82" s="185">
        <f>-Z84</f>
        <v>-17500000</v>
      </c>
      <c r="AD82" s="190">
        <f>AA82/AA81-1</f>
        <v>0.18451492369875422</v>
      </c>
    </row>
    <row r="83" spans="1:31">
      <c r="A83" s="169">
        <v>-4</v>
      </c>
      <c r="B83" s="132">
        <v>54</v>
      </c>
      <c r="C83" s="184">
        <f>D83+E83+F83+G83</f>
        <v>1280902540.3827002</v>
      </c>
      <c r="D83" s="240">
        <f>D82*(1+$B$40)</f>
        <v>787145738.41740024</v>
      </c>
      <c r="E83" s="184">
        <f t="shared" ref="E83:E88" si="7">E82*(1+$B$41)</f>
        <v>326896781.99360007</v>
      </c>
      <c r="F83" s="184">
        <f t="shared" ref="F83:F88" si="8">F82*(1+$D$40)</f>
        <v>166860019.97170001</v>
      </c>
      <c r="G83" s="185"/>
      <c r="H83" s="185">
        <f t="shared" ref="H83:H84" si="9">H82*(1+C$26)</f>
        <v>109650000</v>
      </c>
      <c r="I83" s="186">
        <f>(I82+18000000)*(1+C$27)</f>
        <v>83850000</v>
      </c>
      <c r="J83" s="185">
        <f>(J82+11000000)*(1+$C$27)</f>
        <v>108575000</v>
      </c>
      <c r="K83" s="185">
        <f t="shared" ref="K83:L85" si="10">(K82+20000000)*(1+$B$10)</f>
        <v>80660000</v>
      </c>
      <c r="L83" s="185">
        <f t="shared" si="10"/>
        <v>69324000</v>
      </c>
      <c r="M83" s="185"/>
      <c r="N83" s="185"/>
      <c r="O83" s="185"/>
      <c r="P83" s="185"/>
      <c r="Q83" s="185"/>
      <c r="R83" s="185"/>
      <c r="S83" s="185"/>
      <c r="T83" s="185"/>
      <c r="U83" s="226"/>
      <c r="V83" s="187"/>
      <c r="W83" s="186">
        <f>W82*(1+F$40)</f>
        <v>94400000</v>
      </c>
      <c r="X83" s="185">
        <v>550000000</v>
      </c>
      <c r="Y83" s="185">
        <v>110000000</v>
      </c>
      <c r="Z83" s="185">
        <v>17500000</v>
      </c>
      <c r="AA83" s="173">
        <f t="shared" ref="AA83:AA112" si="11">Z83+Y83+X83+L83+J83+I83+H83+C83+K83+W83</f>
        <v>2504861540.3827</v>
      </c>
      <c r="AB83" s="188" t="s">
        <v>140</v>
      </c>
      <c r="AC83" s="185">
        <v>-550000000</v>
      </c>
      <c r="AD83" s="190">
        <f t="shared" ref="AD83:AD87" si="12">AA83/AA82-1</f>
        <v>0.15829956824047553</v>
      </c>
    </row>
    <row r="84" spans="1:31">
      <c r="A84" s="169">
        <v>-3</v>
      </c>
      <c r="B84" s="132">
        <v>55</v>
      </c>
      <c r="C84" s="184">
        <f t="shared" ref="C84:C85" si="13">D84+E84+F84+G84</f>
        <v>1445347959.3978214</v>
      </c>
      <c r="D84" s="240">
        <f>D83*(1+$B$40)</f>
        <v>897346141.79583633</v>
      </c>
      <c r="E84" s="184">
        <f t="shared" si="7"/>
        <v>366124395.8328321</v>
      </c>
      <c r="F84" s="184">
        <f t="shared" si="8"/>
        <v>181877421.76915303</v>
      </c>
      <c r="G84" s="185"/>
      <c r="H84" s="185">
        <f t="shared" si="9"/>
        <v>117873750</v>
      </c>
      <c r="I84" s="186">
        <f>(I83+18000000)*(1+C$27)</f>
        <v>109488750</v>
      </c>
      <c r="J84" s="185">
        <f>(J83+11000000)*(1+$C$27)</f>
        <v>128543125</v>
      </c>
      <c r="K84" s="185">
        <f t="shared" si="10"/>
        <v>109719400.00000001</v>
      </c>
      <c r="L84" s="185">
        <f t="shared" si="10"/>
        <v>97363160</v>
      </c>
      <c r="M84" s="185"/>
      <c r="N84" s="185"/>
      <c r="O84" s="185"/>
      <c r="P84" s="185"/>
      <c r="Q84" s="185"/>
      <c r="R84" s="185"/>
      <c r="S84" s="185"/>
      <c r="T84" s="185"/>
      <c r="U84" s="226"/>
      <c r="V84" s="187"/>
      <c r="W84" s="186">
        <f>W83*(1+F$40)</f>
        <v>111392000</v>
      </c>
      <c r="X84" s="185">
        <v>550000000</v>
      </c>
      <c r="Y84" s="185">
        <v>110000000</v>
      </c>
      <c r="Z84" s="185">
        <v>17500000</v>
      </c>
      <c r="AA84" s="173">
        <f t="shared" si="11"/>
        <v>2797228144.3978214</v>
      </c>
      <c r="AB84" s="188" t="s">
        <v>158</v>
      </c>
      <c r="AC84" s="185">
        <v>-100000000</v>
      </c>
      <c r="AD84" s="190">
        <f t="shared" si="12"/>
        <v>0.11671966665688549</v>
      </c>
    </row>
    <row r="85" spans="1:31">
      <c r="A85" s="169">
        <v>-2</v>
      </c>
      <c r="B85" s="132">
        <v>56</v>
      </c>
      <c r="C85" s="184">
        <f t="shared" si="13"/>
        <v>1631280314.7084024</v>
      </c>
      <c r="D85" s="240">
        <f>D84*(1+$B$40)</f>
        <v>1022974601.6472535</v>
      </c>
      <c r="E85" s="184">
        <f t="shared" si="7"/>
        <v>410059323.33277202</v>
      </c>
      <c r="F85" s="184">
        <f t="shared" si="8"/>
        <v>198246389.72837681</v>
      </c>
      <c r="G85" s="185"/>
      <c r="H85" s="185">
        <f t="shared" ref="H85:H86" si="14">H84*(1+C$26)</f>
        <v>126714281.25</v>
      </c>
      <c r="I85" s="186">
        <f>(I84+18000000)*(1+C$27)</f>
        <v>137050406.25</v>
      </c>
      <c r="J85" s="185">
        <f>(J84+11000000)*(1+$C$27)</f>
        <v>150008859.375</v>
      </c>
      <c r="K85" s="191">
        <f t="shared" si="10"/>
        <v>141394146.00000003</v>
      </c>
      <c r="L85" s="191">
        <f t="shared" si="10"/>
        <v>127925844.40000001</v>
      </c>
      <c r="M85" s="185"/>
      <c r="N85" s="185"/>
      <c r="O85" s="185"/>
      <c r="P85" s="185"/>
      <c r="Q85" s="185"/>
      <c r="R85" s="185"/>
      <c r="S85" s="185"/>
      <c r="T85" s="185"/>
      <c r="U85" s="226"/>
      <c r="V85" s="187"/>
      <c r="W85" s="192">
        <f>W84*(1+F$40)</f>
        <v>131442560</v>
      </c>
      <c r="X85" s="185">
        <v>550000000</v>
      </c>
      <c r="Y85" s="185">
        <v>110000000</v>
      </c>
      <c r="Z85" s="185">
        <v>17500000</v>
      </c>
      <c r="AA85" s="173">
        <f t="shared" si="11"/>
        <v>3123316411.9834023</v>
      </c>
      <c r="AB85" s="188" t="s">
        <v>137</v>
      </c>
      <c r="AC85" s="185"/>
      <c r="AD85" s="190">
        <f t="shared" si="12"/>
        <v>0.11657549929871025</v>
      </c>
    </row>
    <row r="86" spans="1:31">
      <c r="A86" s="169">
        <v>-1</v>
      </c>
      <c r="B86" s="189" t="s">
        <v>176</v>
      </c>
      <c r="C86" s="193">
        <f>D86+E86+F86+G86</f>
        <v>1841546052.8145046</v>
      </c>
      <c r="D86" s="241">
        <f>D85*(1+$B$40)</f>
        <v>1166191045.8778691</v>
      </c>
      <c r="E86" s="193">
        <f t="shared" si="7"/>
        <v>459266442.13270468</v>
      </c>
      <c r="F86" s="193">
        <f t="shared" si="8"/>
        <v>216088564.80393073</v>
      </c>
      <c r="G86" s="194"/>
      <c r="H86" s="194">
        <f t="shared" si="14"/>
        <v>136217852.34375</v>
      </c>
      <c r="I86" s="195">
        <f>(I85+18000000)*(1+C$27)</f>
        <v>166679186.71875</v>
      </c>
      <c r="J86" s="194">
        <f>(J85+11000000)*(1+$C$27)</f>
        <v>173084523.828125</v>
      </c>
      <c r="K86" s="194">
        <f>K85*(1+$B$10)</f>
        <v>154119619.14000005</v>
      </c>
      <c r="L86" s="194">
        <f>L85*(1+$B$10)</f>
        <v>139439170.39600003</v>
      </c>
      <c r="M86" s="194"/>
      <c r="N86" s="194"/>
      <c r="O86" s="194"/>
      <c r="P86" s="194"/>
      <c r="Q86" s="194"/>
      <c r="R86" s="194"/>
      <c r="S86" s="194"/>
      <c r="T86" s="194"/>
      <c r="U86" s="230"/>
      <c r="V86" s="196"/>
      <c r="W86" s="195">
        <f>W85*(1+F$40)</f>
        <v>155102220.79999998</v>
      </c>
      <c r="X86" s="194">
        <v>750000000</v>
      </c>
      <c r="Y86" s="194">
        <v>-100000000</v>
      </c>
      <c r="Z86" s="194">
        <v>0</v>
      </c>
      <c r="AA86" s="197">
        <f t="shared" si="11"/>
        <v>3416188626.0411296</v>
      </c>
      <c r="AB86" s="198" t="s">
        <v>136</v>
      </c>
      <c r="AC86" s="185"/>
      <c r="AD86" s="190">
        <f t="shared" si="12"/>
        <v>9.3769626712826293E-2</v>
      </c>
    </row>
    <row r="87" spans="1:31">
      <c r="A87" s="199">
        <v>0</v>
      </c>
      <c r="B87" s="200" t="s">
        <v>177</v>
      </c>
      <c r="C87" s="201">
        <f>D87+E87+F87+G87</f>
        <v>1999372743.125685</v>
      </c>
      <c r="D87" s="242">
        <f>D86*(1+$B$40)-80000000</f>
        <v>1249457792.300771</v>
      </c>
      <c r="E87" s="201">
        <f t="shared" si="7"/>
        <v>514378415.18862927</v>
      </c>
      <c r="F87" s="201">
        <f t="shared" si="8"/>
        <v>235536535.6362845</v>
      </c>
      <c r="G87" s="191"/>
      <c r="H87" s="234">
        <f t="shared" ref="H87" si="15">H86*(1+(C$26-D$26))</f>
        <v>136217852.34375</v>
      </c>
      <c r="I87" s="235">
        <f t="shared" ref="I87" si="16">I86*(1+(C$26-D$26))</f>
        <v>166679186.71875</v>
      </c>
      <c r="J87" s="234">
        <f t="shared" ref="J87" si="17">J86*(1+(C$26-D$26))</f>
        <v>173084523.828125</v>
      </c>
      <c r="K87" s="234">
        <f t="shared" ref="K87" si="18">(K86)*(1+($B$10-$B$11))</f>
        <v>157202011.52280006</v>
      </c>
      <c r="L87" s="234">
        <f t="shared" ref="L87" si="19">(L86)*(1+($B$10-$B$11))</f>
        <v>142227953.80392003</v>
      </c>
      <c r="M87" s="245">
        <f t="shared" ref="M87" si="20">(H86+I86+J86)*D$26</f>
        <v>35698617.216796875</v>
      </c>
      <c r="N87" s="245">
        <f>(K86+L86)*$D$31</f>
        <v>20549115.267520007</v>
      </c>
      <c r="O87" s="191"/>
      <c r="P87" s="245">
        <f>M87+N87</f>
        <v>56247732.484316885</v>
      </c>
      <c r="Q87" s="202">
        <f>104000000</f>
        <v>104000000</v>
      </c>
      <c r="R87" s="191">
        <v>0</v>
      </c>
      <c r="S87" s="202">
        <f>P87+Q87+R87</f>
        <v>160247732.48431689</v>
      </c>
      <c r="T87" s="202" t="s">
        <v>184</v>
      </c>
      <c r="U87" s="231">
        <v>80000000</v>
      </c>
      <c r="V87" s="223">
        <f>U87+40000000+40000000</f>
        <v>160000000</v>
      </c>
      <c r="W87" s="203">
        <f>W86*(1+F$40)+40000000</f>
        <v>223020620.54399997</v>
      </c>
      <c r="X87" s="191">
        <f>X86</f>
        <v>750000000</v>
      </c>
      <c r="Y87" s="191">
        <v>-100000000</v>
      </c>
      <c r="Z87" s="191">
        <v>0</v>
      </c>
      <c r="AA87" s="202">
        <f t="shared" si="11"/>
        <v>3647804891.8870301</v>
      </c>
      <c r="AB87" s="135" t="s">
        <v>147</v>
      </c>
      <c r="AC87" s="148">
        <f>AC80+SUM(AC81:AC86)</f>
        <v>-27500000</v>
      </c>
      <c r="AD87" s="190">
        <f t="shared" si="12"/>
        <v>6.779961272639401E-2</v>
      </c>
      <c r="AE87" s="135" t="s">
        <v>174</v>
      </c>
    </row>
    <row r="88" spans="1:31">
      <c r="A88" s="204">
        <v>1</v>
      </c>
      <c r="B88" s="205">
        <v>2032.59</v>
      </c>
      <c r="C88" s="206">
        <f t="shared" ref="C88:C112" si="21">D88+E88+F88+G88</f>
        <v>2226220532.0776939</v>
      </c>
      <c r="D88" s="242">
        <f>D87*(1+$B$40)-R88</f>
        <v>1393381883.2228792</v>
      </c>
      <c r="E88" s="201">
        <f t="shared" si="7"/>
        <v>576103825.0112648</v>
      </c>
      <c r="F88" s="201">
        <f t="shared" si="8"/>
        <v>256734823.84355012</v>
      </c>
      <c r="G88" s="191"/>
      <c r="H88" s="234">
        <f t="shared" ref="H88:H98" si="22">H87*(1+(C$26-D$26))</f>
        <v>136217852.34375</v>
      </c>
      <c r="I88" s="235">
        <f t="shared" ref="I88:I98" si="23">I87*(1+(C$26-D$26))</f>
        <v>166679186.71875</v>
      </c>
      <c r="J88" s="234">
        <f t="shared" ref="J88:J98" si="24">J87*(1+(C$26-D$26))</f>
        <v>173084523.828125</v>
      </c>
      <c r="K88" s="234">
        <f t="shared" ref="K88:K98" si="25">(K87)*(1+($B$10-$B$11))</f>
        <v>160346051.75325605</v>
      </c>
      <c r="L88" s="234">
        <f t="shared" ref="L88:L98" si="26">(L87)*(1+($B$10-$B$11))</f>
        <v>145072512.87999845</v>
      </c>
      <c r="M88" s="245">
        <f>(H87+I87+J87)*D$26</f>
        <v>35698617.216796875</v>
      </c>
      <c r="N88" s="245">
        <f>(K87+L87)*$D$31</f>
        <v>20960097.572870411</v>
      </c>
      <c r="O88" s="245"/>
      <c r="P88" s="245">
        <f>M88+N88</f>
        <v>56658714.789667286</v>
      </c>
      <c r="Q88" s="202">
        <f>16000000+18500000</f>
        <v>34500000</v>
      </c>
      <c r="R88" s="237">
        <v>31000000</v>
      </c>
      <c r="S88" s="202">
        <f>P88+Q88+R88</f>
        <v>122158714.78966728</v>
      </c>
      <c r="T88" s="202" t="s">
        <v>185</v>
      </c>
      <c r="U88" s="231">
        <f>U87*(1+B12)</f>
        <v>82000000</v>
      </c>
      <c r="V88" s="223">
        <f>U88+40000000</f>
        <v>122000000</v>
      </c>
      <c r="W88" s="191">
        <f>W87*(1+F$40)</f>
        <v>263164332.24191996</v>
      </c>
      <c r="X88" s="191">
        <f t="shared" ref="X88:X114" si="27">X87</f>
        <v>750000000</v>
      </c>
      <c r="Y88" s="191">
        <v>-100000000</v>
      </c>
      <c r="Z88" s="191">
        <v>0</v>
      </c>
      <c r="AA88" s="202">
        <f t="shared" si="11"/>
        <v>3920784991.843493</v>
      </c>
      <c r="AB88" s="135" t="s">
        <v>148</v>
      </c>
    </row>
    <row r="89" spans="1:31">
      <c r="A89" s="140">
        <v>2</v>
      </c>
      <c r="B89" s="207">
        <v>60</v>
      </c>
      <c r="C89" s="208">
        <f>D89+E89+F89+G89</f>
        <v>1956532588.8761687</v>
      </c>
      <c r="D89" s="243">
        <f>D88*(1+$B$40)-(R89*0.7)</f>
        <v>1198555346.8740823</v>
      </c>
      <c r="E89" s="210">
        <f>E88*(1+$B$41)-(R89*0.2)</f>
        <v>533836284.01261663</v>
      </c>
      <c r="F89" s="210">
        <f>F88*(1+$D$40)-(R89*0.1)</f>
        <v>224140957.98946965</v>
      </c>
      <c r="G89" s="209"/>
      <c r="H89" s="246">
        <f t="shared" si="22"/>
        <v>136217852.34375</v>
      </c>
      <c r="I89" s="192">
        <f t="shared" si="23"/>
        <v>166679186.71875</v>
      </c>
      <c r="J89" s="246">
        <f t="shared" si="24"/>
        <v>173084523.828125</v>
      </c>
      <c r="K89" s="246">
        <f t="shared" si="25"/>
        <v>163552972.78832117</v>
      </c>
      <c r="L89" s="246">
        <f t="shared" si="26"/>
        <v>147973963.13759843</v>
      </c>
      <c r="M89" s="247">
        <f t="shared" ref="M88:M98" si="28">(H88+I88+J88)*D$26</f>
        <v>35698617.216796875</v>
      </c>
      <c r="N89" s="247">
        <f t="shared" ref="N89:N98" si="29">(K88+L88)*$D$32</f>
        <v>21379299.524327818</v>
      </c>
      <c r="O89" s="248"/>
      <c r="P89" s="248">
        <f t="shared" ref="P89:P112" si="30">M89+N89+O89</f>
        <v>57077916.74112469</v>
      </c>
      <c r="Q89" s="147"/>
      <c r="R89" s="238">
        <v>557000000</v>
      </c>
      <c r="S89" s="219">
        <f>P89+Q89+R89</f>
        <v>614077916.74112463</v>
      </c>
      <c r="T89" s="173" t="s">
        <v>187</v>
      </c>
      <c r="U89" s="232">
        <f>U88*(1+$B$12)</f>
        <v>84050000</v>
      </c>
      <c r="V89" s="249">
        <f>U89+30000000+500000000</f>
        <v>614050000</v>
      </c>
      <c r="W89" s="211">
        <f>W88*(1+F$40)+410000000</f>
        <v>720533912.04546547</v>
      </c>
      <c r="X89" s="185">
        <f t="shared" si="27"/>
        <v>750000000</v>
      </c>
      <c r="Y89" s="185">
        <v>-100000000</v>
      </c>
      <c r="Z89" s="185">
        <v>0</v>
      </c>
      <c r="AA89" s="173">
        <f t="shared" si="11"/>
        <v>4114574999.7381787</v>
      </c>
      <c r="AB89" s="135" t="s">
        <v>173</v>
      </c>
      <c r="AC89" s="148">
        <f>100000000+R89</f>
        <v>657000000</v>
      </c>
      <c r="AD89" s="135" t="s">
        <v>152</v>
      </c>
    </row>
    <row r="90" spans="1:31">
      <c r="A90" s="140">
        <v>3</v>
      </c>
      <c r="B90" s="141">
        <v>61</v>
      </c>
      <c r="C90" s="208">
        <f t="shared" si="21"/>
        <v>2137063377.7391067</v>
      </c>
      <c r="D90" s="240">
        <f>D89*(1+$B$40)-R90</f>
        <v>1294853095.4364541</v>
      </c>
      <c r="E90" s="184">
        <f>E89*(1+$B$41)</f>
        <v>597896638.09413064</v>
      </c>
      <c r="F90" s="184">
        <f t="shared" ref="F90:F94" si="31">F89*(1+$D$40)</f>
        <v>244313644.20852193</v>
      </c>
      <c r="G90" s="185"/>
      <c r="H90" s="246">
        <f t="shared" si="22"/>
        <v>136217852.34375</v>
      </c>
      <c r="I90" s="192">
        <f t="shared" si="23"/>
        <v>166679186.71875</v>
      </c>
      <c r="J90" s="246">
        <f t="shared" si="24"/>
        <v>173084523.828125</v>
      </c>
      <c r="K90" s="246">
        <f t="shared" si="25"/>
        <v>166824032.24408761</v>
      </c>
      <c r="L90" s="246">
        <f t="shared" si="26"/>
        <v>150933442.40035039</v>
      </c>
      <c r="M90" s="247">
        <f t="shared" si="28"/>
        <v>35698617.216796875</v>
      </c>
      <c r="N90" s="247">
        <f t="shared" si="29"/>
        <v>21806885.514814373</v>
      </c>
      <c r="O90" s="248"/>
      <c r="P90" s="248">
        <f>M90+N90+O90</f>
        <v>57505502.731611252</v>
      </c>
      <c r="Q90" s="147"/>
      <c r="R90" s="238">
        <v>71500000</v>
      </c>
      <c r="S90" s="173">
        <f>P90/POWER(1+$B$12,2)+R90</f>
        <v>126234565.36024867</v>
      </c>
      <c r="T90" s="173" t="s">
        <v>188</v>
      </c>
      <c r="U90" s="232">
        <f t="shared" ref="U90:U111" si="32">U89*(1+$B$12)</f>
        <v>86151249.999999985</v>
      </c>
      <c r="V90" s="249">
        <f>U90+40000000</f>
        <v>126151249.99999999</v>
      </c>
      <c r="W90" s="185">
        <f>W89*(1+F$40)</f>
        <v>850230016.21364915</v>
      </c>
      <c r="X90" s="185">
        <f t="shared" si="27"/>
        <v>750000000</v>
      </c>
      <c r="Y90" s="185">
        <v>-100000000</v>
      </c>
      <c r="Z90" s="185">
        <v>0</v>
      </c>
      <c r="AA90" s="173">
        <f t="shared" si="11"/>
        <v>4431032431.4878187</v>
      </c>
    </row>
    <row r="91" spans="1:31">
      <c r="A91" s="140">
        <v>4</v>
      </c>
      <c r="B91" s="141">
        <v>62</v>
      </c>
      <c r="C91" s="208">
        <f t="shared" si="21"/>
        <v>2337078635.6502728</v>
      </c>
      <c r="D91" s="240">
        <f>D90*(1+$B$40)-R91</f>
        <v>1401132528.7975578</v>
      </c>
      <c r="E91" s="184">
        <f>E90*(1+$B$41)</f>
        <v>669644234.66542637</v>
      </c>
      <c r="F91" s="184">
        <f t="shared" si="31"/>
        <v>266301872.18728894</v>
      </c>
      <c r="G91" s="185"/>
      <c r="H91" s="246">
        <f t="shared" si="22"/>
        <v>136217852.34375</v>
      </c>
      <c r="I91" s="192">
        <f t="shared" si="23"/>
        <v>166679186.71875</v>
      </c>
      <c r="J91" s="246">
        <f t="shared" si="24"/>
        <v>173084523.828125</v>
      </c>
      <c r="K91" s="246">
        <f t="shared" si="25"/>
        <v>170160512.88896936</v>
      </c>
      <c r="L91" s="246">
        <f t="shared" si="26"/>
        <v>153952111.24835742</v>
      </c>
      <c r="M91" s="247">
        <f t="shared" si="28"/>
        <v>35698617.216796875</v>
      </c>
      <c r="N91" s="247">
        <f t="shared" si="29"/>
        <v>22243023.225110665</v>
      </c>
      <c r="O91" s="248"/>
      <c r="P91" s="248">
        <f t="shared" si="30"/>
        <v>57941640.44190754</v>
      </c>
      <c r="Q91" s="147"/>
      <c r="R91" s="238">
        <v>75000000</v>
      </c>
      <c r="S91" s="173">
        <f>P91/POWER(1+$B$12,3)+R91</f>
        <v>128804573.18207923</v>
      </c>
      <c r="T91" s="173" t="s">
        <v>188</v>
      </c>
      <c r="U91" s="232">
        <f t="shared" si="32"/>
        <v>88305031.24999997</v>
      </c>
      <c r="V91" s="249">
        <f>U91+40000000</f>
        <v>128305031.24999997</v>
      </c>
      <c r="W91" s="185">
        <f>W90*(1+F$40)</f>
        <v>1003271419.1321059</v>
      </c>
      <c r="X91" s="185">
        <f t="shared" si="27"/>
        <v>750000000</v>
      </c>
      <c r="Y91" s="185">
        <v>-100000000</v>
      </c>
      <c r="Z91" s="185">
        <v>0</v>
      </c>
      <c r="AA91" s="173">
        <f t="shared" si="11"/>
        <v>4790444241.8103304</v>
      </c>
    </row>
    <row r="92" spans="1:31">
      <c r="A92" s="140">
        <v>5</v>
      </c>
      <c r="B92" s="207">
        <v>63</v>
      </c>
      <c r="C92" s="208">
        <f t="shared" si="21"/>
        <v>2559561666.3386383</v>
      </c>
      <c r="D92" s="240">
        <f>D91*(1+$B$40)-R92</f>
        <v>1519291082.829216</v>
      </c>
      <c r="E92" s="184">
        <f>E91*(1+$B$41)</f>
        <v>750001542.82527757</v>
      </c>
      <c r="F92" s="184">
        <f t="shared" si="31"/>
        <v>290269040.68414497</v>
      </c>
      <c r="G92" s="185"/>
      <c r="H92" s="246">
        <f t="shared" si="22"/>
        <v>136217852.34375</v>
      </c>
      <c r="I92" s="192">
        <f t="shared" si="23"/>
        <v>166679186.71875</v>
      </c>
      <c r="J92" s="246">
        <f t="shared" si="24"/>
        <v>173084523.828125</v>
      </c>
      <c r="K92" s="246">
        <f t="shared" si="25"/>
        <v>173563723.14674875</v>
      </c>
      <c r="L92" s="246">
        <f t="shared" si="26"/>
        <v>157031153.47332457</v>
      </c>
      <c r="M92" s="247">
        <f t="shared" si="28"/>
        <v>35698617.216796875</v>
      </c>
      <c r="N92" s="247">
        <f t="shared" si="29"/>
        <v>22687883.689612877</v>
      </c>
      <c r="O92" s="248"/>
      <c r="P92" s="248">
        <f t="shared" si="30"/>
        <v>58386500.906409755</v>
      </c>
      <c r="Q92" s="147"/>
      <c r="R92" s="238">
        <v>78000000</v>
      </c>
      <c r="S92" s="173">
        <f>P92/POWER(1+$B$12,4)+R92</f>
        <v>130895288.14376339</v>
      </c>
      <c r="T92" s="173" t="s">
        <v>188</v>
      </c>
      <c r="U92" s="232">
        <f t="shared" si="32"/>
        <v>90512657.031249955</v>
      </c>
      <c r="V92" s="249">
        <f>U92+40000000</f>
        <v>130512657.03124996</v>
      </c>
      <c r="W92" s="185">
        <f>W91*(1+F$40)</f>
        <v>1183860274.5758851</v>
      </c>
      <c r="X92" s="185">
        <f t="shared" si="27"/>
        <v>750000000</v>
      </c>
      <c r="Y92" s="185">
        <v>-100000000</v>
      </c>
      <c r="Z92" s="185">
        <v>0</v>
      </c>
      <c r="AA92" s="173">
        <f t="shared" si="11"/>
        <v>5199998380.4252214</v>
      </c>
    </row>
    <row r="93" spans="1:31">
      <c r="A93" s="140">
        <v>6</v>
      </c>
      <c r="B93" s="141">
        <v>64</v>
      </c>
      <c r="C93" s="208">
        <f t="shared" si="21"/>
        <v>2808386816.7353354</v>
      </c>
      <c r="D93" s="240">
        <f>D92*(1+$B$40)-R93</f>
        <v>1651991834.4253063</v>
      </c>
      <c r="E93" s="184">
        <f>E92*(1+$B$41)</f>
        <v>840001727.964311</v>
      </c>
      <c r="F93" s="184">
        <f t="shared" si="31"/>
        <v>316393254.34571803</v>
      </c>
      <c r="G93" s="185"/>
      <c r="H93" s="246">
        <f t="shared" si="22"/>
        <v>136217852.34375</v>
      </c>
      <c r="I93" s="192">
        <f t="shared" si="23"/>
        <v>166679186.71875</v>
      </c>
      <c r="J93" s="246">
        <f t="shared" si="24"/>
        <v>173084523.828125</v>
      </c>
      <c r="K93" s="246">
        <f t="shared" si="25"/>
        <v>177034997.60968372</v>
      </c>
      <c r="L93" s="246">
        <f t="shared" si="26"/>
        <v>160171776.54279107</v>
      </c>
      <c r="M93" s="247">
        <f t="shared" si="28"/>
        <v>35698617.216796875</v>
      </c>
      <c r="N93" s="247">
        <f t="shared" si="29"/>
        <v>23141641.363405135</v>
      </c>
      <c r="O93" s="248"/>
      <c r="P93" s="248">
        <f t="shared" ref="P93:P98" si="33">M93+N93+O93</f>
        <v>58840258.580202013</v>
      </c>
      <c r="Q93" s="147"/>
      <c r="R93" s="238">
        <v>80000000</v>
      </c>
      <c r="S93" s="173">
        <f>P93/POWER(1+$B$12,5)+R93</f>
        <v>132006214.83016422</v>
      </c>
      <c r="T93" s="173" t="s">
        <v>188</v>
      </c>
      <c r="U93" s="232">
        <f>U92*(1+$B$12)</f>
        <v>92775473.45703119</v>
      </c>
      <c r="V93" s="249">
        <f>U93+40000000</f>
        <v>132775473.45703119</v>
      </c>
      <c r="W93" s="185">
        <f>W92*(1+F$40)</f>
        <v>1396955123.9995444</v>
      </c>
      <c r="X93" s="185">
        <f t="shared" si="27"/>
        <v>750000000</v>
      </c>
      <c r="Y93" s="185">
        <v>-100000000</v>
      </c>
      <c r="Z93" s="185">
        <v>0</v>
      </c>
      <c r="AA93" s="173">
        <f t="shared" si="11"/>
        <v>5668530277.7779799</v>
      </c>
    </row>
    <row r="94" spans="1:31">
      <c r="A94" s="212">
        <v>7</v>
      </c>
      <c r="B94" s="213" t="s">
        <v>178</v>
      </c>
      <c r="C94" s="214">
        <f t="shared" si="21"/>
        <v>3102941273.8017106</v>
      </c>
      <c r="D94" s="244">
        <f>D93*(1+$B$40)-R94</f>
        <v>1817270691.2448494</v>
      </c>
      <c r="E94" s="216">
        <f>E93*(1+$B$41)</f>
        <v>940801935.32002842</v>
      </c>
      <c r="F94" s="216">
        <f t="shared" si="31"/>
        <v>344868647.23683268</v>
      </c>
      <c r="G94" s="215"/>
      <c r="H94" s="252">
        <f t="shared" si="22"/>
        <v>136217852.34375</v>
      </c>
      <c r="I94" s="253">
        <f t="shared" si="23"/>
        <v>166679186.71875</v>
      </c>
      <c r="J94" s="252">
        <f t="shared" si="24"/>
        <v>173084523.828125</v>
      </c>
      <c r="K94" s="252">
        <f t="shared" si="25"/>
        <v>180575697.5618774</v>
      </c>
      <c r="L94" s="252">
        <f t="shared" si="26"/>
        <v>163375212.0736469</v>
      </c>
      <c r="M94" s="251">
        <f t="shared" si="28"/>
        <v>35698617.216796875</v>
      </c>
      <c r="N94" s="251">
        <f t="shared" si="29"/>
        <v>23604474.190673236</v>
      </c>
      <c r="O94" s="251">
        <f>E39</f>
        <v>33516000</v>
      </c>
      <c r="P94" s="251">
        <f t="shared" si="33"/>
        <v>92819091.407470107</v>
      </c>
      <c r="Q94" s="218"/>
      <c r="R94" s="239">
        <v>66000000</v>
      </c>
      <c r="S94" s="217">
        <f>P94/POWER(1+$B$12,6)+R94</f>
        <v>146037611.62196308</v>
      </c>
      <c r="T94" s="217" t="s">
        <v>192</v>
      </c>
      <c r="U94" s="233">
        <f t="shared" si="32"/>
        <v>95094860.293456957</v>
      </c>
      <c r="V94" s="254">
        <f>U94+50000000</f>
        <v>145094860.29345697</v>
      </c>
      <c r="W94" s="215">
        <f>W93*(1+F$40)</f>
        <v>1648407046.3194623</v>
      </c>
      <c r="X94" s="215">
        <f t="shared" si="27"/>
        <v>750000000</v>
      </c>
      <c r="Y94" s="215">
        <v>-100000000</v>
      </c>
      <c r="Z94" s="215">
        <v>0</v>
      </c>
      <c r="AA94" s="217">
        <f t="shared" si="11"/>
        <v>6221280792.6473217</v>
      </c>
    </row>
    <row r="95" spans="1:31">
      <c r="A95" s="140">
        <v>8</v>
      </c>
      <c r="B95" s="141">
        <v>66</v>
      </c>
      <c r="C95" s="208">
        <f t="shared" si="21"/>
        <v>3242293581.0657082</v>
      </c>
      <c r="D95" s="243">
        <f t="shared" ref="D95:D112" si="34">D94*(1+$B$40)-R95</f>
        <v>1812688588.0191286</v>
      </c>
      <c r="E95" s="210">
        <f t="shared" ref="E95:E112" si="35">E94*(1+$B$41)</f>
        <v>1053698167.558432</v>
      </c>
      <c r="F95" s="210">
        <f t="shared" ref="F95:F112" si="36">F94*(1+$D$40)</f>
        <v>375906825.48814768</v>
      </c>
      <c r="G95" s="209"/>
      <c r="H95" s="246">
        <f t="shared" si="22"/>
        <v>136217852.34375</v>
      </c>
      <c r="I95" s="192">
        <f t="shared" si="23"/>
        <v>166679186.71875</v>
      </c>
      <c r="J95" s="246">
        <f t="shared" si="24"/>
        <v>173084523.828125</v>
      </c>
      <c r="K95" s="246">
        <f t="shared" si="25"/>
        <v>184187211.51311496</v>
      </c>
      <c r="L95" s="246">
        <f t="shared" si="26"/>
        <v>166642716.31511983</v>
      </c>
      <c r="M95" s="247">
        <f t="shared" si="28"/>
        <v>35698617.216796875</v>
      </c>
      <c r="N95" s="247">
        <f t="shared" si="29"/>
        <v>24076563.6744867</v>
      </c>
      <c r="O95" s="247">
        <f t="shared" ref="O95" si="37">O94*(1+B$12)</f>
        <v>34353900</v>
      </c>
      <c r="P95" s="247">
        <f t="shared" si="33"/>
        <v>94129080.891283572</v>
      </c>
      <c r="Q95" s="220"/>
      <c r="R95" s="238">
        <v>259000000</v>
      </c>
      <c r="S95" s="173">
        <f>P95/POWER(1+$B$12,7)+R95</f>
        <v>338187523.36419183</v>
      </c>
      <c r="T95" s="173" t="s">
        <v>196</v>
      </c>
      <c r="U95" s="232">
        <f t="shared" si="32"/>
        <v>97472231.80079338</v>
      </c>
      <c r="V95" s="249">
        <f>U95+240000000</f>
        <v>337472231.80079341</v>
      </c>
      <c r="W95" s="211">
        <f>W94*(1+F$40)+160000000</f>
        <v>2105120314.6569655</v>
      </c>
      <c r="X95" s="185">
        <f t="shared" si="27"/>
        <v>750000000</v>
      </c>
      <c r="Y95" s="185">
        <v>-100000000</v>
      </c>
      <c r="Z95" s="185">
        <v>0</v>
      </c>
      <c r="AA95" s="173">
        <f t="shared" si="11"/>
        <v>6824225386.4415331</v>
      </c>
      <c r="AB95" s="135" t="s">
        <v>194</v>
      </c>
      <c r="AC95" s="135" t="s">
        <v>195</v>
      </c>
    </row>
    <row r="96" spans="1:31">
      <c r="A96" s="140">
        <v>9</v>
      </c>
      <c r="B96" s="141">
        <v>67</v>
      </c>
      <c r="C96" s="208">
        <f t="shared" si="21"/>
        <v>3595345377.7893319</v>
      </c>
      <c r="D96" s="243">
        <f t="shared" si="34"/>
        <v>2005464990.3418069</v>
      </c>
      <c r="E96" s="210">
        <f t="shared" si="35"/>
        <v>1180141947.6654439</v>
      </c>
      <c r="F96" s="210">
        <f t="shared" si="36"/>
        <v>409738439.78208101</v>
      </c>
      <c r="G96" s="209"/>
      <c r="H96" s="246">
        <f t="shared" si="22"/>
        <v>136217852.34375</v>
      </c>
      <c r="I96" s="192">
        <f t="shared" si="23"/>
        <v>166679186.71875</v>
      </c>
      <c r="J96" s="246">
        <f t="shared" si="24"/>
        <v>173084523.828125</v>
      </c>
      <c r="K96" s="246">
        <f t="shared" si="25"/>
        <v>187870955.74337727</v>
      </c>
      <c r="L96" s="246">
        <f t="shared" si="26"/>
        <v>169975570.64142224</v>
      </c>
      <c r="M96" s="247">
        <f t="shared" si="28"/>
        <v>35698617.216796875</v>
      </c>
      <c r="N96" s="247">
        <f t="shared" si="29"/>
        <v>24558094.947976436</v>
      </c>
      <c r="O96" s="247">
        <f t="shared" ref="O96" si="38">O95*(1+B$12)</f>
        <v>35212747.5</v>
      </c>
      <c r="P96" s="247">
        <f t="shared" si="33"/>
        <v>95469459.664773315</v>
      </c>
      <c r="Q96" s="220"/>
      <c r="R96" s="238">
        <v>61000000</v>
      </c>
      <c r="S96" s="173">
        <f>P96/POWER(1+$B$12,8)+R96</f>
        <v>139356231.63724148</v>
      </c>
      <c r="T96" s="173" t="s">
        <v>188</v>
      </c>
      <c r="U96" s="232">
        <f t="shared" si="32"/>
        <v>99909037.5958132</v>
      </c>
      <c r="V96" s="249">
        <f>U96+40000000</f>
        <v>139909037.59581321</v>
      </c>
      <c r="W96" s="185">
        <f>W95*(1+F$40)</f>
        <v>2484041971.2952189</v>
      </c>
      <c r="X96" s="185">
        <f t="shared" si="27"/>
        <v>750000000</v>
      </c>
      <c r="Y96" s="185">
        <v>-100000000</v>
      </c>
      <c r="Z96" s="185">
        <v>0</v>
      </c>
      <c r="AA96" s="173">
        <f t="shared" si="11"/>
        <v>7563215438.3599758</v>
      </c>
    </row>
    <row r="97" spans="1:29">
      <c r="A97" s="140">
        <v>10</v>
      </c>
      <c r="B97" s="141">
        <v>68</v>
      </c>
      <c r="C97" s="208">
        <f t="shared" si="21"/>
        <v>3989603969.7374258</v>
      </c>
      <c r="D97" s="243">
        <f t="shared" si="34"/>
        <v>2221230088.9896603</v>
      </c>
      <c r="E97" s="210">
        <f t="shared" si="35"/>
        <v>1321758981.3852973</v>
      </c>
      <c r="F97" s="210">
        <f t="shared" si="36"/>
        <v>446614899.3624683</v>
      </c>
      <c r="G97" s="209"/>
      <c r="H97" s="246">
        <f t="shared" si="22"/>
        <v>136217852.34375</v>
      </c>
      <c r="I97" s="192">
        <f t="shared" si="23"/>
        <v>166679186.71875</v>
      </c>
      <c r="J97" s="246">
        <f t="shared" si="24"/>
        <v>173084523.828125</v>
      </c>
      <c r="K97" s="246">
        <f t="shared" si="25"/>
        <v>191628374.85824481</v>
      </c>
      <c r="L97" s="246">
        <f t="shared" si="26"/>
        <v>173375082.05425069</v>
      </c>
      <c r="M97" s="247">
        <f t="shared" si="28"/>
        <v>35698617.216796875</v>
      </c>
      <c r="N97" s="247">
        <f t="shared" si="29"/>
        <v>25049256.846935965</v>
      </c>
      <c r="O97" s="247">
        <f t="shared" ref="O97" si="39">O96*(1+B$12)</f>
        <v>36093066.1875</v>
      </c>
      <c r="P97" s="247">
        <f t="shared" si="33"/>
        <v>96840940.251232833</v>
      </c>
      <c r="Q97" s="220"/>
      <c r="R97" s="238">
        <v>65000000</v>
      </c>
      <c r="S97" s="173">
        <f>P97/POWER(1+$B$12,9)+R97</f>
        <v>142543287.43952671</v>
      </c>
      <c r="T97" s="173" t="s">
        <v>188</v>
      </c>
      <c r="U97" s="232">
        <f t="shared" si="32"/>
        <v>102406763.53570852</v>
      </c>
      <c r="V97" s="249">
        <f>U97+40000000</f>
        <v>142406763.53570852</v>
      </c>
      <c r="W97" s="185">
        <f>W96*(1+F$40)</f>
        <v>2931169526.1283584</v>
      </c>
      <c r="X97" s="185">
        <f t="shared" si="27"/>
        <v>750000000</v>
      </c>
      <c r="Y97" s="185">
        <v>-100000000</v>
      </c>
      <c r="Z97" s="185">
        <v>0</v>
      </c>
      <c r="AA97" s="173">
        <f t="shared" si="11"/>
        <v>8411758515.6689053</v>
      </c>
    </row>
    <row r="98" spans="1:29">
      <c r="A98" s="140">
        <v>11</v>
      </c>
      <c r="B98" s="141" t="s">
        <v>172</v>
      </c>
      <c r="C98" s="208">
        <f t="shared" ref="C98" si="40">D98+E98+F98+G98</f>
        <v>3931382600.9048367</v>
      </c>
      <c r="D98" s="243">
        <f>D97*(1+$B$40)-(R98*0.6)</f>
        <v>2191402301.4482131</v>
      </c>
      <c r="E98" s="210">
        <f>E97*(1+$B$41)-(R98*0.3)</f>
        <v>1309970059.1515331</v>
      </c>
      <c r="F98" s="210">
        <f>F97*(1+$D$40)-(R98*0.1)</f>
        <v>430010240.30509049</v>
      </c>
      <c r="G98" s="209"/>
      <c r="H98" s="246">
        <f t="shared" si="22"/>
        <v>136217852.34375</v>
      </c>
      <c r="I98" s="192">
        <f t="shared" si="23"/>
        <v>166679186.71875</v>
      </c>
      <c r="J98" s="246">
        <f t="shared" si="24"/>
        <v>173084523.828125</v>
      </c>
      <c r="K98" s="246">
        <f t="shared" si="25"/>
        <v>195460942.35540971</v>
      </c>
      <c r="L98" s="246">
        <f t="shared" si="26"/>
        <v>176842583.69533572</v>
      </c>
      <c r="M98" s="247">
        <f t="shared" si="28"/>
        <v>35698617.216796875</v>
      </c>
      <c r="N98" s="247">
        <f t="shared" si="29"/>
        <v>25550241.983874686</v>
      </c>
      <c r="O98" s="247">
        <f t="shared" ref="O98" si="41">O97*(1+B$12)</f>
        <v>36995392.842187494</v>
      </c>
      <c r="P98" s="247">
        <f t="shared" si="33"/>
        <v>98244252.042859048</v>
      </c>
      <c r="Q98" s="220"/>
      <c r="R98" s="238">
        <v>568000000</v>
      </c>
      <c r="S98" s="173">
        <f>P98/POWER(1+$B$12,10)+R98</f>
        <v>644748252.67462099</v>
      </c>
      <c r="T98" s="173" t="s">
        <v>197</v>
      </c>
      <c r="U98" s="232">
        <f t="shared" si="32"/>
        <v>104966932.62410122</v>
      </c>
      <c r="V98" s="249">
        <f>U98+540000000</f>
        <v>644966932.62410116</v>
      </c>
      <c r="W98" s="211">
        <f>W97*(1+F$40)+410000000</f>
        <v>3868780040.8314629</v>
      </c>
      <c r="X98" s="185">
        <f t="shared" si="27"/>
        <v>750000000</v>
      </c>
      <c r="Y98" s="185">
        <v>-100000000</v>
      </c>
      <c r="Z98" s="185">
        <v>0</v>
      </c>
      <c r="AA98" s="173">
        <f t="shared" si="11"/>
        <v>9298447730.6776695</v>
      </c>
      <c r="AB98" s="135" t="s">
        <v>171</v>
      </c>
      <c r="AC98" s="135" t="s">
        <v>152</v>
      </c>
    </row>
    <row r="99" spans="1:29">
      <c r="A99" s="140">
        <v>12</v>
      </c>
      <c r="B99" s="141">
        <v>70</v>
      </c>
      <c r="C99" s="208">
        <f t="shared" si="21"/>
        <v>4351076251.8332291</v>
      </c>
      <c r="D99" s="243">
        <f t="shared" si="34"/>
        <v>2415198623.6509633</v>
      </c>
      <c r="E99" s="210">
        <f t="shared" si="35"/>
        <v>1467166466.2497172</v>
      </c>
      <c r="F99" s="210">
        <f t="shared" si="36"/>
        <v>468711161.93254864</v>
      </c>
      <c r="G99" s="209"/>
      <c r="H99" s="268">
        <f t="shared" ref="H99:H100" si="42">H98*(1+C$27)-H98*D$27</f>
        <v>136217852.34375</v>
      </c>
      <c r="I99" s="269">
        <f t="shared" ref="I99:I100" si="43">I98*(1+C$27)-I98*D$27</f>
        <v>166679186.71875</v>
      </c>
      <c r="J99" s="268">
        <f t="shared" ref="J99:J100" si="44">J98*(1+C$27)-J98*D$27</f>
        <v>173084523.828125</v>
      </c>
      <c r="K99" s="268">
        <f t="shared" ref="K99:K114" si="45">K98*(1+$C$31)-K98*$D$31</f>
        <v>199370161.20251793</v>
      </c>
      <c r="L99" s="268">
        <f t="shared" ref="L99:L100" si="46">L98*(1+C$31)-L98*D$31</f>
        <v>180379435.36924243</v>
      </c>
      <c r="M99" s="248">
        <f t="shared" ref="M99:M112" si="47">(H99+I99+J99)*(D$27*(1-5.5%))</f>
        <v>33735193.269873045</v>
      </c>
      <c r="N99" s="248">
        <f t="shared" ref="N99:N112" si="48">(K99+L99)*D$26*(1-9.9%)</f>
        <v>25661578.988336705</v>
      </c>
      <c r="O99" s="248">
        <f t="shared" ref="O99:O112" si="49">O98*(1+B$12)</f>
        <v>37920277.663242176</v>
      </c>
      <c r="P99" s="248">
        <f t="shared" si="30"/>
        <v>97317049.921451926</v>
      </c>
      <c r="Q99" s="173"/>
      <c r="R99" s="238">
        <v>83000000</v>
      </c>
      <c r="S99" s="173">
        <f>P99/POWER(1+$B$12,11)+R99</f>
        <v>157169681.81395224</v>
      </c>
      <c r="T99" s="173" t="s">
        <v>192</v>
      </c>
      <c r="U99" s="232">
        <f t="shared" si="32"/>
        <v>107591105.93970375</v>
      </c>
      <c r="V99" s="249">
        <f>U99+50000000</f>
        <v>157591105.93970376</v>
      </c>
      <c r="W99" s="185">
        <f t="shared" ref="W99:W112" si="50">W98*(1+F$40)</f>
        <v>4565160448.1811256</v>
      </c>
      <c r="X99" s="185">
        <f t="shared" si="27"/>
        <v>750000000</v>
      </c>
      <c r="Y99" s="185">
        <v>-100000000</v>
      </c>
      <c r="Z99" s="185">
        <v>0</v>
      </c>
      <c r="AA99" s="173">
        <f t="shared" si="11"/>
        <v>10421967859.47674</v>
      </c>
    </row>
    <row r="100" spans="1:29">
      <c r="A100" s="140">
        <v>13</v>
      </c>
      <c r="B100" s="141">
        <v>71</v>
      </c>
      <c r="C100" s="208">
        <f t="shared" si="21"/>
        <v>4820448039.6682606</v>
      </c>
      <c r="D100" s="243">
        <f t="shared" si="34"/>
        <v>2666326430.9620986</v>
      </c>
      <c r="E100" s="210">
        <f t="shared" si="35"/>
        <v>1643226442.1996834</v>
      </c>
      <c r="F100" s="210">
        <f t="shared" si="36"/>
        <v>510895166.50647807</v>
      </c>
      <c r="G100" s="209"/>
      <c r="H100" s="268">
        <f t="shared" si="42"/>
        <v>136217852.34375</v>
      </c>
      <c r="I100" s="269">
        <f t="shared" si="43"/>
        <v>166679186.71875</v>
      </c>
      <c r="J100" s="268">
        <f t="shared" si="44"/>
        <v>173084523.828125</v>
      </c>
      <c r="K100" s="268">
        <f t="shared" si="45"/>
        <v>203357564.4265683</v>
      </c>
      <c r="L100" s="268">
        <f t="shared" si="46"/>
        <v>183987024.07662728</v>
      </c>
      <c r="M100" s="248">
        <f t="shared" si="47"/>
        <v>33735193.269873045</v>
      </c>
      <c r="N100" s="248">
        <f t="shared" si="48"/>
        <v>26174810.568103444</v>
      </c>
      <c r="O100" s="248">
        <f t="shared" si="49"/>
        <v>38868284.604823224</v>
      </c>
      <c r="P100" s="248">
        <f t="shared" si="30"/>
        <v>98778288.442799717</v>
      </c>
      <c r="Q100" s="173"/>
      <c r="R100" s="238">
        <v>87000000</v>
      </c>
      <c r="S100" s="173">
        <f>P100/POWER(1+$B$12,12)+R100</f>
        <v>160447177.68634671</v>
      </c>
      <c r="T100" s="173" t="s">
        <v>192</v>
      </c>
      <c r="U100" s="232">
        <f t="shared" si="32"/>
        <v>110280883.58819634</v>
      </c>
      <c r="V100" s="249">
        <f t="shared" ref="V100:V109" si="51">U100+50000000</f>
        <v>160280883.58819634</v>
      </c>
      <c r="W100" s="185">
        <f t="shared" si="50"/>
        <v>5386889328.8537283</v>
      </c>
      <c r="X100" s="185">
        <f t="shared" si="27"/>
        <v>750000000</v>
      </c>
      <c r="Y100" s="185">
        <v>-100000000</v>
      </c>
      <c r="Z100" s="185">
        <v>0</v>
      </c>
      <c r="AA100" s="173">
        <f t="shared" si="11"/>
        <v>11720663519.91581</v>
      </c>
    </row>
    <row r="101" spans="1:29">
      <c r="A101" s="140">
        <v>14</v>
      </c>
      <c r="B101" s="141">
        <v>72</v>
      </c>
      <c r="C101" s="208">
        <f t="shared" si="21"/>
        <v>5345901478.0524998</v>
      </c>
      <c r="D101" s="243">
        <f t="shared" si="34"/>
        <v>2948612131.2967925</v>
      </c>
      <c r="E101" s="210">
        <f t="shared" si="35"/>
        <v>1840413615.2636456</v>
      </c>
      <c r="F101" s="210">
        <f t="shared" si="36"/>
        <v>556875731.49206114</v>
      </c>
      <c r="G101" s="209"/>
      <c r="H101" s="268">
        <f>H100*(1+C$27)-H100*D$27</f>
        <v>136217852.34375</v>
      </c>
      <c r="I101" s="269">
        <f>I100*(1+C$27)-I100*D$27</f>
        <v>166679186.71875</v>
      </c>
      <c r="J101" s="268">
        <f>J100*(1+C$27)-J100*D$27</f>
        <v>173084523.828125</v>
      </c>
      <c r="K101" s="268">
        <f t="shared" si="45"/>
        <v>207424715.71509969</v>
      </c>
      <c r="L101" s="268">
        <f>L100*(1+C$31)-L100*D$31</f>
        <v>187666764.55815983</v>
      </c>
      <c r="M101" s="248">
        <f t="shared" si="47"/>
        <v>33735193.269873045</v>
      </c>
      <c r="N101" s="248">
        <f t="shared" si="48"/>
        <v>26698306.779465515</v>
      </c>
      <c r="O101" s="248">
        <f t="shared" si="49"/>
        <v>39839991.719943799</v>
      </c>
      <c r="P101" s="248">
        <f t="shared" si="30"/>
        <v>100273491.76928237</v>
      </c>
      <c r="Q101" s="173"/>
      <c r="R101" s="238">
        <v>91000000</v>
      </c>
      <c r="S101" s="173">
        <f>P101/POWER(1+$B$12,13)+R101</f>
        <v>163740434.06740701</v>
      </c>
      <c r="T101" s="173" t="s">
        <v>192</v>
      </c>
      <c r="U101" s="232">
        <f t="shared" si="32"/>
        <v>113037905.67790124</v>
      </c>
      <c r="V101" s="249">
        <f t="shared" si="51"/>
        <v>163037905.67790124</v>
      </c>
      <c r="W101" s="185">
        <f t="shared" si="50"/>
        <v>6356529408.0473995</v>
      </c>
      <c r="X101" s="185">
        <f t="shared" si="27"/>
        <v>750000000</v>
      </c>
      <c r="Y101" s="185">
        <v>-100000000</v>
      </c>
      <c r="Z101" s="185">
        <v>0</v>
      </c>
      <c r="AA101" s="173">
        <f t="shared" si="11"/>
        <v>13223503929.263783</v>
      </c>
    </row>
    <row r="102" spans="1:29">
      <c r="A102" s="140">
        <v>15</v>
      </c>
      <c r="B102" s="141">
        <v>73</v>
      </c>
      <c r="C102" s="208">
        <f t="shared" si="21"/>
        <v>5936675626.0999737</v>
      </c>
      <c r="D102" s="243">
        <f t="shared" si="34"/>
        <v>3268417829.6783438</v>
      </c>
      <c r="E102" s="210">
        <f t="shared" si="35"/>
        <v>2061263249.0952833</v>
      </c>
      <c r="F102" s="210">
        <f t="shared" si="36"/>
        <v>606994547.32634664</v>
      </c>
      <c r="G102" s="209"/>
      <c r="H102" s="173">
        <f t="shared" ref="H102:H112" si="52">H101*(1+C$27)-H101*D$27</f>
        <v>136217852.34375</v>
      </c>
      <c r="I102" s="221">
        <f t="shared" ref="I102:I112" si="53">I101*(1+C$27)-I101*D$27</f>
        <v>166679186.71875</v>
      </c>
      <c r="J102" s="173">
        <f t="shared" ref="J102:J112" si="54">J101*(1+C$27)-J101*D$27</f>
        <v>173084523.828125</v>
      </c>
      <c r="K102" s="173">
        <f t="shared" si="45"/>
        <v>211573210.02940172</v>
      </c>
      <c r="L102" s="173">
        <f t="shared" ref="L102:L112" si="55">L101*(1+C$31)-L101*D$31</f>
        <v>191420099.84932303</v>
      </c>
      <c r="M102" s="248">
        <f t="shared" si="47"/>
        <v>33735193.269873045</v>
      </c>
      <c r="N102" s="248">
        <f t="shared" si="48"/>
        <v>27232272.915054824</v>
      </c>
      <c r="O102" s="248">
        <f t="shared" si="49"/>
        <v>40835991.512942389</v>
      </c>
      <c r="P102" s="248">
        <f t="shared" si="30"/>
        <v>101803457.69787025</v>
      </c>
      <c r="Q102" s="173"/>
      <c r="R102" s="238">
        <v>93000000</v>
      </c>
      <c r="S102" s="173">
        <f>P102/POWER(1+$B$12,14)+R102</f>
        <v>165049075.63518149</v>
      </c>
      <c r="T102" s="173" t="s">
        <v>192</v>
      </c>
      <c r="U102" s="232">
        <f t="shared" si="32"/>
        <v>115863853.31984876</v>
      </c>
      <c r="V102" s="249">
        <f t="shared" si="51"/>
        <v>165863853.31984878</v>
      </c>
      <c r="W102" s="185">
        <f t="shared" si="50"/>
        <v>7500704701.4959307</v>
      </c>
      <c r="X102" s="185">
        <f t="shared" si="27"/>
        <v>750000000</v>
      </c>
      <c r="Y102" s="185">
        <v>-100000000</v>
      </c>
      <c r="Z102" s="185">
        <v>0</v>
      </c>
      <c r="AA102" s="173">
        <f t="shared" si="11"/>
        <v>14966355200.365253</v>
      </c>
    </row>
    <row r="103" spans="1:29">
      <c r="A103" s="255">
        <v>16</v>
      </c>
      <c r="B103" s="256">
        <v>74</v>
      </c>
      <c r="C103" s="257">
        <f t="shared" si="21"/>
        <v>6599235221.4057484</v>
      </c>
      <c r="D103" s="258">
        <f t="shared" si="34"/>
        <v>3628996325.8333125</v>
      </c>
      <c r="E103" s="259">
        <f t="shared" si="35"/>
        <v>2308614838.9867177</v>
      </c>
      <c r="F103" s="259">
        <f t="shared" si="36"/>
        <v>661624056.58571792</v>
      </c>
      <c r="G103" s="260"/>
      <c r="H103" s="261">
        <f t="shared" si="52"/>
        <v>136217852.34375</v>
      </c>
      <c r="I103" s="221">
        <f t="shared" si="53"/>
        <v>166679186.71875</v>
      </c>
      <c r="J103" s="173">
        <f t="shared" si="54"/>
        <v>173084523.828125</v>
      </c>
      <c r="K103" s="173">
        <f t="shared" si="45"/>
        <v>215804674.22998977</v>
      </c>
      <c r="L103" s="173">
        <f t="shared" si="55"/>
        <v>195248501.84630951</v>
      </c>
      <c r="M103" s="248">
        <f t="shared" si="47"/>
        <v>33735193.269873045</v>
      </c>
      <c r="N103" s="248">
        <f t="shared" si="48"/>
        <v>27776918.373355925</v>
      </c>
      <c r="O103" s="248">
        <f t="shared" si="49"/>
        <v>41856891.300765947</v>
      </c>
      <c r="P103" s="248">
        <f t="shared" si="30"/>
        <v>103369002.94399491</v>
      </c>
      <c r="Q103" s="173"/>
      <c r="R103" s="238">
        <v>97000000</v>
      </c>
      <c r="S103" s="173">
        <f>P103/POWER(1+$B$12,15)+R103</f>
        <v>168372736.17761621</v>
      </c>
      <c r="T103" s="173" t="s">
        <v>192</v>
      </c>
      <c r="U103" s="232">
        <f t="shared" si="32"/>
        <v>118760449.65284497</v>
      </c>
      <c r="V103" s="249">
        <f t="shared" si="51"/>
        <v>168760449.65284497</v>
      </c>
      <c r="W103" s="185">
        <f t="shared" si="50"/>
        <v>8850831547.7651978</v>
      </c>
      <c r="X103" s="185">
        <f t="shared" si="27"/>
        <v>750000000</v>
      </c>
      <c r="Y103" s="185">
        <v>-100000000</v>
      </c>
      <c r="Z103" s="185">
        <v>0</v>
      </c>
      <c r="AA103" s="173">
        <f t="shared" si="11"/>
        <v>16987101508.137871</v>
      </c>
    </row>
    <row r="104" spans="1:29">
      <c r="A104" s="262">
        <v>17</v>
      </c>
      <c r="B104" s="262">
        <v>75</v>
      </c>
      <c r="C104" s="263">
        <f t="shared" si="21"/>
        <v>7342874652.7935333</v>
      </c>
      <c r="D104" s="264">
        <f t="shared" si="34"/>
        <v>4036055811.4499769</v>
      </c>
      <c r="E104" s="265">
        <f t="shared" si="35"/>
        <v>2585648619.6651239</v>
      </c>
      <c r="F104" s="265">
        <f t="shared" si="36"/>
        <v>721170221.67843258</v>
      </c>
      <c r="G104" s="266"/>
      <c r="H104" s="267">
        <f t="shared" si="52"/>
        <v>136217852.34375</v>
      </c>
      <c r="I104" s="221">
        <f t="shared" si="53"/>
        <v>166679186.71875</v>
      </c>
      <c r="J104" s="173">
        <f t="shared" si="54"/>
        <v>173084523.828125</v>
      </c>
      <c r="K104" s="173">
        <f t="shared" si="45"/>
        <v>220120767.7145896</v>
      </c>
      <c r="L104" s="173">
        <f t="shared" si="55"/>
        <v>199153471.88323572</v>
      </c>
      <c r="M104" s="248">
        <f t="shared" si="47"/>
        <v>33735193.269873045</v>
      </c>
      <c r="N104" s="248">
        <f t="shared" si="48"/>
        <v>28332456.740823042</v>
      </c>
      <c r="O104" s="248">
        <f t="shared" si="49"/>
        <v>42903313.583285093</v>
      </c>
      <c r="P104" s="248">
        <f t="shared" si="30"/>
        <v>104970963.59398118</v>
      </c>
      <c r="Q104" s="173"/>
      <c r="R104" s="238">
        <v>101000000</v>
      </c>
      <c r="S104" s="173">
        <f>P104/POWER(1+$B$12,16)+R104</f>
        <v>171711058.37057865</v>
      </c>
      <c r="T104" s="173" t="s">
        <v>192</v>
      </c>
      <c r="U104" s="232">
        <f t="shared" si="32"/>
        <v>121729460.89416608</v>
      </c>
      <c r="V104" s="249">
        <f t="shared" si="51"/>
        <v>171729460.89416608</v>
      </c>
      <c r="W104" s="185">
        <f t="shared" si="50"/>
        <v>10443981226.362932</v>
      </c>
      <c r="X104" s="185">
        <f t="shared" si="27"/>
        <v>750000000</v>
      </c>
      <c r="Y104" s="185">
        <v>-100000000</v>
      </c>
      <c r="Z104" s="185">
        <v>0</v>
      </c>
      <c r="AA104" s="173">
        <f t="shared" si="11"/>
        <v>19332111681.644917</v>
      </c>
    </row>
    <row r="105" spans="1:29">
      <c r="A105" s="262">
        <v>18</v>
      </c>
      <c r="B105" s="262">
        <v>76</v>
      </c>
      <c r="C105" s="263">
        <f t="shared" si="21"/>
        <v>8178105620.7074051</v>
      </c>
      <c r="D105" s="264">
        <f t="shared" si="34"/>
        <v>4496103625.0529737</v>
      </c>
      <c r="E105" s="265">
        <f t="shared" si="35"/>
        <v>2895926454.0249391</v>
      </c>
      <c r="F105" s="265">
        <f t="shared" si="36"/>
        <v>786075541.62949157</v>
      </c>
      <c r="G105" s="266"/>
      <c r="H105" s="267">
        <f t="shared" si="52"/>
        <v>136217852.34375</v>
      </c>
      <c r="I105" s="221">
        <f t="shared" si="53"/>
        <v>166679186.71875</v>
      </c>
      <c r="J105" s="173">
        <f t="shared" si="54"/>
        <v>173084523.828125</v>
      </c>
      <c r="K105" s="173">
        <f t="shared" si="45"/>
        <v>224523183.06888139</v>
      </c>
      <c r="L105" s="173">
        <f t="shared" si="55"/>
        <v>203136541.32090047</v>
      </c>
      <c r="M105" s="248">
        <f t="shared" si="47"/>
        <v>33735193.269873045</v>
      </c>
      <c r="N105" s="248">
        <f t="shared" si="48"/>
        <v>28899105.875639506</v>
      </c>
      <c r="O105" s="248">
        <f t="shared" si="49"/>
        <v>43975896.422867216</v>
      </c>
      <c r="P105" s="248">
        <f t="shared" si="30"/>
        <v>106610195.56837976</v>
      </c>
      <c r="Q105" s="173"/>
      <c r="R105" s="238">
        <v>105000000</v>
      </c>
      <c r="S105" s="173">
        <f>P105/POWER(1+$B$12,17)+R105</f>
        <v>175063693.56129402</v>
      </c>
      <c r="T105" s="173" t="s">
        <v>192</v>
      </c>
      <c r="U105" s="232">
        <f t="shared" si="32"/>
        <v>124772697.41652022</v>
      </c>
      <c r="V105" s="249">
        <f t="shared" si="51"/>
        <v>174772697.41652024</v>
      </c>
      <c r="W105" s="185">
        <f t="shared" si="50"/>
        <v>12323897847.108259</v>
      </c>
      <c r="X105" s="185">
        <f t="shared" si="27"/>
        <v>750000000</v>
      </c>
      <c r="Y105" s="185">
        <v>-100000000</v>
      </c>
      <c r="Z105" s="185">
        <v>0</v>
      </c>
      <c r="AA105" s="173">
        <f t="shared" si="11"/>
        <v>22055644755.096069</v>
      </c>
    </row>
    <row r="106" spans="1:29">
      <c r="A106" s="262">
        <v>19</v>
      </c>
      <c r="B106" s="262">
        <v>77</v>
      </c>
      <c r="C106" s="263">
        <f t="shared" si="21"/>
        <v>9117818101.4444695</v>
      </c>
      <c r="D106" s="264">
        <f t="shared" si="34"/>
        <v>5017558132.5603905</v>
      </c>
      <c r="E106" s="265">
        <f t="shared" si="35"/>
        <v>3243437628.5079322</v>
      </c>
      <c r="F106" s="265">
        <f t="shared" si="36"/>
        <v>856822340.37614584</v>
      </c>
      <c r="G106" s="266"/>
      <c r="H106" s="267">
        <f t="shared" si="52"/>
        <v>136217852.34375</v>
      </c>
      <c r="I106" s="221">
        <f t="shared" si="53"/>
        <v>166679186.71875</v>
      </c>
      <c r="J106" s="173">
        <f t="shared" si="54"/>
        <v>173084523.828125</v>
      </c>
      <c r="K106" s="173">
        <f t="shared" si="45"/>
        <v>229013646.73025903</v>
      </c>
      <c r="L106" s="173">
        <f t="shared" si="55"/>
        <v>207199272.14731851</v>
      </c>
      <c r="M106" s="248">
        <f t="shared" si="47"/>
        <v>33735193.269873045</v>
      </c>
      <c r="N106" s="248">
        <f t="shared" si="48"/>
        <v>29477087.993152302</v>
      </c>
      <c r="O106" s="248">
        <f t="shared" si="49"/>
        <v>45075293.833438896</v>
      </c>
      <c r="P106" s="248">
        <f t="shared" si="30"/>
        <v>108287575.09646425</v>
      </c>
      <c r="Q106" s="173"/>
      <c r="R106" s="238">
        <v>108000000</v>
      </c>
      <c r="S106" s="173">
        <f>P106/POWER(1+$B$12,18)+R106</f>
        <v>177430301.55706269</v>
      </c>
      <c r="T106" s="173" t="s">
        <v>192</v>
      </c>
      <c r="U106" s="232">
        <f t="shared" si="32"/>
        <v>127892014.85193321</v>
      </c>
      <c r="V106" s="249">
        <f t="shared" si="51"/>
        <v>177892014.85193321</v>
      </c>
      <c r="W106" s="185">
        <f t="shared" si="50"/>
        <v>14542199459.587746</v>
      </c>
      <c r="X106" s="185">
        <f t="shared" si="27"/>
        <v>750000000</v>
      </c>
      <c r="Y106" s="185">
        <v>-100000000</v>
      </c>
      <c r="Z106" s="185">
        <v>0</v>
      </c>
      <c r="AA106" s="173">
        <f t="shared" si="11"/>
        <v>25222212042.800415</v>
      </c>
    </row>
    <row r="107" spans="1:29">
      <c r="A107" s="262">
        <v>20</v>
      </c>
      <c r="B107" s="262">
        <v>78</v>
      </c>
      <c r="C107" s="263">
        <f t="shared" si="21"/>
        <v>10174602766.057728</v>
      </c>
      <c r="D107" s="264">
        <f t="shared" si="34"/>
        <v>5608016271.1188459</v>
      </c>
      <c r="E107" s="265">
        <f t="shared" si="35"/>
        <v>3632650143.9288845</v>
      </c>
      <c r="F107" s="265">
        <f t="shared" si="36"/>
        <v>933936351.00999904</v>
      </c>
      <c r="G107" s="266"/>
      <c r="H107" s="267">
        <f t="shared" si="52"/>
        <v>136217852.34375</v>
      </c>
      <c r="I107" s="221">
        <f t="shared" si="53"/>
        <v>166679186.71875</v>
      </c>
      <c r="J107" s="173">
        <f t="shared" si="54"/>
        <v>173084523.828125</v>
      </c>
      <c r="K107" s="173">
        <f t="shared" si="45"/>
        <v>233593919.66486424</v>
      </c>
      <c r="L107" s="173">
        <f t="shared" si="55"/>
        <v>211343257.59026489</v>
      </c>
      <c r="M107" s="248">
        <f t="shared" si="47"/>
        <v>33735193.269873045</v>
      </c>
      <c r="N107" s="248">
        <f t="shared" si="48"/>
        <v>30066629.753015347</v>
      </c>
      <c r="O107" s="248">
        <f t="shared" si="49"/>
        <v>46202176.179274864</v>
      </c>
      <c r="P107" s="248">
        <f t="shared" si="30"/>
        <v>110003999.20216325</v>
      </c>
      <c r="Q107" s="173"/>
      <c r="R107" s="238">
        <v>112000000</v>
      </c>
      <c r="S107" s="173">
        <f>P107/POWER(1+$B$12,19)+R107</f>
        <v>180810550.41912985</v>
      </c>
      <c r="T107" s="173" t="s">
        <v>192</v>
      </c>
      <c r="U107" s="232">
        <f t="shared" si="32"/>
        <v>131089315.22323152</v>
      </c>
      <c r="V107" s="249">
        <f t="shared" si="51"/>
        <v>181089315.22323152</v>
      </c>
      <c r="W107" s="185">
        <f t="shared" si="50"/>
        <v>17159795362.31354</v>
      </c>
      <c r="X107" s="185">
        <f t="shared" si="27"/>
        <v>750000000</v>
      </c>
      <c r="Y107" s="185">
        <v>-100000000</v>
      </c>
      <c r="Z107" s="185">
        <v>0</v>
      </c>
      <c r="AA107" s="173">
        <f t="shared" si="11"/>
        <v>28905316868.517021</v>
      </c>
    </row>
    <row r="108" spans="1:29">
      <c r="A108" s="262">
        <v>21</v>
      </c>
      <c r="B108" s="262">
        <v>79</v>
      </c>
      <c r="C108" s="263">
        <f t="shared" si="21"/>
        <v>10863697332.876736</v>
      </c>
      <c r="D108" s="243">
        <f>D107*(1+$B$40)-(R108*0.6)</f>
        <v>6023538549.0754852</v>
      </c>
      <c r="E108" s="210">
        <f>E107*(1+$B$41)-(R108*0.3)</f>
        <v>3883768161.2003512</v>
      </c>
      <c r="F108" s="210">
        <f>F107*(1+$D$40)-(R108*0.1)</f>
        <v>956390622.60089898</v>
      </c>
      <c r="G108" s="266"/>
      <c r="H108" s="267">
        <f t="shared" si="52"/>
        <v>136217852.34375</v>
      </c>
      <c r="I108" s="221">
        <f t="shared" si="53"/>
        <v>166679186.71875</v>
      </c>
      <c r="J108" s="173">
        <f t="shared" si="54"/>
        <v>173084523.828125</v>
      </c>
      <c r="K108" s="173">
        <f t="shared" si="45"/>
        <v>238265798.05816153</v>
      </c>
      <c r="L108" s="173">
        <f t="shared" si="55"/>
        <v>215570122.7420702</v>
      </c>
      <c r="M108" s="248">
        <f>(H108+I108+J108)*(D$27*(1-5.5%))</f>
        <v>33735193.269873045</v>
      </c>
      <c r="N108" s="248">
        <f t="shared" si="48"/>
        <v>30667962.348075658</v>
      </c>
      <c r="O108" s="248">
        <f t="shared" si="49"/>
        <v>47357230.58375673</v>
      </c>
      <c r="P108" s="248">
        <f t="shared" si="30"/>
        <v>111760386.20170543</v>
      </c>
      <c r="Q108" s="173"/>
      <c r="R108" s="238">
        <v>616000000</v>
      </c>
      <c r="S108" s="173">
        <f>P108/POWER(1+$B$12,20)+R108</f>
        <v>684204116.26158178</v>
      </c>
      <c r="T108" s="173" t="s">
        <v>192</v>
      </c>
      <c r="U108" s="232">
        <f t="shared" si="32"/>
        <v>134366548.10381231</v>
      </c>
      <c r="V108" s="249">
        <f>U108+550000000</f>
        <v>684366548.10381234</v>
      </c>
      <c r="W108" s="211">
        <f>W107*(1+F$40)+410000000</f>
        <v>20658558527.529976</v>
      </c>
      <c r="X108" s="185">
        <f t="shared" si="27"/>
        <v>750000000</v>
      </c>
      <c r="Y108" s="185">
        <v>-100000000</v>
      </c>
      <c r="Z108" s="185">
        <v>0</v>
      </c>
      <c r="AA108" s="173">
        <f t="shared" si="11"/>
        <v>33102073344.097565</v>
      </c>
      <c r="AB108" s="135" t="s">
        <v>171</v>
      </c>
      <c r="AC108" s="135" t="s">
        <v>152</v>
      </c>
    </row>
    <row r="109" spans="1:29">
      <c r="A109" s="262">
        <v>22</v>
      </c>
      <c r="B109" s="262">
        <v>80</v>
      </c>
      <c r="C109" s="263">
        <f t="shared" si="21"/>
        <v>12129120065.125427</v>
      </c>
      <c r="D109" s="264">
        <f t="shared" si="34"/>
        <v>6736833945.9460535</v>
      </c>
      <c r="E109" s="265">
        <f t="shared" si="35"/>
        <v>4349820340.5443935</v>
      </c>
      <c r="F109" s="265">
        <f t="shared" si="36"/>
        <v>1042465778.63498</v>
      </c>
      <c r="G109" s="266"/>
      <c r="H109" s="267">
        <f t="shared" si="52"/>
        <v>136217852.34375</v>
      </c>
      <c r="I109" s="221">
        <f t="shared" si="53"/>
        <v>166679186.71875</v>
      </c>
      <c r="J109" s="173">
        <f t="shared" si="54"/>
        <v>173084523.828125</v>
      </c>
      <c r="K109" s="173">
        <f t="shared" si="45"/>
        <v>243031114.01932478</v>
      </c>
      <c r="L109" s="173">
        <f t="shared" si="55"/>
        <v>219881525.19691163</v>
      </c>
      <c r="M109" s="248">
        <f t="shared" si="47"/>
        <v>33735193.269873045</v>
      </c>
      <c r="N109" s="248">
        <f t="shared" si="48"/>
        <v>31281321.595037173</v>
      </c>
      <c r="O109" s="248">
        <f t="shared" si="49"/>
        <v>48541161.348350644</v>
      </c>
      <c r="P109" s="248">
        <f t="shared" si="30"/>
        <v>113557676.21326086</v>
      </c>
      <c r="Q109" s="173"/>
      <c r="R109" s="238">
        <v>130000000</v>
      </c>
      <c r="S109" s="173">
        <f>P109/POWER(1+$B$12,21)+R109</f>
        <v>197610683.05514586</v>
      </c>
      <c r="T109" s="173" t="s">
        <v>193</v>
      </c>
      <c r="U109" s="232">
        <f t="shared" si="32"/>
        <v>137725711.8064076</v>
      </c>
      <c r="V109" s="249">
        <f>U109+60000000</f>
        <v>197725711.8064076</v>
      </c>
      <c r="W109" s="185">
        <f t="shared" si="50"/>
        <v>24377099062.485371</v>
      </c>
      <c r="X109" s="185">
        <f t="shared" si="27"/>
        <v>750000000</v>
      </c>
      <c r="Y109" s="185">
        <v>-100000000</v>
      </c>
      <c r="Z109" s="185">
        <v>0</v>
      </c>
      <c r="AA109" s="173">
        <f t="shared" si="11"/>
        <v>38095113329.717659</v>
      </c>
    </row>
    <row r="110" spans="1:29">
      <c r="A110" s="262">
        <v>23</v>
      </c>
      <c r="B110" s="262">
        <v>81</v>
      </c>
      <c r="C110" s="263">
        <f t="shared" si="21"/>
        <v>13554077178.500351</v>
      </c>
      <c r="D110" s="264">
        <f t="shared" si="34"/>
        <v>7545990698.3785019</v>
      </c>
      <c r="E110" s="265">
        <f t="shared" si="35"/>
        <v>4871798781.4097214</v>
      </c>
      <c r="F110" s="265">
        <f t="shared" si="36"/>
        <v>1136287698.7121282</v>
      </c>
      <c r="G110" s="266"/>
      <c r="H110" s="267">
        <f t="shared" si="52"/>
        <v>136217852.34375</v>
      </c>
      <c r="I110" s="221">
        <f t="shared" si="53"/>
        <v>166679186.71875</v>
      </c>
      <c r="J110" s="173">
        <f t="shared" si="54"/>
        <v>173084523.828125</v>
      </c>
      <c r="K110" s="173">
        <f t="shared" si="45"/>
        <v>247891736.29971129</v>
      </c>
      <c r="L110" s="173">
        <f t="shared" si="55"/>
        <v>224279155.70084989</v>
      </c>
      <c r="M110" s="248">
        <f t="shared" si="47"/>
        <v>33735193.269873045</v>
      </c>
      <c r="N110" s="248">
        <f t="shared" si="48"/>
        <v>31906948.026937921</v>
      </c>
      <c r="O110" s="248">
        <f t="shared" si="49"/>
        <v>49754690.382059403</v>
      </c>
      <c r="P110" s="248">
        <f t="shared" si="30"/>
        <v>115396831.67887038</v>
      </c>
      <c r="Q110" s="173"/>
      <c r="R110" s="238">
        <v>134000000</v>
      </c>
      <c r="S110" s="173">
        <f>P110/POWER(1+$B$12,22)+R110</f>
        <v>201029942.43577486</v>
      </c>
      <c r="T110" s="173" t="s">
        <v>193</v>
      </c>
      <c r="U110" s="232">
        <f t="shared" si="32"/>
        <v>141168854.60156778</v>
      </c>
      <c r="V110" s="249">
        <f t="shared" ref="V110:V114" si="56">U110+60000000</f>
        <v>201168854.60156778</v>
      </c>
      <c r="W110" s="185">
        <f t="shared" si="50"/>
        <v>28764976893.732735</v>
      </c>
      <c r="X110" s="185">
        <f t="shared" si="27"/>
        <v>750000000</v>
      </c>
      <c r="Y110" s="185">
        <v>-100000000</v>
      </c>
      <c r="Z110" s="185">
        <v>0</v>
      </c>
      <c r="AA110" s="173">
        <f t="shared" si="11"/>
        <v>43917206527.124268</v>
      </c>
    </row>
    <row r="111" spans="1:29">
      <c r="A111" s="262">
        <v>24</v>
      </c>
      <c r="B111" s="262">
        <v>82</v>
      </c>
      <c r="C111" s="263">
        <f t="shared" si="21"/>
        <v>15159397622.926601</v>
      </c>
      <c r="D111" s="264">
        <f t="shared" si="34"/>
        <v>8464429396.1514931</v>
      </c>
      <c r="E111" s="265">
        <f t="shared" si="35"/>
        <v>5456414635.1788883</v>
      </c>
      <c r="F111" s="265">
        <f t="shared" si="36"/>
        <v>1238553591.5962198</v>
      </c>
      <c r="G111" s="266"/>
      <c r="H111" s="267">
        <f t="shared" si="52"/>
        <v>136217852.34375</v>
      </c>
      <c r="I111" s="221">
        <f t="shared" si="53"/>
        <v>166679186.71875</v>
      </c>
      <c r="J111" s="173">
        <f t="shared" si="54"/>
        <v>173084523.828125</v>
      </c>
      <c r="K111" s="173">
        <f t="shared" si="45"/>
        <v>252849571.02570552</v>
      </c>
      <c r="L111" s="173">
        <f t="shared" si="55"/>
        <v>228764738.8148669</v>
      </c>
      <c r="M111" s="248">
        <f t="shared" si="47"/>
        <v>33735193.269873045</v>
      </c>
      <c r="N111" s="248">
        <f t="shared" si="48"/>
        <v>32545086.98747668</v>
      </c>
      <c r="O111" s="248">
        <f t="shared" si="49"/>
        <v>50998557.641610883</v>
      </c>
      <c r="P111" s="248">
        <f t="shared" si="30"/>
        <v>117278837.89896062</v>
      </c>
      <c r="Q111" s="173"/>
      <c r="R111" s="238">
        <v>138000000</v>
      </c>
      <c r="S111" s="173">
        <f>P111/POWER(1+$B$12,23)+R111</f>
        <v>204461593.51789939</v>
      </c>
      <c r="T111" s="173" t="s">
        <v>193</v>
      </c>
      <c r="U111" s="232">
        <f t="shared" si="32"/>
        <v>144698075.96660694</v>
      </c>
      <c r="V111" s="249">
        <f t="shared" si="56"/>
        <v>204698075.96660694</v>
      </c>
      <c r="W111" s="185">
        <f t="shared" si="50"/>
        <v>33942672734.604626</v>
      </c>
      <c r="X111" s="185">
        <f t="shared" si="27"/>
        <v>750000000</v>
      </c>
      <c r="Y111" s="185">
        <v>-100000000</v>
      </c>
      <c r="Z111" s="185">
        <v>0</v>
      </c>
      <c r="AA111" s="173">
        <f t="shared" si="11"/>
        <v>50709666230.262421</v>
      </c>
    </row>
    <row r="112" spans="1:29">
      <c r="A112" s="262">
        <v>25</v>
      </c>
      <c r="B112" s="262">
        <v>83</v>
      </c>
      <c r="C112" s="263">
        <f t="shared" si="21"/>
        <v>16967657317.852938</v>
      </c>
      <c r="D112" s="264">
        <f t="shared" si="34"/>
        <v>9506449511.6127033</v>
      </c>
      <c r="E112" s="265">
        <f t="shared" si="35"/>
        <v>6111184391.4003553</v>
      </c>
      <c r="F112" s="265">
        <f t="shared" si="36"/>
        <v>1350023414.8398798</v>
      </c>
      <c r="G112" s="266"/>
      <c r="H112" s="267">
        <f t="shared" si="52"/>
        <v>136217852.34375</v>
      </c>
      <c r="I112" s="221">
        <f t="shared" si="53"/>
        <v>166679186.71875</v>
      </c>
      <c r="J112" s="173">
        <f t="shared" si="54"/>
        <v>173084523.828125</v>
      </c>
      <c r="K112" s="173">
        <f t="shared" si="45"/>
        <v>257906562.44621968</v>
      </c>
      <c r="L112" s="173">
        <f t="shared" si="55"/>
        <v>233340033.59116426</v>
      </c>
      <c r="M112" s="248">
        <f t="shared" si="47"/>
        <v>33735193.269873045</v>
      </c>
      <c r="N112" s="248">
        <f t="shared" si="48"/>
        <v>33195988.727226216</v>
      </c>
      <c r="O112" s="248">
        <f t="shared" si="49"/>
        <v>52273521.582651153</v>
      </c>
      <c r="P112" s="248">
        <f t="shared" si="30"/>
        <v>119204703.57975042</v>
      </c>
      <c r="Q112" s="173"/>
      <c r="R112" s="238">
        <v>143000000</v>
      </c>
      <c r="S112" s="173">
        <f>P112/POWER(1+$B$12,24)+R112</f>
        <v>208905342.71223345</v>
      </c>
      <c r="T112" s="173" t="s">
        <v>193</v>
      </c>
      <c r="U112" s="232">
        <f>U111*(1+$B$12)</f>
        <v>148315527.8657721</v>
      </c>
      <c r="V112" s="249">
        <f t="shared" si="56"/>
        <v>208315527.8657721</v>
      </c>
      <c r="W112" s="185">
        <f t="shared" si="50"/>
        <v>40052353826.833458</v>
      </c>
      <c r="X112" s="185">
        <f t="shared" si="27"/>
        <v>750000000</v>
      </c>
      <c r="Y112" s="185">
        <v>-100000000</v>
      </c>
      <c r="Z112" s="185">
        <v>0</v>
      </c>
      <c r="AA112" s="173">
        <f t="shared" si="11"/>
        <v>58637239303.61441</v>
      </c>
    </row>
    <row r="113" spans="1:27">
      <c r="A113" s="262">
        <v>26</v>
      </c>
      <c r="B113" s="262">
        <v>84</v>
      </c>
      <c r="C113" s="263">
        <f t="shared" ref="C113:C114" si="57">D113+E113+F113+G113</f>
        <v>19007404483.782349</v>
      </c>
      <c r="D113" s="264">
        <f t="shared" ref="D113:D114" si="58">D112*(1+$B$40)-R113</f>
        <v>10691352443.238483</v>
      </c>
      <c r="E113" s="265">
        <f t="shared" ref="E113:E114" si="59">E112*(1+$B$41)</f>
        <v>6844526518.3683987</v>
      </c>
      <c r="F113" s="265">
        <f t="shared" ref="F113:F114" si="60">F112*(1+$D$40)</f>
        <v>1471525522.1754689</v>
      </c>
      <c r="G113" s="266"/>
      <c r="H113" s="267">
        <f t="shared" ref="H113:H114" si="61">H112*(1+C$27)-H112*D$27</f>
        <v>136217852.34375</v>
      </c>
      <c r="I113" s="221">
        <f t="shared" ref="I113:I114" si="62">I112*(1+C$27)-I112*D$27</f>
        <v>166679186.71875</v>
      </c>
      <c r="J113" s="173">
        <f t="shared" ref="J113:J114" si="63">J112*(1+C$27)-J112*D$27</f>
        <v>173084523.828125</v>
      </c>
      <c r="K113" s="173">
        <f t="shared" si="45"/>
        <v>263064693.69514412</v>
      </c>
      <c r="L113" s="173">
        <f t="shared" ref="L113:L114" si="64">L112*(1+C$31)-L112*D$31</f>
        <v>238006834.26298755</v>
      </c>
      <c r="M113" s="248">
        <f t="shared" ref="M113:M114" si="65">(H113+I113+J113)*(D$27*(1-5.5%))</f>
        <v>33735193.269873045</v>
      </c>
      <c r="N113" s="248">
        <f t="shared" ref="N113:N114" si="66">(K113+L113)*D$26*(1-9.9%)</f>
        <v>33859908.501770742</v>
      </c>
      <c r="O113" s="248">
        <f t="shared" ref="O113:O114" si="67">O112*(1+B$12)</f>
        <v>53580359.622217424</v>
      </c>
      <c r="P113" s="248">
        <f t="shared" ref="P113:P114" si="68">M113+N113+O113</f>
        <v>121175461.3938612</v>
      </c>
      <c r="Q113" s="173"/>
      <c r="R113" s="238">
        <v>146000000</v>
      </c>
      <c r="S113" s="173">
        <f t="shared" ref="S113:S114" si="69">P113/POWER(1+$B$12,24)+R113</f>
        <v>212994926.13672382</v>
      </c>
      <c r="T113" s="173" t="s">
        <v>193</v>
      </c>
      <c r="U113" s="232">
        <f t="shared" ref="U113:U114" si="70">U112*(1+$B$12)</f>
        <v>152023416.06241637</v>
      </c>
      <c r="V113" s="249">
        <f t="shared" si="56"/>
        <v>212023416.06241637</v>
      </c>
      <c r="W113" s="185">
        <f t="shared" ref="W113:W114" si="71">W112*(1+F$40)</f>
        <v>47261777515.663475</v>
      </c>
      <c r="X113" s="185">
        <f t="shared" si="27"/>
        <v>750000000</v>
      </c>
      <c r="Y113" s="185">
        <v>-100000000</v>
      </c>
      <c r="Z113" s="185">
        <v>0</v>
      </c>
      <c r="AA113" s="173">
        <f t="shared" ref="AA113:AA114" si="72">Z113+Y113+X113+L113+J113+I113+H113+C113+K113+W113</f>
        <v>67896235090.294586</v>
      </c>
    </row>
    <row r="114" spans="1:27">
      <c r="A114" s="262">
        <v>27</v>
      </c>
      <c r="B114" s="262">
        <v>85</v>
      </c>
      <c r="C114" s="263">
        <f t="shared" si="57"/>
        <v>21312974305.03574</v>
      </c>
      <c r="D114" s="264">
        <f t="shared" si="58"/>
        <v>12043141785.291872</v>
      </c>
      <c r="E114" s="265">
        <f t="shared" si="59"/>
        <v>7665869700.572607</v>
      </c>
      <c r="F114" s="265">
        <f t="shared" si="60"/>
        <v>1603962819.1712613</v>
      </c>
      <c r="G114" s="266"/>
      <c r="H114" s="267">
        <f t="shared" si="61"/>
        <v>136217852.34375</v>
      </c>
      <c r="I114" s="221">
        <f t="shared" si="62"/>
        <v>166679186.71875</v>
      </c>
      <c r="J114" s="173">
        <f t="shared" si="63"/>
        <v>173084523.828125</v>
      </c>
      <c r="K114" s="173">
        <f t="shared" si="45"/>
        <v>268325987.56904703</v>
      </c>
      <c r="L114" s="173">
        <f t="shared" si="64"/>
        <v>242766970.94824731</v>
      </c>
      <c r="M114" s="248">
        <f t="shared" si="65"/>
        <v>33735193.269873045</v>
      </c>
      <c r="N114" s="248">
        <f t="shared" si="66"/>
        <v>34537106.671806164</v>
      </c>
      <c r="O114" s="248">
        <f t="shared" si="67"/>
        <v>54919868.612772852</v>
      </c>
      <c r="P114" s="248">
        <f t="shared" si="68"/>
        <v>123192168.55445206</v>
      </c>
      <c r="Q114" s="173"/>
      <c r="R114" s="238">
        <v>145000000</v>
      </c>
      <c r="S114" s="173">
        <f t="shared" si="69"/>
        <v>213109913.82242393</v>
      </c>
      <c r="T114" s="173" t="s">
        <v>193</v>
      </c>
      <c r="U114" s="232">
        <f t="shared" si="70"/>
        <v>155824001.46397677</v>
      </c>
      <c r="V114" s="249">
        <f t="shared" si="56"/>
        <v>215824001.46397677</v>
      </c>
      <c r="W114" s="185">
        <f t="shared" si="71"/>
        <v>55768897468.482895</v>
      </c>
      <c r="X114" s="185">
        <f t="shared" si="27"/>
        <v>750000000</v>
      </c>
      <c r="Y114" s="185">
        <v>-100000000</v>
      </c>
      <c r="Z114" s="185">
        <v>0</v>
      </c>
      <c r="AA114" s="173">
        <f t="shared" si="72"/>
        <v>78718946294.926544</v>
      </c>
    </row>
  </sheetData>
  <mergeCells count="3">
    <mergeCell ref="A1:V1"/>
    <mergeCell ref="A43:V43"/>
    <mergeCell ref="A79:V79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F7A4-6C18-4DB7-920D-EABEF013141B}">
  <dimension ref="A1:AC113"/>
  <sheetViews>
    <sheetView topLeftCell="M39" zoomScaleNormal="100" workbookViewId="0">
      <selection activeCell="AD87" sqref="AD87"/>
    </sheetView>
  </sheetViews>
  <sheetFormatPr defaultColWidth="8.7109375" defaultRowHeight="16.5"/>
  <cols>
    <col min="1" max="1" width="15.42578125" style="9" customWidth="1"/>
    <col min="2" max="2" width="13.28515625" style="9" customWidth="1"/>
    <col min="3" max="3" width="14.5703125" style="9" customWidth="1"/>
    <col min="4" max="4" width="15" style="9" customWidth="1"/>
    <col min="5" max="5" width="14.42578125" style="9" customWidth="1"/>
    <col min="6" max="7" width="13.85546875" style="9" customWidth="1"/>
    <col min="8" max="8" width="13.7109375" style="9" customWidth="1"/>
    <col min="9" max="9" width="13" style="9" customWidth="1"/>
    <col min="10" max="10" width="12.5703125" style="9" customWidth="1"/>
    <col min="11" max="11" width="12.28515625" style="9" customWidth="1"/>
    <col min="12" max="12" width="12.85546875" style="9" customWidth="1"/>
    <col min="13" max="14" width="13" style="9" customWidth="1"/>
    <col min="15" max="15" width="14.5703125" style="9" customWidth="1"/>
    <col min="16" max="16" width="17.28515625" style="9" customWidth="1"/>
    <col min="17" max="17" width="14.42578125" style="9" customWidth="1"/>
    <col min="18" max="18" width="15.85546875" style="9" customWidth="1"/>
    <col min="19" max="19" width="20.28515625" style="9" customWidth="1"/>
    <col min="20" max="20" width="10" style="9" customWidth="1"/>
    <col min="21" max="21" width="15.7109375" style="9" customWidth="1"/>
    <col min="22" max="22" width="14.28515625" style="9" customWidth="1"/>
    <col min="23" max="23" width="13.140625" style="9" customWidth="1"/>
    <col min="24" max="24" width="13" style="9" customWidth="1"/>
    <col min="25" max="25" width="11.5703125" style="9" customWidth="1"/>
    <col min="26" max="26" width="15.85546875" style="9" customWidth="1"/>
    <col min="27" max="27" width="13" style="9" customWidth="1"/>
    <col min="28" max="28" width="14.7109375" style="9" customWidth="1"/>
    <col min="29" max="16384" width="8.7109375" style="9"/>
  </cols>
  <sheetData>
    <row r="1" spans="1:22">
      <c r="A1" s="127" t="s">
        <v>93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93"/>
    </row>
    <row r="3" spans="1:22">
      <c r="A3" s="10" t="s">
        <v>0</v>
      </c>
    </row>
    <row r="4" spans="1:22">
      <c r="A4" s="11" t="s">
        <v>1</v>
      </c>
      <c r="B4" s="94" t="s">
        <v>2</v>
      </c>
      <c r="C4" s="95" t="s">
        <v>3</v>
      </c>
    </row>
    <row r="5" spans="1:22">
      <c r="A5" s="13" t="s">
        <v>4</v>
      </c>
      <c r="B5" s="47" t="s">
        <v>94</v>
      </c>
      <c r="C5" s="96" t="s">
        <v>153</v>
      </c>
      <c r="D5" s="14"/>
      <c r="E5" s="14"/>
      <c r="F5" s="14"/>
      <c r="G5" s="14"/>
    </row>
    <row r="6" spans="1:22">
      <c r="A6" s="13" t="s">
        <v>91</v>
      </c>
      <c r="B6" s="13" t="s">
        <v>92</v>
      </c>
      <c r="C6" s="14"/>
      <c r="D6" s="14"/>
      <c r="E6" s="14"/>
      <c r="F6" s="14"/>
      <c r="G6" s="14"/>
    </row>
    <row r="7" spans="1:22">
      <c r="A7" s="13" t="s">
        <v>5</v>
      </c>
      <c r="B7" s="13" t="s">
        <v>95</v>
      </c>
      <c r="C7" s="14" t="s">
        <v>96</v>
      </c>
      <c r="D7" s="14"/>
      <c r="E7" s="14"/>
      <c r="F7" s="14"/>
      <c r="G7" s="14"/>
    </row>
    <row r="8" spans="1:22">
      <c r="A8" s="13" t="s">
        <v>120</v>
      </c>
      <c r="B8" s="15">
        <v>7.0000000000000007E-2</v>
      </c>
      <c r="C8" s="14"/>
      <c r="D8" s="16"/>
      <c r="E8" s="16"/>
      <c r="F8" s="16"/>
      <c r="G8" s="16"/>
    </row>
    <row r="9" spans="1:22">
      <c r="A9" s="13" t="s">
        <v>114</v>
      </c>
      <c r="B9" s="15">
        <v>4.4999999999999998E-2</v>
      </c>
      <c r="C9" s="14"/>
      <c r="D9" s="16"/>
      <c r="E9" s="16"/>
      <c r="F9" s="16"/>
      <c r="G9" s="16"/>
    </row>
    <row r="10" spans="1:22">
      <c r="A10" s="13" t="s">
        <v>116</v>
      </c>
      <c r="B10" s="15">
        <v>0.09</v>
      </c>
      <c r="C10" s="14"/>
      <c r="D10" s="16"/>
      <c r="E10" s="16"/>
      <c r="F10" s="16"/>
      <c r="G10" s="16"/>
    </row>
    <row r="11" spans="1:22">
      <c r="A11" s="13" t="s">
        <v>115</v>
      </c>
      <c r="B11" s="15">
        <v>0.08</v>
      </c>
      <c r="C11" s="14"/>
      <c r="D11" s="16"/>
      <c r="E11" s="16"/>
      <c r="F11" s="16"/>
      <c r="G11" s="16"/>
    </row>
    <row r="12" spans="1:22">
      <c r="A12" s="13" t="s">
        <v>6</v>
      </c>
      <c r="B12" s="15">
        <v>2.5000000000000001E-2</v>
      </c>
      <c r="C12" s="14" t="s">
        <v>7</v>
      </c>
      <c r="D12" s="16"/>
      <c r="E12" s="16"/>
      <c r="F12" s="16"/>
      <c r="G12" s="16"/>
    </row>
    <row r="13" spans="1:22">
      <c r="A13" s="17"/>
      <c r="B13" s="18">
        <v>100000000</v>
      </c>
      <c r="C13" s="19">
        <f>B13*4%</f>
        <v>4000000</v>
      </c>
      <c r="D13" s="19"/>
      <c r="E13" s="19"/>
      <c r="F13" s="19"/>
      <c r="G13" s="19"/>
    </row>
    <row r="15" spans="1:22">
      <c r="A15" s="10" t="s">
        <v>8</v>
      </c>
    </row>
    <row r="16" spans="1:22">
      <c r="A16" s="20" t="s">
        <v>1</v>
      </c>
      <c r="B16" s="20" t="s">
        <v>9</v>
      </c>
      <c r="C16" s="20" t="s">
        <v>3</v>
      </c>
    </row>
    <row r="17" spans="1:7">
      <c r="A17" s="9" t="s">
        <v>10</v>
      </c>
      <c r="B17" s="19">
        <v>460000000</v>
      </c>
      <c r="C17" s="14" t="s">
        <v>138</v>
      </c>
      <c r="D17" s="75"/>
      <c r="E17" s="19"/>
      <c r="F17" s="19"/>
      <c r="G17" s="19"/>
    </row>
    <row r="18" spans="1:7">
      <c r="A18" s="9" t="s">
        <v>11</v>
      </c>
      <c r="B18" s="19">
        <v>200000000</v>
      </c>
      <c r="C18" s="14" t="s">
        <v>97</v>
      </c>
      <c r="D18" s="19"/>
      <c r="E18" s="19"/>
      <c r="F18" s="19"/>
      <c r="G18" s="19"/>
    </row>
    <row r="19" spans="1:7">
      <c r="A19" s="9" t="s">
        <v>12</v>
      </c>
      <c r="B19" s="21">
        <v>0.04</v>
      </c>
      <c r="C19" s="14" t="s">
        <v>98</v>
      </c>
      <c r="D19" s="21"/>
      <c r="E19" s="21"/>
      <c r="F19" s="21"/>
      <c r="G19" s="21"/>
    </row>
    <row r="20" spans="1:7">
      <c r="A20" s="9" t="s">
        <v>13</v>
      </c>
      <c r="B20" s="19">
        <f>B18*B19</f>
        <v>8000000</v>
      </c>
      <c r="C20" s="14" t="s">
        <v>99</v>
      </c>
      <c r="D20" s="19">
        <f>B20/12</f>
        <v>666666.66666666663</v>
      </c>
      <c r="E20" s="19">
        <v>12000000</v>
      </c>
      <c r="F20" s="19">
        <f>E20/12</f>
        <v>1000000</v>
      </c>
      <c r="G20" s="19"/>
    </row>
    <row r="21" spans="1:7">
      <c r="A21" s="9" t="s">
        <v>14</v>
      </c>
      <c r="B21" s="19">
        <f>B17-B18</f>
        <v>260000000</v>
      </c>
      <c r="C21" s="14" t="s">
        <v>15</v>
      </c>
      <c r="D21" s="19"/>
      <c r="E21" s="19"/>
      <c r="F21" s="19"/>
      <c r="G21" s="19"/>
    </row>
    <row r="24" spans="1:7">
      <c r="A24" s="10" t="s">
        <v>100</v>
      </c>
    </row>
    <row r="25" spans="1:7">
      <c r="A25" s="22" t="s">
        <v>16</v>
      </c>
      <c r="B25" s="22" t="s">
        <v>17</v>
      </c>
      <c r="C25" s="22" t="s">
        <v>18</v>
      </c>
      <c r="D25" s="22" t="s">
        <v>19</v>
      </c>
      <c r="E25" s="12" t="s">
        <v>3</v>
      </c>
    </row>
    <row r="26" spans="1:7">
      <c r="A26" s="9" t="s">
        <v>20</v>
      </c>
      <c r="B26" s="19">
        <f>H87</f>
        <v>143060276.53140002</v>
      </c>
      <c r="C26" s="23">
        <f>B8</f>
        <v>7.0000000000000007E-2</v>
      </c>
      <c r="D26" s="23">
        <v>4.4999999999999998E-2</v>
      </c>
      <c r="E26" s="9" t="s">
        <v>21</v>
      </c>
      <c r="F26" s="19"/>
      <c r="G26" s="19"/>
    </row>
    <row r="27" spans="1:7">
      <c r="A27" s="9" t="s">
        <v>101</v>
      </c>
      <c r="B27" s="19">
        <f>I87</f>
        <v>175652337.17460001</v>
      </c>
      <c r="C27" s="23">
        <f>B8</f>
        <v>7.0000000000000007E-2</v>
      </c>
      <c r="D27" s="23">
        <v>4.4999999999999998E-2</v>
      </c>
      <c r="E27" s="9" t="s">
        <v>22</v>
      </c>
      <c r="F27" s="19"/>
      <c r="G27" s="19"/>
    </row>
    <row r="28" spans="1:7">
      <c r="A28" s="9" t="s">
        <v>23</v>
      </c>
      <c r="B28" s="19">
        <f>J87</f>
        <v>182145853.91070002</v>
      </c>
      <c r="C28" s="23">
        <f>B8</f>
        <v>7.0000000000000007E-2</v>
      </c>
      <c r="D28" s="23">
        <v>4.4999999999999998E-2</v>
      </c>
      <c r="E28" s="9" t="s">
        <v>22</v>
      </c>
      <c r="F28" s="19"/>
      <c r="G28" s="19"/>
    </row>
    <row r="29" spans="1:7">
      <c r="A29" s="24" t="s">
        <v>24</v>
      </c>
      <c r="B29" s="25">
        <f>SUM(B26:B28)</f>
        <v>500858467.61670005</v>
      </c>
      <c r="E29" s="9" t="s">
        <v>102</v>
      </c>
      <c r="F29" s="25"/>
      <c r="G29" s="25"/>
    </row>
    <row r="30" spans="1:7">
      <c r="B30" s="19"/>
      <c r="F30" s="19"/>
      <c r="G30" s="19"/>
    </row>
    <row r="31" spans="1:7">
      <c r="A31" s="9" t="s">
        <v>163</v>
      </c>
      <c r="B31" s="19">
        <f>L87/2</f>
        <v>75994347.86582002</v>
      </c>
      <c r="C31" s="23">
        <v>0.09</v>
      </c>
      <c r="D31" s="23">
        <v>0.08</v>
      </c>
      <c r="F31" s="19"/>
      <c r="G31" s="19"/>
    </row>
    <row r="32" spans="1:7">
      <c r="A32" s="9" t="s">
        <v>164</v>
      </c>
      <c r="B32" s="19">
        <f>B31</f>
        <v>75994347.86582002</v>
      </c>
      <c r="C32" s="23">
        <v>0.09</v>
      </c>
      <c r="D32" s="23">
        <v>0.08</v>
      </c>
      <c r="F32" s="19"/>
      <c r="G32" s="19"/>
    </row>
    <row r="33" spans="1:22">
      <c r="A33" s="24" t="s">
        <v>106</v>
      </c>
      <c r="B33" s="25">
        <f>SUM(B31:B32)</f>
        <v>151988695.73164004</v>
      </c>
      <c r="F33" s="25"/>
      <c r="G33" s="25"/>
    </row>
    <row r="35" spans="1:22">
      <c r="A35" s="10" t="s">
        <v>25</v>
      </c>
    </row>
    <row r="36" spans="1:22">
      <c r="A36" s="20" t="s">
        <v>26</v>
      </c>
      <c r="B36" s="20" t="s">
        <v>27</v>
      </c>
      <c r="C36" s="20" t="s">
        <v>28</v>
      </c>
      <c r="D36" s="20" t="s">
        <v>29</v>
      </c>
      <c r="E36" s="20" t="s">
        <v>30</v>
      </c>
    </row>
    <row r="37" spans="1:22">
      <c r="A37" s="9" t="s">
        <v>31</v>
      </c>
      <c r="B37" s="9">
        <v>59</v>
      </c>
      <c r="C37" s="19">
        <v>1140000</v>
      </c>
      <c r="D37" s="19">
        <f>C37*12</f>
        <v>13680000</v>
      </c>
      <c r="E37" s="26">
        <v>0.76</v>
      </c>
    </row>
    <row r="38" spans="1:22">
      <c r="A38" s="9" t="s">
        <v>168</v>
      </c>
      <c r="B38" s="9">
        <v>63</v>
      </c>
      <c r="C38" s="19">
        <f>1700000*88%</f>
        <v>1496000</v>
      </c>
      <c r="D38" s="19">
        <f>C38*12</f>
        <v>17952000</v>
      </c>
      <c r="E38" s="26">
        <v>0.88</v>
      </c>
      <c r="F38" s="9" t="s">
        <v>169</v>
      </c>
    </row>
    <row r="39" spans="1:22">
      <c r="A39" s="9" t="s">
        <v>170</v>
      </c>
      <c r="C39" s="114">
        <v>400000</v>
      </c>
      <c r="D39" s="115">
        <f>C39*12</f>
        <v>4800000</v>
      </c>
      <c r="E39" s="115">
        <f>D38+D39</f>
        <v>22752000</v>
      </c>
      <c r="H39" s="19"/>
      <c r="I39" s="19"/>
    </row>
    <row r="40" spans="1:22">
      <c r="A40" s="27" t="s">
        <v>122</v>
      </c>
      <c r="B40" s="28">
        <v>0.14000000000000001</v>
      </c>
      <c r="C40" s="37" t="s">
        <v>125</v>
      </c>
      <c r="D40" s="29">
        <v>0.09</v>
      </c>
      <c r="E40" s="37" t="s">
        <v>139</v>
      </c>
      <c r="F40" s="29">
        <v>0.18</v>
      </c>
      <c r="O40" s="114">
        <v>1850000</v>
      </c>
    </row>
    <row r="41" spans="1:22">
      <c r="A41" s="27" t="s">
        <v>155</v>
      </c>
      <c r="B41" s="29">
        <v>0.12</v>
      </c>
      <c r="C41" s="38" t="s">
        <v>156</v>
      </c>
      <c r="D41" s="29">
        <v>7.0000000000000007E-2</v>
      </c>
      <c r="O41" s="115">
        <f>O40*94%</f>
        <v>1739000</v>
      </c>
    </row>
    <row r="42" spans="1:22">
      <c r="J42" s="9" t="s">
        <v>128</v>
      </c>
      <c r="L42" s="19">
        <v>20000000</v>
      </c>
      <c r="O42" s="115">
        <f>O41*88%</f>
        <v>1530320</v>
      </c>
    </row>
    <row r="43" spans="1:22" hidden="1">
      <c r="A43" s="128" t="s">
        <v>108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58"/>
    </row>
    <row r="44" spans="1:22" hidden="1">
      <c r="A44" s="30" t="s">
        <v>33</v>
      </c>
      <c r="B44" s="30" t="s">
        <v>34</v>
      </c>
      <c r="C44" s="30" t="s">
        <v>118</v>
      </c>
      <c r="D44" s="30"/>
      <c r="E44" s="30" t="s">
        <v>117</v>
      </c>
      <c r="F44" s="30"/>
      <c r="G44" s="30"/>
      <c r="H44" s="30" t="s">
        <v>35</v>
      </c>
      <c r="I44" s="30" t="s">
        <v>36</v>
      </c>
      <c r="J44" s="30" t="s">
        <v>37</v>
      </c>
      <c r="K44" s="59"/>
      <c r="M44" s="30" t="s">
        <v>38</v>
      </c>
      <c r="N44" s="30" t="s">
        <v>109</v>
      </c>
      <c r="O44" s="30" t="s">
        <v>39</v>
      </c>
      <c r="P44" s="30" t="s">
        <v>110</v>
      </c>
      <c r="Q44" s="30"/>
      <c r="R44" s="30" t="s">
        <v>111</v>
      </c>
      <c r="S44" s="30"/>
      <c r="T44" s="30" t="s">
        <v>40</v>
      </c>
      <c r="U44" s="30" t="s">
        <v>41</v>
      </c>
      <c r="V44" s="59"/>
    </row>
    <row r="45" spans="1:22" hidden="1">
      <c r="A45" s="31">
        <v>-6</v>
      </c>
      <c r="B45" s="31">
        <v>52</v>
      </c>
      <c r="C45" s="31"/>
      <c r="D45" s="31"/>
      <c r="E45" s="31"/>
      <c r="F45" s="31"/>
      <c r="G45" s="31"/>
      <c r="H45" s="31"/>
      <c r="I45" s="31"/>
      <c r="J45" s="31"/>
      <c r="K45" s="60"/>
      <c r="M45" s="31"/>
      <c r="N45" s="31"/>
      <c r="O45" s="31"/>
      <c r="P45" s="31"/>
      <c r="Q45" s="31"/>
      <c r="R45" s="31"/>
      <c r="S45" s="31"/>
      <c r="T45" s="31"/>
      <c r="U45" s="31"/>
      <c r="V45" s="60"/>
    </row>
    <row r="46" spans="1:22" hidden="1">
      <c r="A46" s="31">
        <v>-5</v>
      </c>
      <c r="B46" s="31">
        <v>53</v>
      </c>
      <c r="C46" s="31"/>
      <c r="D46" s="31"/>
      <c r="E46" s="31"/>
      <c r="F46" s="31"/>
      <c r="G46" s="31"/>
      <c r="H46" s="31"/>
      <c r="I46" s="31"/>
      <c r="J46" s="31"/>
      <c r="K46" s="60"/>
      <c r="M46" s="31"/>
      <c r="N46" s="31"/>
      <c r="O46" s="31"/>
      <c r="P46" s="31"/>
      <c r="Q46" s="31"/>
      <c r="R46" s="31"/>
      <c r="S46" s="31"/>
      <c r="T46" s="31"/>
      <c r="U46" s="31"/>
      <c r="V46" s="60"/>
    </row>
    <row r="47" spans="1:22" hidden="1">
      <c r="A47" s="31">
        <v>-4</v>
      </c>
      <c r="B47" s="31">
        <v>54</v>
      </c>
      <c r="C47" s="31"/>
      <c r="D47" s="31"/>
      <c r="E47" s="31"/>
      <c r="F47" s="31"/>
      <c r="G47" s="31"/>
      <c r="H47" s="31"/>
      <c r="I47" s="31"/>
      <c r="J47" s="31"/>
      <c r="K47" s="60"/>
      <c r="M47" s="31"/>
      <c r="N47" s="31"/>
      <c r="O47" s="31"/>
      <c r="P47" s="31"/>
      <c r="Q47" s="31"/>
      <c r="R47" s="31"/>
      <c r="S47" s="31"/>
      <c r="T47" s="31"/>
      <c r="U47" s="31"/>
      <c r="V47" s="60"/>
    </row>
    <row r="48" spans="1:22" hidden="1">
      <c r="A48" s="31">
        <v>-3</v>
      </c>
      <c r="B48" s="31">
        <v>55</v>
      </c>
      <c r="C48" s="31"/>
      <c r="D48" s="31"/>
      <c r="E48" s="31"/>
      <c r="F48" s="31"/>
      <c r="G48" s="31"/>
      <c r="H48" s="31"/>
      <c r="I48" s="31"/>
      <c r="J48" s="31"/>
      <c r="K48" s="60"/>
      <c r="M48" s="31"/>
      <c r="N48" s="31"/>
      <c r="O48" s="31"/>
      <c r="P48" s="31"/>
      <c r="Q48" s="31"/>
      <c r="R48" s="31"/>
      <c r="S48" s="31"/>
      <c r="T48" s="31"/>
      <c r="U48" s="31"/>
      <c r="V48" s="60"/>
    </row>
    <row r="49" spans="1:22" hidden="1">
      <c r="A49" s="31">
        <v>-2</v>
      </c>
      <c r="B49" s="31">
        <v>56</v>
      </c>
      <c r="C49" s="31"/>
      <c r="D49" s="31"/>
      <c r="E49" s="31"/>
      <c r="F49" s="31"/>
      <c r="G49" s="31"/>
      <c r="H49" s="31"/>
      <c r="I49" s="31"/>
      <c r="J49" s="31"/>
      <c r="K49" s="60"/>
      <c r="M49" s="31"/>
      <c r="N49" s="31"/>
      <c r="O49" s="31"/>
      <c r="P49" s="31"/>
      <c r="Q49" s="31"/>
      <c r="R49" s="31"/>
      <c r="S49" s="31"/>
      <c r="T49" s="31"/>
      <c r="U49" s="31"/>
      <c r="V49" s="60"/>
    </row>
    <row r="50" spans="1:22" hidden="1">
      <c r="A50" s="31">
        <v>-1</v>
      </c>
      <c r="B50" s="31">
        <v>57</v>
      </c>
      <c r="C50" s="31"/>
      <c r="D50" s="31"/>
      <c r="E50" s="31"/>
      <c r="F50" s="31"/>
      <c r="G50" s="31"/>
      <c r="H50" s="31"/>
      <c r="I50" s="31"/>
      <c r="J50" s="31"/>
      <c r="K50" s="60"/>
      <c r="M50" s="31"/>
      <c r="N50" s="31"/>
      <c r="O50" s="31"/>
      <c r="P50" s="31"/>
      <c r="Q50" s="31"/>
      <c r="R50" s="31"/>
      <c r="S50" s="31"/>
      <c r="T50" s="31"/>
      <c r="U50" s="31"/>
      <c r="V50" s="60"/>
    </row>
    <row r="51" spans="1:22" hidden="1">
      <c r="A51" s="32">
        <v>0</v>
      </c>
      <c r="B51" s="32">
        <v>58</v>
      </c>
      <c r="C51" s="32"/>
      <c r="D51" s="32"/>
      <c r="E51" s="32"/>
      <c r="F51" s="32"/>
      <c r="G51" s="32"/>
      <c r="H51" s="32"/>
      <c r="I51" s="32"/>
      <c r="J51" s="32"/>
      <c r="K51" s="61"/>
      <c r="M51" s="32"/>
      <c r="N51" s="32"/>
      <c r="O51" s="32"/>
      <c r="P51" s="32"/>
      <c r="Q51" s="32"/>
      <c r="R51" s="32"/>
      <c r="S51" s="32"/>
      <c r="T51" s="32"/>
      <c r="U51" s="32"/>
      <c r="V51" s="61"/>
    </row>
    <row r="52" spans="1:22" hidden="1">
      <c r="A52" s="13">
        <v>1</v>
      </c>
      <c r="B52" s="13">
        <v>59</v>
      </c>
      <c r="C52" s="13"/>
      <c r="D52" s="13"/>
      <c r="E52" s="13"/>
      <c r="F52" s="13"/>
      <c r="G52" s="13"/>
      <c r="H52" s="33">
        <v>100000000</v>
      </c>
      <c r="I52" s="33">
        <v>100000000</v>
      </c>
      <c r="J52" s="33">
        <v>100000000</v>
      </c>
      <c r="K52" s="19"/>
      <c r="M52" s="33">
        <f>(H52+I52+J52)*0.04</f>
        <v>12000000</v>
      </c>
      <c r="N52" s="33" t="e">
        <f>#REF!*0.04</f>
        <v>#REF!</v>
      </c>
      <c r="O52" s="33">
        <f t="shared" ref="O52:O76" si="0">$D$37</f>
        <v>13680000</v>
      </c>
      <c r="P52" s="33" t="e">
        <f t="shared" ref="P52:P76" si="1">M52+N52+O52</f>
        <v>#REF!</v>
      </c>
      <c r="Q52" s="33"/>
      <c r="R52" s="33" t="e">
        <f>P52/POWER(1+$B$12,0)</f>
        <v>#REF!</v>
      </c>
      <c r="S52" s="33"/>
      <c r="T52" s="34" t="e">
        <f t="shared" ref="T52:T76" si="2">R52/$R$52*100</f>
        <v>#REF!</v>
      </c>
      <c r="U52" s="33" t="e">
        <f>R52</f>
        <v>#REF!</v>
      </c>
      <c r="V52" s="19"/>
    </row>
    <row r="53" spans="1:22" hidden="1">
      <c r="A53" s="13">
        <v>2</v>
      </c>
      <c r="B53" s="13">
        <v>60</v>
      </c>
      <c r="C53" s="13"/>
      <c r="D53" s="13"/>
      <c r="E53" s="13"/>
      <c r="F53" s="13"/>
      <c r="G53" s="13"/>
      <c r="H53" s="33">
        <f t="shared" ref="H53:J68" si="3">H52*(1+0.07)-H52*0.04</f>
        <v>103000000</v>
      </c>
      <c r="I53" s="33">
        <f t="shared" si="3"/>
        <v>103000000</v>
      </c>
      <c r="J53" s="33">
        <f t="shared" si="3"/>
        <v>103000000</v>
      </c>
      <c r="K53" s="19"/>
      <c r="M53" s="33">
        <f t="shared" ref="M53:M76" si="4">(H52+I52+J52)*0.04</f>
        <v>12000000</v>
      </c>
      <c r="N53" s="33" t="e">
        <f>#REF!*0.04</f>
        <v>#REF!</v>
      </c>
      <c r="O53" s="33">
        <f t="shared" si="0"/>
        <v>13680000</v>
      </c>
      <c r="P53" s="33" t="e">
        <f t="shared" si="1"/>
        <v>#REF!</v>
      </c>
      <c r="Q53" s="33"/>
      <c r="R53" s="33" t="e">
        <f>P53/POWER(1+$B$12,1)</f>
        <v>#REF!</v>
      </c>
      <c r="S53" s="33"/>
      <c r="T53" s="34" t="e">
        <f t="shared" si="2"/>
        <v>#REF!</v>
      </c>
      <c r="U53" s="33" t="e">
        <f t="shared" ref="U53:U76" si="5">U52+R53</f>
        <v>#REF!</v>
      </c>
      <c r="V53" s="19"/>
    </row>
    <row r="54" spans="1:22" hidden="1">
      <c r="A54" s="13">
        <v>3</v>
      </c>
      <c r="B54" s="13">
        <v>61</v>
      </c>
      <c r="C54" s="13"/>
      <c r="D54" s="13"/>
      <c r="E54" s="13"/>
      <c r="F54" s="13"/>
      <c r="G54" s="13"/>
      <c r="H54" s="33">
        <f t="shared" si="3"/>
        <v>106090000</v>
      </c>
      <c r="I54" s="33">
        <f t="shared" si="3"/>
        <v>106090000</v>
      </c>
      <c r="J54" s="33">
        <f t="shared" si="3"/>
        <v>106090000</v>
      </c>
      <c r="K54" s="19"/>
      <c r="M54" s="33">
        <f t="shared" si="4"/>
        <v>12360000</v>
      </c>
      <c r="N54" s="33" t="e">
        <f>#REF!*0.04</f>
        <v>#REF!</v>
      </c>
      <c r="O54" s="33">
        <f t="shared" si="0"/>
        <v>13680000</v>
      </c>
      <c r="P54" s="33" t="e">
        <f t="shared" si="1"/>
        <v>#REF!</v>
      </c>
      <c r="Q54" s="33"/>
      <c r="R54" s="33" t="e">
        <f>P54/POWER(1+$B$12,2)</f>
        <v>#REF!</v>
      </c>
      <c r="S54" s="33"/>
      <c r="T54" s="34" t="e">
        <f t="shared" si="2"/>
        <v>#REF!</v>
      </c>
      <c r="U54" s="33" t="e">
        <f t="shared" si="5"/>
        <v>#REF!</v>
      </c>
      <c r="V54" s="19"/>
    </row>
    <row r="55" spans="1:22" hidden="1">
      <c r="A55" s="13">
        <v>4</v>
      </c>
      <c r="B55" s="13">
        <v>62</v>
      </c>
      <c r="C55" s="13"/>
      <c r="D55" s="13"/>
      <c r="E55" s="13"/>
      <c r="F55" s="13"/>
      <c r="G55" s="13"/>
      <c r="H55" s="33">
        <f t="shared" si="3"/>
        <v>109272700</v>
      </c>
      <c r="I55" s="33">
        <f t="shared" si="3"/>
        <v>109272700</v>
      </c>
      <c r="J55" s="33">
        <f t="shared" si="3"/>
        <v>109272700</v>
      </c>
      <c r="K55" s="19"/>
      <c r="M55" s="33">
        <f t="shared" si="4"/>
        <v>12730800</v>
      </c>
      <c r="N55" s="33" t="e">
        <f>#REF!*0.04</f>
        <v>#REF!</v>
      </c>
      <c r="O55" s="33">
        <f t="shared" si="0"/>
        <v>13680000</v>
      </c>
      <c r="P55" s="33" t="e">
        <f t="shared" si="1"/>
        <v>#REF!</v>
      </c>
      <c r="Q55" s="33"/>
      <c r="R55" s="33" t="e">
        <f>P55/POWER(1+$B$12,3)</f>
        <v>#REF!</v>
      </c>
      <c r="S55" s="33"/>
      <c r="T55" s="34" t="e">
        <f t="shared" si="2"/>
        <v>#REF!</v>
      </c>
      <c r="U55" s="33" t="e">
        <f t="shared" si="5"/>
        <v>#REF!</v>
      </c>
      <c r="V55" s="19"/>
    </row>
    <row r="56" spans="1:22" hidden="1">
      <c r="A56" s="13">
        <v>5</v>
      </c>
      <c r="B56" s="13">
        <v>63</v>
      </c>
      <c r="C56" s="13"/>
      <c r="D56" s="13"/>
      <c r="E56" s="13"/>
      <c r="F56" s="13"/>
      <c r="G56" s="13"/>
      <c r="H56" s="33">
        <f t="shared" si="3"/>
        <v>112550881</v>
      </c>
      <c r="I56" s="33">
        <f t="shared" si="3"/>
        <v>112550881</v>
      </c>
      <c r="J56" s="33">
        <f t="shared" si="3"/>
        <v>112550881</v>
      </c>
      <c r="K56" s="19"/>
      <c r="M56" s="33">
        <f t="shared" si="4"/>
        <v>13112724</v>
      </c>
      <c r="N56" s="33" t="e">
        <f>#REF!*0.04</f>
        <v>#REF!</v>
      </c>
      <c r="O56" s="33">
        <f t="shared" si="0"/>
        <v>13680000</v>
      </c>
      <c r="P56" s="33" t="e">
        <f t="shared" si="1"/>
        <v>#REF!</v>
      </c>
      <c r="Q56" s="33"/>
      <c r="R56" s="33" t="e">
        <f>P56/POWER(1+$B$12,4)</f>
        <v>#REF!</v>
      </c>
      <c r="S56" s="33"/>
      <c r="T56" s="34" t="e">
        <f t="shared" si="2"/>
        <v>#REF!</v>
      </c>
      <c r="U56" s="33" t="e">
        <f t="shared" si="5"/>
        <v>#REF!</v>
      </c>
      <c r="V56" s="19"/>
    </row>
    <row r="57" spans="1:22" hidden="1">
      <c r="A57" s="13">
        <v>6</v>
      </c>
      <c r="B57" s="13">
        <v>64</v>
      </c>
      <c r="C57" s="13"/>
      <c r="D57" s="13"/>
      <c r="E57" s="13"/>
      <c r="F57" s="13"/>
      <c r="G57" s="13"/>
      <c r="H57" s="33">
        <f t="shared" si="3"/>
        <v>115927407.43000001</v>
      </c>
      <c r="I57" s="33">
        <f t="shared" si="3"/>
        <v>115927407.43000001</v>
      </c>
      <c r="J57" s="33">
        <f t="shared" si="3"/>
        <v>115927407.43000001</v>
      </c>
      <c r="K57" s="19"/>
      <c r="M57" s="33">
        <f t="shared" si="4"/>
        <v>13506105.720000001</v>
      </c>
      <c r="N57" s="33" t="e">
        <f>#REF!*0.04</f>
        <v>#REF!</v>
      </c>
      <c r="O57" s="33">
        <f t="shared" si="0"/>
        <v>13680000</v>
      </c>
      <c r="P57" s="33" t="e">
        <f t="shared" si="1"/>
        <v>#REF!</v>
      </c>
      <c r="Q57" s="33"/>
      <c r="R57" s="33" t="e">
        <f>P57/POWER(1+$B$12,5)</f>
        <v>#REF!</v>
      </c>
      <c r="S57" s="33"/>
      <c r="T57" s="34" t="e">
        <f t="shared" si="2"/>
        <v>#REF!</v>
      </c>
      <c r="U57" s="33" t="e">
        <f t="shared" si="5"/>
        <v>#REF!</v>
      </c>
      <c r="V57" s="19"/>
    </row>
    <row r="58" spans="1:22" hidden="1">
      <c r="A58" s="13">
        <v>7</v>
      </c>
      <c r="B58" s="13">
        <v>65</v>
      </c>
      <c r="C58" s="13"/>
      <c r="D58" s="13"/>
      <c r="E58" s="13"/>
      <c r="F58" s="13"/>
      <c r="G58" s="13"/>
      <c r="H58" s="33">
        <f t="shared" si="3"/>
        <v>119405229.65290003</v>
      </c>
      <c r="I58" s="33">
        <f t="shared" si="3"/>
        <v>119405229.65290003</v>
      </c>
      <c r="J58" s="33">
        <f t="shared" si="3"/>
        <v>119405229.65290003</v>
      </c>
      <c r="K58" s="19"/>
      <c r="M58" s="33">
        <f t="shared" si="4"/>
        <v>13911288.891600002</v>
      </c>
      <c r="N58" s="33" t="e">
        <f>#REF!*0.04</f>
        <v>#REF!</v>
      </c>
      <c r="O58" s="33">
        <f t="shared" si="0"/>
        <v>13680000</v>
      </c>
      <c r="P58" s="33" t="e">
        <f t="shared" si="1"/>
        <v>#REF!</v>
      </c>
      <c r="Q58" s="33"/>
      <c r="R58" s="33" t="e">
        <f>P58/POWER(1+$B$12,6)</f>
        <v>#REF!</v>
      </c>
      <c r="S58" s="33"/>
      <c r="T58" s="34" t="e">
        <f t="shared" si="2"/>
        <v>#REF!</v>
      </c>
      <c r="U58" s="33" t="e">
        <f t="shared" si="5"/>
        <v>#REF!</v>
      </c>
      <c r="V58" s="19"/>
    </row>
    <row r="59" spans="1:22" hidden="1">
      <c r="A59" s="13">
        <v>8</v>
      </c>
      <c r="B59" s="13">
        <v>66</v>
      </c>
      <c r="C59" s="13"/>
      <c r="D59" s="13"/>
      <c r="E59" s="13"/>
      <c r="F59" s="13"/>
      <c r="G59" s="13"/>
      <c r="H59" s="33">
        <f t="shared" si="3"/>
        <v>122987386.54248704</v>
      </c>
      <c r="I59" s="33">
        <f t="shared" si="3"/>
        <v>122987386.54248704</v>
      </c>
      <c r="J59" s="33">
        <f t="shared" si="3"/>
        <v>122987386.54248704</v>
      </c>
      <c r="K59" s="19"/>
      <c r="M59" s="33">
        <f t="shared" si="4"/>
        <v>14328627.558348002</v>
      </c>
      <c r="N59" s="33" t="e">
        <f>#REF!*0.04</f>
        <v>#REF!</v>
      </c>
      <c r="O59" s="33">
        <f t="shared" si="0"/>
        <v>13680000</v>
      </c>
      <c r="P59" s="33" t="e">
        <f t="shared" si="1"/>
        <v>#REF!</v>
      </c>
      <c r="Q59" s="33"/>
      <c r="R59" s="33" t="e">
        <f>P59/POWER(1+$B$12,7)</f>
        <v>#REF!</v>
      </c>
      <c r="S59" s="33"/>
      <c r="T59" s="34" t="e">
        <f t="shared" si="2"/>
        <v>#REF!</v>
      </c>
      <c r="U59" s="33" t="e">
        <f t="shared" si="5"/>
        <v>#REF!</v>
      </c>
      <c r="V59" s="19"/>
    </row>
    <row r="60" spans="1:22" hidden="1">
      <c r="A60" s="13">
        <v>9</v>
      </c>
      <c r="B60" s="13">
        <v>67</v>
      </c>
      <c r="C60" s="13"/>
      <c r="D60" s="13"/>
      <c r="E60" s="13"/>
      <c r="F60" s="13"/>
      <c r="G60" s="13"/>
      <c r="H60" s="33">
        <f t="shared" si="3"/>
        <v>126677008.13876165</v>
      </c>
      <c r="I60" s="33">
        <f t="shared" si="3"/>
        <v>126677008.13876165</v>
      </c>
      <c r="J60" s="33">
        <f t="shared" si="3"/>
        <v>126677008.13876165</v>
      </c>
      <c r="K60" s="19"/>
      <c r="M60" s="33">
        <f t="shared" si="4"/>
        <v>14758486.385098446</v>
      </c>
      <c r="N60" s="33" t="e">
        <f>#REF!*0.04</f>
        <v>#REF!</v>
      </c>
      <c r="O60" s="33">
        <f t="shared" si="0"/>
        <v>13680000</v>
      </c>
      <c r="P60" s="33" t="e">
        <f t="shared" si="1"/>
        <v>#REF!</v>
      </c>
      <c r="Q60" s="33"/>
      <c r="R60" s="33" t="e">
        <f>P60/POWER(1+$B$12,8)</f>
        <v>#REF!</v>
      </c>
      <c r="S60" s="33"/>
      <c r="T60" s="34" t="e">
        <f t="shared" si="2"/>
        <v>#REF!</v>
      </c>
      <c r="U60" s="33" t="e">
        <f t="shared" si="5"/>
        <v>#REF!</v>
      </c>
      <c r="V60" s="19"/>
    </row>
    <row r="61" spans="1:22" hidden="1">
      <c r="A61" s="13">
        <v>10</v>
      </c>
      <c r="B61" s="13">
        <v>68</v>
      </c>
      <c r="C61" s="13"/>
      <c r="D61" s="13"/>
      <c r="E61" s="13"/>
      <c r="F61" s="13"/>
      <c r="G61" s="13"/>
      <c r="H61" s="33">
        <f t="shared" si="3"/>
        <v>130477318.3829245</v>
      </c>
      <c r="I61" s="33">
        <f t="shared" si="3"/>
        <v>130477318.3829245</v>
      </c>
      <c r="J61" s="33">
        <f t="shared" si="3"/>
        <v>130477318.3829245</v>
      </c>
      <c r="K61" s="19"/>
      <c r="M61" s="33">
        <f t="shared" si="4"/>
        <v>15201240.9766514</v>
      </c>
      <c r="N61" s="33" t="e">
        <f>#REF!*0.04</f>
        <v>#REF!</v>
      </c>
      <c r="O61" s="33">
        <f t="shared" si="0"/>
        <v>13680000</v>
      </c>
      <c r="P61" s="33" t="e">
        <f t="shared" si="1"/>
        <v>#REF!</v>
      </c>
      <c r="Q61" s="33"/>
      <c r="R61" s="33" t="e">
        <f>P61/POWER(1+$B$12,9)</f>
        <v>#REF!</v>
      </c>
      <c r="S61" s="33"/>
      <c r="T61" s="34" t="e">
        <f t="shared" si="2"/>
        <v>#REF!</v>
      </c>
      <c r="U61" s="33" t="e">
        <f t="shared" si="5"/>
        <v>#REF!</v>
      </c>
      <c r="V61" s="19"/>
    </row>
    <row r="62" spans="1:22" hidden="1">
      <c r="A62" s="13">
        <v>11</v>
      </c>
      <c r="B62" s="13">
        <v>69</v>
      </c>
      <c r="C62" s="13"/>
      <c r="D62" s="13"/>
      <c r="E62" s="13"/>
      <c r="F62" s="13"/>
      <c r="G62" s="13"/>
      <c r="H62" s="33">
        <f t="shared" si="3"/>
        <v>134391637.93441224</v>
      </c>
      <c r="I62" s="33">
        <f t="shared" si="3"/>
        <v>134391637.93441224</v>
      </c>
      <c r="J62" s="33">
        <f t="shared" si="3"/>
        <v>134391637.93441224</v>
      </c>
      <c r="K62" s="19"/>
      <c r="M62" s="33">
        <f t="shared" si="4"/>
        <v>15657278.20595094</v>
      </c>
      <c r="N62" s="33" t="e">
        <f>#REF!*0.04</f>
        <v>#REF!</v>
      </c>
      <c r="O62" s="33">
        <f t="shared" si="0"/>
        <v>13680000</v>
      </c>
      <c r="P62" s="33" t="e">
        <f t="shared" si="1"/>
        <v>#REF!</v>
      </c>
      <c r="Q62" s="33"/>
      <c r="R62" s="33" t="e">
        <f>P62/POWER(1+$B$12,10)</f>
        <v>#REF!</v>
      </c>
      <c r="S62" s="33"/>
      <c r="T62" s="34" t="e">
        <f t="shared" si="2"/>
        <v>#REF!</v>
      </c>
      <c r="U62" s="33" t="e">
        <f t="shared" si="5"/>
        <v>#REF!</v>
      </c>
      <c r="V62" s="19"/>
    </row>
    <row r="63" spans="1:22" hidden="1">
      <c r="A63" s="13">
        <v>12</v>
      </c>
      <c r="B63" s="13">
        <v>70</v>
      </c>
      <c r="C63" s="13"/>
      <c r="D63" s="13"/>
      <c r="E63" s="13"/>
      <c r="F63" s="13"/>
      <c r="G63" s="13"/>
      <c r="H63" s="33">
        <f t="shared" si="3"/>
        <v>138423387.07244462</v>
      </c>
      <c r="I63" s="33">
        <f t="shared" si="3"/>
        <v>138423387.07244462</v>
      </c>
      <c r="J63" s="33">
        <f t="shared" si="3"/>
        <v>138423387.07244462</v>
      </c>
      <c r="K63" s="19"/>
      <c r="M63" s="33">
        <f t="shared" si="4"/>
        <v>16126996.55212947</v>
      </c>
      <c r="N63" s="33" t="e">
        <f>#REF!*0.04</f>
        <v>#REF!</v>
      </c>
      <c r="O63" s="33">
        <f t="shared" si="0"/>
        <v>13680000</v>
      </c>
      <c r="P63" s="33" t="e">
        <f t="shared" si="1"/>
        <v>#REF!</v>
      </c>
      <c r="Q63" s="33"/>
      <c r="R63" s="33" t="e">
        <f>P63/POWER(1+$B$12,11)</f>
        <v>#REF!</v>
      </c>
      <c r="S63" s="33"/>
      <c r="T63" s="34" t="e">
        <f t="shared" si="2"/>
        <v>#REF!</v>
      </c>
      <c r="U63" s="33" t="e">
        <f t="shared" si="5"/>
        <v>#REF!</v>
      </c>
      <c r="V63" s="19"/>
    </row>
    <row r="64" spans="1:22" hidden="1">
      <c r="A64" s="13">
        <v>13</v>
      </c>
      <c r="B64" s="13">
        <v>71</v>
      </c>
      <c r="C64" s="13"/>
      <c r="D64" s="13"/>
      <c r="E64" s="13"/>
      <c r="F64" s="13"/>
      <c r="G64" s="13"/>
      <c r="H64" s="33">
        <f t="shared" si="3"/>
        <v>142576088.68461797</v>
      </c>
      <c r="I64" s="33">
        <f t="shared" si="3"/>
        <v>142576088.68461797</v>
      </c>
      <c r="J64" s="33">
        <f t="shared" si="3"/>
        <v>142576088.68461797</v>
      </c>
      <c r="K64" s="19"/>
      <c r="M64" s="33">
        <f t="shared" si="4"/>
        <v>16610806.448693354</v>
      </c>
      <c r="N64" s="33" t="e">
        <f>#REF!*0.04</f>
        <v>#REF!</v>
      </c>
      <c r="O64" s="33">
        <f t="shared" si="0"/>
        <v>13680000</v>
      </c>
      <c r="P64" s="33" t="e">
        <f t="shared" si="1"/>
        <v>#REF!</v>
      </c>
      <c r="Q64" s="33"/>
      <c r="R64" s="33" t="e">
        <f>P64/POWER(1+$B$12,12)</f>
        <v>#REF!</v>
      </c>
      <c r="S64" s="33"/>
      <c r="T64" s="34" t="e">
        <f t="shared" si="2"/>
        <v>#REF!</v>
      </c>
      <c r="U64" s="33" t="e">
        <f t="shared" si="5"/>
        <v>#REF!</v>
      </c>
      <c r="V64" s="19"/>
    </row>
    <row r="65" spans="1:28" hidden="1">
      <c r="A65" s="13">
        <v>14</v>
      </c>
      <c r="B65" s="13">
        <v>72</v>
      </c>
      <c r="C65" s="13"/>
      <c r="D65" s="13"/>
      <c r="E65" s="13"/>
      <c r="F65" s="13"/>
      <c r="G65" s="13"/>
      <c r="H65" s="33">
        <f t="shared" si="3"/>
        <v>146853371.34515652</v>
      </c>
      <c r="I65" s="33">
        <f t="shared" si="3"/>
        <v>146853371.34515652</v>
      </c>
      <c r="J65" s="33">
        <f t="shared" si="3"/>
        <v>146853371.34515652</v>
      </c>
      <c r="K65" s="19"/>
      <c r="M65" s="33">
        <f t="shared" si="4"/>
        <v>17109130.642154153</v>
      </c>
      <c r="N65" s="33" t="e">
        <f>#REF!*0.04</f>
        <v>#REF!</v>
      </c>
      <c r="O65" s="33">
        <f t="shared" si="0"/>
        <v>13680000</v>
      </c>
      <c r="P65" s="33" t="e">
        <f t="shared" si="1"/>
        <v>#REF!</v>
      </c>
      <c r="Q65" s="33"/>
      <c r="R65" s="33" t="e">
        <f>P65/POWER(1+$B$12,13)</f>
        <v>#REF!</v>
      </c>
      <c r="S65" s="33"/>
      <c r="T65" s="34" t="e">
        <f t="shared" si="2"/>
        <v>#REF!</v>
      </c>
      <c r="U65" s="33" t="e">
        <f t="shared" si="5"/>
        <v>#REF!</v>
      </c>
      <c r="V65" s="19"/>
    </row>
    <row r="66" spans="1:28" hidden="1">
      <c r="A66" s="13">
        <v>15</v>
      </c>
      <c r="B66" s="13">
        <v>73</v>
      </c>
      <c r="C66" s="13"/>
      <c r="D66" s="13"/>
      <c r="E66" s="13"/>
      <c r="F66" s="13"/>
      <c r="G66" s="13"/>
      <c r="H66" s="33">
        <f t="shared" si="3"/>
        <v>151258972.48551124</v>
      </c>
      <c r="I66" s="33">
        <f t="shared" si="3"/>
        <v>151258972.48551124</v>
      </c>
      <c r="J66" s="33">
        <f t="shared" si="3"/>
        <v>151258972.48551124</v>
      </c>
      <c r="K66" s="19"/>
      <c r="M66" s="33">
        <f t="shared" si="4"/>
        <v>17622404.561418783</v>
      </c>
      <c r="N66" s="33" t="e">
        <f>#REF!*0.04</f>
        <v>#REF!</v>
      </c>
      <c r="O66" s="33">
        <f t="shared" si="0"/>
        <v>13680000</v>
      </c>
      <c r="P66" s="33" t="e">
        <f t="shared" si="1"/>
        <v>#REF!</v>
      </c>
      <c r="Q66" s="33"/>
      <c r="R66" s="33" t="e">
        <f>P66/POWER(1+$B$12,14)</f>
        <v>#REF!</v>
      </c>
      <c r="S66" s="33"/>
      <c r="T66" s="34" t="e">
        <f t="shared" si="2"/>
        <v>#REF!</v>
      </c>
      <c r="U66" s="33" t="e">
        <f t="shared" si="5"/>
        <v>#REF!</v>
      </c>
      <c r="V66" s="19"/>
    </row>
    <row r="67" spans="1:28" hidden="1">
      <c r="A67" s="14">
        <v>16</v>
      </c>
      <c r="B67" s="14">
        <v>74</v>
      </c>
      <c r="C67" s="14"/>
      <c r="D67" s="14"/>
      <c r="E67" s="14"/>
      <c r="F67" s="14"/>
      <c r="G67" s="14"/>
      <c r="H67" s="19">
        <f t="shared" si="3"/>
        <v>155796741.66007659</v>
      </c>
      <c r="I67" s="19">
        <f t="shared" si="3"/>
        <v>155796741.66007659</v>
      </c>
      <c r="J67" s="19">
        <f t="shared" si="3"/>
        <v>155796741.66007659</v>
      </c>
      <c r="K67" s="19"/>
      <c r="M67" s="19">
        <f t="shared" si="4"/>
        <v>18151076.69826135</v>
      </c>
      <c r="N67" s="19" t="e">
        <f>#REF!*0.04</f>
        <v>#REF!</v>
      </c>
      <c r="O67" s="19">
        <f t="shared" si="0"/>
        <v>13680000</v>
      </c>
      <c r="P67" s="19" t="e">
        <f t="shared" si="1"/>
        <v>#REF!</v>
      </c>
      <c r="Q67" s="19"/>
      <c r="R67" s="19" t="e">
        <f>P67/POWER(1+$B$12,15)</f>
        <v>#REF!</v>
      </c>
      <c r="S67" s="19"/>
      <c r="T67" s="35" t="e">
        <f t="shared" si="2"/>
        <v>#REF!</v>
      </c>
      <c r="U67" s="19" t="e">
        <f t="shared" si="5"/>
        <v>#REF!</v>
      </c>
      <c r="V67" s="19"/>
    </row>
    <row r="68" spans="1:28" hidden="1">
      <c r="A68" s="14">
        <v>17</v>
      </c>
      <c r="B68" s="14">
        <v>75</v>
      </c>
      <c r="C68" s="14"/>
      <c r="D68" s="14"/>
      <c r="E68" s="14"/>
      <c r="F68" s="14"/>
      <c r="G68" s="14"/>
      <c r="H68" s="19">
        <f t="shared" si="3"/>
        <v>160470643.90987891</v>
      </c>
      <c r="I68" s="19">
        <f t="shared" si="3"/>
        <v>160470643.90987891</v>
      </c>
      <c r="J68" s="19">
        <f t="shared" si="3"/>
        <v>160470643.90987891</v>
      </c>
      <c r="K68" s="19"/>
      <c r="M68" s="19">
        <f t="shared" si="4"/>
        <v>18695608.999209192</v>
      </c>
      <c r="N68" s="19" t="e">
        <f>#REF!*0.04</f>
        <v>#REF!</v>
      </c>
      <c r="O68" s="19">
        <f t="shared" si="0"/>
        <v>13680000</v>
      </c>
      <c r="P68" s="19" t="e">
        <f t="shared" si="1"/>
        <v>#REF!</v>
      </c>
      <c r="Q68" s="19"/>
      <c r="R68" s="19" t="e">
        <f>P68/POWER(1+$B$12,16)</f>
        <v>#REF!</v>
      </c>
      <c r="S68" s="19"/>
      <c r="T68" s="35" t="e">
        <f t="shared" si="2"/>
        <v>#REF!</v>
      </c>
      <c r="U68" s="19" t="e">
        <f t="shared" si="5"/>
        <v>#REF!</v>
      </c>
      <c r="V68" s="19"/>
    </row>
    <row r="69" spans="1:28" hidden="1">
      <c r="A69" s="14">
        <v>18</v>
      </c>
      <c r="B69" s="14">
        <v>76</v>
      </c>
      <c r="C69" s="14"/>
      <c r="D69" s="14"/>
      <c r="E69" s="14"/>
      <c r="F69" s="14"/>
      <c r="G69" s="14"/>
      <c r="H69" s="19">
        <f t="shared" ref="H69:J76" si="6">H68*(1+0.07)-H68*0.04</f>
        <v>165284763.2271753</v>
      </c>
      <c r="I69" s="19">
        <f t="shared" si="6"/>
        <v>165284763.2271753</v>
      </c>
      <c r="J69" s="19">
        <f t="shared" si="6"/>
        <v>165284763.2271753</v>
      </c>
      <c r="K69" s="19"/>
      <c r="M69" s="19">
        <f t="shared" si="4"/>
        <v>19256477.269185469</v>
      </c>
      <c r="N69" s="19" t="e">
        <f>#REF!*0.04</f>
        <v>#REF!</v>
      </c>
      <c r="O69" s="19">
        <f t="shared" si="0"/>
        <v>13680000</v>
      </c>
      <c r="P69" s="19" t="e">
        <f t="shared" si="1"/>
        <v>#REF!</v>
      </c>
      <c r="Q69" s="19"/>
      <c r="R69" s="19" t="e">
        <f>P69/POWER(1+$B$12,17)</f>
        <v>#REF!</v>
      </c>
      <c r="S69" s="19"/>
      <c r="T69" s="35" t="e">
        <f t="shared" si="2"/>
        <v>#REF!</v>
      </c>
      <c r="U69" s="19" t="e">
        <f t="shared" si="5"/>
        <v>#REF!</v>
      </c>
      <c r="V69" s="19"/>
    </row>
    <row r="70" spans="1:28" hidden="1">
      <c r="A70" s="14">
        <v>19</v>
      </c>
      <c r="B70" s="14">
        <v>77</v>
      </c>
      <c r="C70" s="14"/>
      <c r="D70" s="14"/>
      <c r="E70" s="14"/>
      <c r="F70" s="14"/>
      <c r="G70" s="14"/>
      <c r="H70" s="19">
        <f t="shared" si="6"/>
        <v>170243306.12399057</v>
      </c>
      <c r="I70" s="19">
        <f t="shared" si="6"/>
        <v>170243306.12399057</v>
      </c>
      <c r="J70" s="19">
        <f t="shared" si="6"/>
        <v>170243306.12399057</v>
      </c>
      <c r="K70" s="19"/>
      <c r="M70" s="19">
        <f t="shared" si="4"/>
        <v>19834171.587261036</v>
      </c>
      <c r="N70" s="19" t="e">
        <f>#REF!*0.04</f>
        <v>#REF!</v>
      </c>
      <c r="O70" s="19">
        <f t="shared" si="0"/>
        <v>13680000</v>
      </c>
      <c r="P70" s="19" t="e">
        <f t="shared" si="1"/>
        <v>#REF!</v>
      </c>
      <c r="Q70" s="19"/>
      <c r="R70" s="19" t="e">
        <f>P70/POWER(1+$B$12,18)</f>
        <v>#REF!</v>
      </c>
      <c r="S70" s="19"/>
      <c r="T70" s="35" t="e">
        <f t="shared" si="2"/>
        <v>#REF!</v>
      </c>
      <c r="U70" s="19" t="e">
        <f t="shared" si="5"/>
        <v>#REF!</v>
      </c>
      <c r="V70" s="19"/>
    </row>
    <row r="71" spans="1:28" hidden="1">
      <c r="A71" s="14">
        <v>20</v>
      </c>
      <c r="B71" s="14">
        <v>78</v>
      </c>
      <c r="C71" s="14"/>
      <c r="D71" s="14"/>
      <c r="E71" s="14"/>
      <c r="F71" s="14"/>
      <c r="G71" s="14"/>
      <c r="H71" s="19">
        <f t="shared" si="6"/>
        <v>175350605.30771029</v>
      </c>
      <c r="I71" s="19">
        <f t="shared" si="6"/>
        <v>175350605.30771029</v>
      </c>
      <c r="J71" s="19">
        <f t="shared" si="6"/>
        <v>175350605.30771029</v>
      </c>
      <c r="K71" s="19"/>
      <c r="M71" s="19">
        <f t="shared" si="4"/>
        <v>20429196.734878868</v>
      </c>
      <c r="N71" s="19" t="e">
        <f>#REF!*0.04</f>
        <v>#REF!</v>
      </c>
      <c r="O71" s="19">
        <f t="shared" si="0"/>
        <v>13680000</v>
      </c>
      <c r="P71" s="19" t="e">
        <f t="shared" si="1"/>
        <v>#REF!</v>
      </c>
      <c r="Q71" s="19"/>
      <c r="R71" s="19" t="e">
        <f>P71/POWER(1+$B$12,19)</f>
        <v>#REF!</v>
      </c>
      <c r="S71" s="19"/>
      <c r="T71" s="35" t="e">
        <f t="shared" si="2"/>
        <v>#REF!</v>
      </c>
      <c r="U71" s="19" t="e">
        <f t="shared" si="5"/>
        <v>#REF!</v>
      </c>
      <c r="V71" s="19"/>
    </row>
    <row r="72" spans="1:28" hidden="1">
      <c r="A72" s="14">
        <v>21</v>
      </c>
      <c r="B72" s="14">
        <v>79</v>
      </c>
      <c r="C72" s="14"/>
      <c r="D72" s="14"/>
      <c r="E72" s="14"/>
      <c r="F72" s="14"/>
      <c r="G72" s="14"/>
      <c r="H72" s="19">
        <f t="shared" si="6"/>
        <v>180611123.46694162</v>
      </c>
      <c r="I72" s="19">
        <f t="shared" si="6"/>
        <v>180611123.46694162</v>
      </c>
      <c r="J72" s="19">
        <f t="shared" si="6"/>
        <v>180611123.46694162</v>
      </c>
      <c r="K72" s="19"/>
      <c r="M72" s="19">
        <f t="shared" si="4"/>
        <v>21042072.636925235</v>
      </c>
      <c r="N72" s="19" t="e">
        <f>#REF!*0.04</f>
        <v>#REF!</v>
      </c>
      <c r="O72" s="19">
        <f t="shared" si="0"/>
        <v>13680000</v>
      </c>
      <c r="P72" s="19" t="e">
        <f t="shared" si="1"/>
        <v>#REF!</v>
      </c>
      <c r="Q72" s="19"/>
      <c r="R72" s="19" t="e">
        <f>P72/POWER(1+$B$12,20)</f>
        <v>#REF!</v>
      </c>
      <c r="S72" s="19"/>
      <c r="T72" s="35" t="e">
        <f t="shared" si="2"/>
        <v>#REF!</v>
      </c>
      <c r="U72" s="19" t="e">
        <f t="shared" si="5"/>
        <v>#REF!</v>
      </c>
      <c r="V72" s="19"/>
    </row>
    <row r="73" spans="1:28" hidden="1">
      <c r="A73" s="14">
        <v>22</v>
      </c>
      <c r="B73" s="14">
        <v>80</v>
      </c>
      <c r="C73" s="14"/>
      <c r="D73" s="14"/>
      <c r="E73" s="14"/>
      <c r="F73" s="14"/>
      <c r="G73" s="14"/>
      <c r="H73" s="19">
        <f t="shared" si="6"/>
        <v>186029457.17094988</v>
      </c>
      <c r="I73" s="19">
        <f t="shared" si="6"/>
        <v>186029457.17094988</v>
      </c>
      <c r="J73" s="19">
        <f t="shared" si="6"/>
        <v>186029457.17094988</v>
      </c>
      <c r="K73" s="19"/>
      <c r="M73" s="19">
        <f t="shared" si="4"/>
        <v>21673334.816032998</v>
      </c>
      <c r="N73" s="19" t="e">
        <f>#REF!*0.04</f>
        <v>#REF!</v>
      </c>
      <c r="O73" s="19">
        <f t="shared" si="0"/>
        <v>13680000</v>
      </c>
      <c r="P73" s="19" t="e">
        <f t="shared" si="1"/>
        <v>#REF!</v>
      </c>
      <c r="Q73" s="19"/>
      <c r="R73" s="19" t="e">
        <f>P73/POWER(1+$B$12,21)</f>
        <v>#REF!</v>
      </c>
      <c r="S73" s="19"/>
      <c r="T73" s="35" t="e">
        <f t="shared" si="2"/>
        <v>#REF!</v>
      </c>
      <c r="U73" s="19" t="e">
        <f t="shared" si="5"/>
        <v>#REF!</v>
      </c>
      <c r="V73" s="19"/>
    </row>
    <row r="74" spans="1:28" hidden="1">
      <c r="A74" s="14">
        <v>23</v>
      </c>
      <c r="B74" s="14">
        <v>81</v>
      </c>
      <c r="C74" s="14"/>
      <c r="D74" s="14"/>
      <c r="E74" s="14"/>
      <c r="F74" s="14"/>
      <c r="G74" s="14"/>
      <c r="H74" s="19">
        <f t="shared" si="6"/>
        <v>191610340.88607839</v>
      </c>
      <c r="I74" s="19">
        <f t="shared" si="6"/>
        <v>191610340.88607839</v>
      </c>
      <c r="J74" s="19">
        <f t="shared" si="6"/>
        <v>191610340.88607839</v>
      </c>
      <c r="K74" s="19"/>
      <c r="M74" s="19">
        <f t="shared" si="4"/>
        <v>22323534.860513981</v>
      </c>
      <c r="N74" s="19" t="e">
        <f>#REF!*0.04</f>
        <v>#REF!</v>
      </c>
      <c r="O74" s="19">
        <f t="shared" si="0"/>
        <v>13680000</v>
      </c>
      <c r="P74" s="19" t="e">
        <f t="shared" si="1"/>
        <v>#REF!</v>
      </c>
      <c r="Q74" s="19"/>
      <c r="R74" s="19" t="e">
        <f>P74/POWER(1+$B$12,22)</f>
        <v>#REF!</v>
      </c>
      <c r="S74" s="19"/>
      <c r="T74" s="35" t="e">
        <f t="shared" si="2"/>
        <v>#REF!</v>
      </c>
      <c r="U74" s="19" t="e">
        <f t="shared" si="5"/>
        <v>#REF!</v>
      </c>
      <c r="V74" s="19"/>
    </row>
    <row r="75" spans="1:28" hidden="1">
      <c r="A75" s="14">
        <v>24</v>
      </c>
      <c r="B75" s="14">
        <v>82</v>
      </c>
      <c r="C75" s="14"/>
      <c r="D75" s="14"/>
      <c r="E75" s="14"/>
      <c r="F75" s="14"/>
      <c r="G75" s="14"/>
      <c r="H75" s="19">
        <f t="shared" si="6"/>
        <v>197358651.11266077</v>
      </c>
      <c r="I75" s="19">
        <f t="shared" si="6"/>
        <v>197358651.11266077</v>
      </c>
      <c r="J75" s="19">
        <f t="shared" si="6"/>
        <v>197358651.11266077</v>
      </c>
      <c r="K75" s="19"/>
      <c r="M75" s="19">
        <f t="shared" si="4"/>
        <v>22993240.906329408</v>
      </c>
      <c r="N75" s="19" t="e">
        <f>#REF!*0.04</f>
        <v>#REF!</v>
      </c>
      <c r="O75" s="19">
        <f t="shared" si="0"/>
        <v>13680000</v>
      </c>
      <c r="P75" s="19" t="e">
        <f t="shared" si="1"/>
        <v>#REF!</v>
      </c>
      <c r="Q75" s="19"/>
      <c r="R75" s="19" t="e">
        <f>P75/POWER(1+$B$12,23)</f>
        <v>#REF!</v>
      </c>
      <c r="S75" s="19"/>
      <c r="T75" s="35" t="e">
        <f t="shared" si="2"/>
        <v>#REF!</v>
      </c>
      <c r="U75" s="19" t="e">
        <f t="shared" si="5"/>
        <v>#REF!</v>
      </c>
      <c r="V75" s="19"/>
    </row>
    <row r="76" spans="1:28" hidden="1">
      <c r="A76" s="14">
        <v>25</v>
      </c>
      <c r="B76" s="14">
        <v>83</v>
      </c>
      <c r="C76" s="14"/>
      <c r="D76" s="14"/>
      <c r="E76" s="14"/>
      <c r="F76" s="14"/>
      <c r="G76" s="14"/>
      <c r="H76" s="19">
        <f t="shared" si="6"/>
        <v>203279410.64604059</v>
      </c>
      <c r="I76" s="19">
        <f t="shared" si="6"/>
        <v>203279410.64604059</v>
      </c>
      <c r="J76" s="19">
        <f t="shared" si="6"/>
        <v>203279410.64604059</v>
      </c>
      <c r="K76" s="19"/>
      <c r="M76" s="19">
        <f t="shared" si="4"/>
        <v>23683038.133519292</v>
      </c>
      <c r="N76" s="19" t="e">
        <f>#REF!*0.04</f>
        <v>#REF!</v>
      </c>
      <c r="O76" s="19">
        <f t="shared" si="0"/>
        <v>13680000</v>
      </c>
      <c r="P76" s="19" t="e">
        <f t="shared" si="1"/>
        <v>#REF!</v>
      </c>
      <c r="Q76" s="19"/>
      <c r="R76" s="19" t="e">
        <f>P76/POWER(1+$B$12,24)</f>
        <v>#REF!</v>
      </c>
      <c r="S76" s="19"/>
      <c r="T76" s="35" t="e">
        <f t="shared" si="2"/>
        <v>#REF!</v>
      </c>
      <c r="U76" s="19" t="e">
        <f t="shared" si="5"/>
        <v>#REF!</v>
      </c>
      <c r="V76" s="19"/>
    </row>
    <row r="77" spans="1:28" hidden="1">
      <c r="A77" s="24" t="s">
        <v>112</v>
      </c>
      <c r="H77" s="19"/>
      <c r="I77" s="19"/>
      <c r="J77" s="19"/>
      <c r="K77" s="19"/>
      <c r="L77" s="19"/>
      <c r="M77" s="19"/>
      <c r="N77" s="19"/>
      <c r="O77" s="19"/>
      <c r="P77" s="36" t="e">
        <f>SUM(P52:P76)</f>
        <v>#REF!</v>
      </c>
      <c r="Q77" s="36"/>
      <c r="R77" s="36" t="e">
        <f>SUM(R52:R76)</f>
        <v>#REF!</v>
      </c>
      <c r="S77" s="36"/>
      <c r="T77" s="35"/>
      <c r="U77" s="36" t="e">
        <f>U76</f>
        <v>#REF!</v>
      </c>
      <c r="V77" s="36"/>
    </row>
    <row r="78" spans="1:28">
      <c r="H78" s="19"/>
      <c r="I78" s="19">
        <f>6000000+3000000</f>
        <v>9000000</v>
      </c>
      <c r="J78" s="19" t="s">
        <v>129</v>
      </c>
      <c r="K78" s="19"/>
      <c r="L78" s="19">
        <v>20000000</v>
      </c>
      <c r="M78" s="19"/>
      <c r="N78" s="19"/>
      <c r="O78" s="19"/>
      <c r="P78" s="19"/>
      <c r="Q78" s="19"/>
      <c r="R78" s="19"/>
      <c r="S78" s="19"/>
      <c r="T78" s="35"/>
      <c r="U78" s="19"/>
      <c r="V78" s="19"/>
    </row>
    <row r="79" spans="1:28">
      <c r="A79" s="129" t="s">
        <v>157</v>
      </c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62"/>
    </row>
    <row r="80" spans="1:28" ht="19.5" customHeight="1">
      <c r="A80" s="38" t="s">
        <v>33</v>
      </c>
      <c r="B80" s="38" t="s">
        <v>34</v>
      </c>
      <c r="C80" s="38" t="s">
        <v>126</v>
      </c>
      <c r="D80" s="38" t="s">
        <v>121</v>
      </c>
      <c r="E80" s="38" t="s">
        <v>124</v>
      </c>
      <c r="F80" s="37" t="s">
        <v>125</v>
      </c>
      <c r="G80" s="38" t="s">
        <v>119</v>
      </c>
      <c r="H80" s="39" t="s">
        <v>35</v>
      </c>
      <c r="I80" s="39" t="s">
        <v>141</v>
      </c>
      <c r="J80" s="39" t="s">
        <v>37</v>
      </c>
      <c r="K80" s="39" t="s">
        <v>142</v>
      </c>
      <c r="L80" s="39" t="s">
        <v>143</v>
      </c>
      <c r="M80" s="39" t="s">
        <v>38</v>
      </c>
      <c r="N80" s="39" t="s">
        <v>165</v>
      </c>
      <c r="O80" s="39" t="s">
        <v>39</v>
      </c>
      <c r="P80" s="39" t="s">
        <v>144</v>
      </c>
      <c r="Q80" s="39" t="s">
        <v>145</v>
      </c>
      <c r="R80" s="39" t="s">
        <v>111</v>
      </c>
      <c r="S80" s="39" t="s">
        <v>160</v>
      </c>
      <c r="T80" s="40" t="s">
        <v>40</v>
      </c>
      <c r="U80" s="39" t="s">
        <v>41</v>
      </c>
      <c r="V80" s="39" t="s">
        <v>132</v>
      </c>
      <c r="W80" s="39" t="s">
        <v>131</v>
      </c>
      <c r="X80" s="39" t="s">
        <v>159</v>
      </c>
      <c r="Y80" s="39" t="s">
        <v>134</v>
      </c>
      <c r="Z80" s="39" t="s">
        <v>130</v>
      </c>
      <c r="AA80" s="73" t="s">
        <v>133</v>
      </c>
      <c r="AB80" s="74">
        <v>750000000</v>
      </c>
    </row>
    <row r="81" spans="1:29">
      <c r="A81" s="31">
        <v>-6</v>
      </c>
      <c r="B81" s="41">
        <v>52</v>
      </c>
      <c r="C81" s="50">
        <f>D81+E81+F81+G81</f>
        <v>891384748</v>
      </c>
      <c r="D81" s="42">
        <v>514753229</v>
      </c>
      <c r="E81" s="42">
        <v>228537719</v>
      </c>
      <c r="F81" s="42">
        <v>49597939</v>
      </c>
      <c r="G81" s="42">
        <v>98495861</v>
      </c>
      <c r="H81" s="42">
        <v>73000000</v>
      </c>
      <c r="I81" s="43">
        <v>27257887</v>
      </c>
      <c r="J81" s="42">
        <v>58527425</v>
      </c>
      <c r="K81" s="42">
        <v>0</v>
      </c>
      <c r="L81" s="42">
        <v>0</v>
      </c>
      <c r="M81" s="42"/>
      <c r="N81" s="42"/>
      <c r="O81" s="42"/>
      <c r="P81" s="42"/>
      <c r="Q81" s="42"/>
      <c r="R81" s="42"/>
      <c r="S81" s="42"/>
      <c r="T81" s="44"/>
      <c r="U81" s="45"/>
      <c r="V81" s="45"/>
      <c r="W81" s="42">
        <v>550000000</v>
      </c>
      <c r="X81" s="42">
        <v>208000000</v>
      </c>
      <c r="Y81" s="42">
        <v>17500000</v>
      </c>
      <c r="Z81" s="33">
        <f>Y81+X81+W81+L81+J81+I81+H81+C81+K81</f>
        <v>1825670060</v>
      </c>
      <c r="AA81" s="63" t="s">
        <v>127</v>
      </c>
      <c r="AB81" s="42">
        <v>-110000000</v>
      </c>
    </row>
    <row r="82" spans="1:29">
      <c r="A82" s="31">
        <v>-5</v>
      </c>
      <c r="B82" s="92" t="s">
        <v>154</v>
      </c>
      <c r="C82" s="50">
        <f>D82+E82+F82</f>
        <v>1135433431.8200002</v>
      </c>
      <c r="D82" s="42">
        <f>645307213*(1+$B$40/2)</f>
        <v>690478717.91000009</v>
      </c>
      <c r="E82" s="50">
        <f>275351063*(1+$B$41/2)</f>
        <v>291872126.78000003</v>
      </c>
      <c r="F82" s="50">
        <f>146490514*(1+$D$40/2)</f>
        <v>153082587.13</v>
      </c>
      <c r="G82" s="42"/>
      <c r="H82" s="42">
        <v>102000000</v>
      </c>
      <c r="I82" s="43">
        <v>60000000</v>
      </c>
      <c r="J82" s="42">
        <v>90000000</v>
      </c>
      <c r="K82" s="42">
        <v>54000000</v>
      </c>
      <c r="L82" s="42">
        <f>40000000*(1+$B$10)</f>
        <v>43600000</v>
      </c>
      <c r="M82" s="42"/>
      <c r="N82" s="42"/>
      <c r="O82" s="42"/>
      <c r="P82" s="42"/>
      <c r="Q82" s="42"/>
      <c r="R82" s="42"/>
      <c r="S82" s="42"/>
      <c r="T82" s="44"/>
      <c r="U82" s="45"/>
      <c r="V82" s="97">
        <v>80000000</v>
      </c>
      <c r="W82" s="42">
        <v>550000000</v>
      </c>
      <c r="X82" s="42">
        <v>110000000</v>
      </c>
      <c r="Y82" s="42">
        <v>17500000</v>
      </c>
      <c r="Z82" s="33">
        <f>Y82+X82+W82+L82+J82+I82+H82+C82+K82</f>
        <v>2162533431.8200002</v>
      </c>
      <c r="AA82" s="63" t="s">
        <v>134</v>
      </c>
      <c r="AB82" s="42">
        <f>-Y84</f>
        <v>-17500000</v>
      </c>
      <c r="AC82" s="78">
        <f>Z82/Z81-1</f>
        <v>0.18451492369875422</v>
      </c>
    </row>
    <row r="83" spans="1:29">
      <c r="A83" s="31">
        <v>-4</v>
      </c>
      <c r="B83" s="77">
        <v>54</v>
      </c>
      <c r="C83" s="50">
        <f>D83+E83+F83+G83</f>
        <v>1280902540.3827002</v>
      </c>
      <c r="D83" s="42">
        <f>D82*(1+$B$40)</f>
        <v>787145738.41740024</v>
      </c>
      <c r="E83" s="50">
        <f t="shared" ref="E83:E88" si="7">E82*(1+$B$41)</f>
        <v>326896781.99360007</v>
      </c>
      <c r="F83" s="50">
        <f t="shared" ref="F83:F88" si="8">F82*(1+$D$40)</f>
        <v>166860019.97170001</v>
      </c>
      <c r="G83" s="42"/>
      <c r="H83" s="42">
        <f t="shared" ref="H83:H87" si="9">H82*(1+C$26)</f>
        <v>109140000</v>
      </c>
      <c r="I83" s="43">
        <f>(I82+18000000)*(1+C$27)</f>
        <v>83460000</v>
      </c>
      <c r="J83" s="42">
        <f>(J82+11000000)*(1+$C$27)</f>
        <v>108070000</v>
      </c>
      <c r="K83" s="42">
        <f t="shared" ref="K83:L85" si="10">(K82+20000000)*(1+$B$10)</f>
        <v>80660000</v>
      </c>
      <c r="L83" s="42">
        <f t="shared" si="10"/>
        <v>69324000</v>
      </c>
      <c r="M83" s="42"/>
      <c r="N83" s="42"/>
      <c r="O83" s="42"/>
      <c r="P83" s="42"/>
      <c r="Q83" s="42"/>
      <c r="R83" s="42"/>
      <c r="S83" s="42"/>
      <c r="T83" s="44"/>
      <c r="U83" s="45"/>
      <c r="V83" s="43">
        <f>V82*(1+F$40)</f>
        <v>94400000</v>
      </c>
      <c r="W83" s="42">
        <v>550000000</v>
      </c>
      <c r="X83" s="42">
        <v>110000000</v>
      </c>
      <c r="Y83" s="42">
        <v>17500000</v>
      </c>
      <c r="Z83" s="33">
        <f t="shared" ref="Z83:Z112" si="11">Y83+X83+W83+L83+J83+I83+H83+C83+K83+V83</f>
        <v>2503456540.3827</v>
      </c>
      <c r="AA83" s="63" t="s">
        <v>140</v>
      </c>
      <c r="AB83" s="42">
        <v>-550000000</v>
      </c>
      <c r="AC83" s="78">
        <f t="shared" ref="AC83:AC87" si="12">Z83/Z82-1</f>
        <v>0.15764986730206387</v>
      </c>
    </row>
    <row r="84" spans="1:29">
      <c r="A84" s="31">
        <v>-3</v>
      </c>
      <c r="B84" s="77">
        <v>55</v>
      </c>
      <c r="C84" s="50">
        <f t="shared" ref="C84:C85" si="13">D84+E84+F84+G84</f>
        <v>1445347959.3978214</v>
      </c>
      <c r="D84" s="42">
        <f>D83*(1+$B$40)</f>
        <v>897346141.79583633</v>
      </c>
      <c r="E84" s="50">
        <f t="shared" si="7"/>
        <v>366124395.8328321</v>
      </c>
      <c r="F84" s="50">
        <f t="shared" si="8"/>
        <v>181877421.76915303</v>
      </c>
      <c r="G84" s="42"/>
      <c r="H84" s="42">
        <f t="shared" si="9"/>
        <v>116779800</v>
      </c>
      <c r="I84" s="43">
        <f>(I83+18000000)*(1+C$27)</f>
        <v>108562200</v>
      </c>
      <c r="J84" s="42">
        <f>(J83+11000000)*(1+$C$27)</f>
        <v>127404900</v>
      </c>
      <c r="K84" s="42">
        <f t="shared" si="10"/>
        <v>109719400.00000001</v>
      </c>
      <c r="L84" s="42">
        <f t="shared" si="10"/>
        <v>97363160</v>
      </c>
      <c r="M84" s="42"/>
      <c r="N84" s="42"/>
      <c r="O84" s="42"/>
      <c r="P84" s="42"/>
      <c r="Q84" s="42"/>
      <c r="R84" s="42"/>
      <c r="S84" s="42"/>
      <c r="T84" s="44"/>
      <c r="U84" s="45"/>
      <c r="V84" s="43">
        <f>V83*(1+F$40)</f>
        <v>111392000</v>
      </c>
      <c r="W84" s="42">
        <v>550000000</v>
      </c>
      <c r="X84" s="42">
        <v>110000000</v>
      </c>
      <c r="Y84" s="42">
        <v>17500000</v>
      </c>
      <c r="Z84" s="33">
        <f t="shared" si="11"/>
        <v>2794069419.3978214</v>
      </c>
      <c r="AA84" s="63" t="s">
        <v>158</v>
      </c>
      <c r="AB84" s="42">
        <v>-100000000</v>
      </c>
      <c r="AC84" s="78">
        <f t="shared" si="12"/>
        <v>0.11608465109232369</v>
      </c>
    </row>
    <row r="85" spans="1:29">
      <c r="A85" s="31">
        <v>-2</v>
      </c>
      <c r="B85" s="77">
        <v>56</v>
      </c>
      <c r="C85" s="50">
        <f t="shared" si="13"/>
        <v>1631280314.7084024</v>
      </c>
      <c r="D85" s="42">
        <f>D84*(1+$B$40)</f>
        <v>1022974601.6472535</v>
      </c>
      <c r="E85" s="50">
        <f t="shared" si="7"/>
        <v>410059323.33277202</v>
      </c>
      <c r="F85" s="50">
        <f t="shared" si="8"/>
        <v>198246389.72837681</v>
      </c>
      <c r="G85" s="42"/>
      <c r="H85" s="42">
        <f t="shared" si="9"/>
        <v>124954386</v>
      </c>
      <c r="I85" s="43">
        <f>(I84+18000000)*(1+C$27)</f>
        <v>135421554</v>
      </c>
      <c r="J85" s="42">
        <f>(J84+11000000)*(1+$C$27)</f>
        <v>148093243</v>
      </c>
      <c r="K85" s="46">
        <f t="shared" si="10"/>
        <v>141394146.00000003</v>
      </c>
      <c r="L85" s="46">
        <f t="shared" si="10"/>
        <v>127925844.40000001</v>
      </c>
      <c r="M85" s="42"/>
      <c r="N85" s="42"/>
      <c r="O85" s="42"/>
      <c r="P85" s="42"/>
      <c r="Q85" s="42"/>
      <c r="R85" s="42"/>
      <c r="S85" s="42"/>
      <c r="T85" s="44"/>
      <c r="U85" s="45"/>
      <c r="V85" s="99">
        <f>V84*(1+F$40)</f>
        <v>131442560</v>
      </c>
      <c r="W85" s="42">
        <v>550000000</v>
      </c>
      <c r="X85" s="42">
        <v>110000000</v>
      </c>
      <c r="Y85" s="42">
        <v>17500000</v>
      </c>
      <c r="Z85" s="33">
        <f t="shared" si="11"/>
        <v>3118012048.1084023</v>
      </c>
      <c r="AA85" s="63" t="s">
        <v>137</v>
      </c>
      <c r="AB85" s="42"/>
      <c r="AC85" s="78">
        <f t="shared" si="12"/>
        <v>0.11593936301711394</v>
      </c>
    </row>
    <row r="86" spans="1:29">
      <c r="A86" s="31">
        <v>-1</v>
      </c>
      <c r="B86" s="77" t="s">
        <v>166</v>
      </c>
      <c r="C86" s="100">
        <f>D86+E86+F86+G86</f>
        <v>1841546052.8145046</v>
      </c>
      <c r="D86" s="98">
        <f>D85*(1+$B$40)</f>
        <v>1166191045.8778691</v>
      </c>
      <c r="E86" s="100">
        <f t="shared" si="7"/>
        <v>459266442.13270468</v>
      </c>
      <c r="F86" s="100">
        <f t="shared" si="8"/>
        <v>216088564.80393073</v>
      </c>
      <c r="G86" s="98"/>
      <c r="H86" s="98">
        <f t="shared" si="9"/>
        <v>133701193.02000001</v>
      </c>
      <c r="I86" s="101">
        <f>(I85+18000000)*(1+C$27)</f>
        <v>164161062.78</v>
      </c>
      <c r="J86" s="98">
        <f>(J85+11000000)*(1+$C$27)</f>
        <v>170229770.01000002</v>
      </c>
      <c r="K86" s="98">
        <f>K85*(1+$B$10)</f>
        <v>154119619.14000005</v>
      </c>
      <c r="L86" s="98">
        <f>L85*(1+$B$10)</f>
        <v>139439170.39600003</v>
      </c>
      <c r="M86" s="98"/>
      <c r="N86" s="98"/>
      <c r="O86" s="98"/>
      <c r="P86" s="98"/>
      <c r="Q86" s="98"/>
      <c r="R86" s="98"/>
      <c r="S86" s="98"/>
      <c r="T86" s="102"/>
      <c r="U86" s="103"/>
      <c r="V86" s="101">
        <f>V85*(1+F$40)</f>
        <v>155102220.79999998</v>
      </c>
      <c r="W86" s="98">
        <v>750000000</v>
      </c>
      <c r="X86" s="98">
        <v>-100000000</v>
      </c>
      <c r="Y86" s="98">
        <v>0</v>
      </c>
      <c r="Z86" s="104">
        <f t="shared" si="11"/>
        <v>3408299088.960505</v>
      </c>
      <c r="AA86" s="64" t="s">
        <v>136</v>
      </c>
      <c r="AB86" s="42"/>
      <c r="AC86" s="78">
        <f t="shared" si="12"/>
        <v>9.3100038220894854E-2</v>
      </c>
    </row>
    <row r="87" spans="1:29">
      <c r="A87" s="51">
        <v>0</v>
      </c>
      <c r="B87" s="52">
        <v>58</v>
      </c>
      <c r="C87" s="56">
        <f>D87+E87+F87+G87</f>
        <v>1999372743.125685</v>
      </c>
      <c r="D87" s="46">
        <f>D86*(1+$B$40)-80000000</f>
        <v>1249457792.300771</v>
      </c>
      <c r="E87" s="56">
        <f t="shared" si="7"/>
        <v>514378415.18862927</v>
      </c>
      <c r="F87" s="56">
        <f t="shared" si="8"/>
        <v>235536535.6362845</v>
      </c>
      <c r="G87" s="46"/>
      <c r="H87" s="46">
        <f t="shared" si="9"/>
        <v>143060276.53140002</v>
      </c>
      <c r="I87" s="53">
        <f>I86*(1+C$27)</f>
        <v>175652337.17460001</v>
      </c>
      <c r="J87" s="46">
        <f>J86*(1+$C$27)</f>
        <v>182145853.91070002</v>
      </c>
      <c r="K87" s="46">
        <f>(K86)*(1+$B$10)</f>
        <v>167990384.86260006</v>
      </c>
      <c r="L87" s="46">
        <f>(L86)*(1+$B$10)</f>
        <v>151988695.73164004</v>
      </c>
      <c r="M87" s="46"/>
      <c r="N87" s="46"/>
      <c r="O87" s="46"/>
      <c r="P87" s="46"/>
      <c r="Q87" s="46">
        <v>40000000</v>
      </c>
      <c r="R87" s="71">
        <f>8500000*12+40000000</f>
        <v>142000000</v>
      </c>
      <c r="S87" s="71" t="s">
        <v>161</v>
      </c>
      <c r="T87" s="54"/>
      <c r="U87" s="55"/>
      <c r="V87" s="79">
        <f>V86*(1+F$40)+40000000</f>
        <v>223020620.54399997</v>
      </c>
      <c r="W87" s="46">
        <f>W86</f>
        <v>750000000</v>
      </c>
      <c r="X87" s="46">
        <v>-100000000</v>
      </c>
      <c r="Y87" s="46">
        <v>0</v>
      </c>
      <c r="Z87" s="71">
        <f t="shared" si="11"/>
        <v>3693230911.8806252</v>
      </c>
      <c r="AA87" s="9" t="s">
        <v>147</v>
      </c>
      <c r="AB87" s="19">
        <f>AB80+SUM(AB81:AB86)</f>
        <v>-27500000</v>
      </c>
      <c r="AC87" s="78">
        <f t="shared" si="12"/>
        <v>8.3599418796025171E-2</v>
      </c>
    </row>
    <row r="88" spans="1:29">
      <c r="A88" s="83">
        <v>1</v>
      </c>
      <c r="B88" s="84">
        <v>2032.59</v>
      </c>
      <c r="C88" s="85">
        <f t="shared" ref="C88:C112" si="14">D88+E88+F88+G88</f>
        <v>2217220532.0776939</v>
      </c>
      <c r="D88" s="46">
        <f>D87*(1+$B$40)-40000000</f>
        <v>1384381883.2228792</v>
      </c>
      <c r="E88" s="56">
        <f t="shared" si="7"/>
        <v>576103825.0112648</v>
      </c>
      <c r="F88" s="56">
        <f t="shared" si="8"/>
        <v>256734823.84355012</v>
      </c>
      <c r="G88" s="46"/>
      <c r="H88" s="107">
        <f t="shared" ref="H88:H98" si="15">H87*(1+(C$26-D$26))</f>
        <v>146636783.44468501</v>
      </c>
      <c r="I88" s="108">
        <f t="shared" ref="I88:I98" si="16">I87*(1+(C$26-D$26))</f>
        <v>180043645.60396498</v>
      </c>
      <c r="J88" s="107">
        <f t="shared" ref="J88:J98" si="17">J87*(1+(C$26-D$26))</f>
        <v>186699500.2584675</v>
      </c>
      <c r="K88" s="107">
        <f t="shared" ref="K88:L98" si="18">(K87)*(1+($B$10-$B$11))</f>
        <v>169670288.71122605</v>
      </c>
      <c r="L88" s="107">
        <f t="shared" si="18"/>
        <v>153508582.68895644</v>
      </c>
      <c r="M88" s="105">
        <f t="shared" ref="M88:M98" si="19">(H87+I87+J87)*D$26</f>
        <v>22538631.042751502</v>
      </c>
      <c r="N88" s="105">
        <f>(K87+L87)*$D$31</f>
        <v>25598326.447539207</v>
      </c>
      <c r="O88" s="71"/>
      <c r="P88" s="106">
        <f>M88+N88</f>
        <v>48136957.490290709</v>
      </c>
      <c r="Q88" s="71">
        <v>40000000</v>
      </c>
      <c r="R88" s="71">
        <f>8500000*12+40000000</f>
        <v>142000000</v>
      </c>
      <c r="S88" s="71" t="s">
        <v>162</v>
      </c>
      <c r="T88" s="87">
        <f t="shared" ref="T88:T112" si="20">R88/$R$88*100</f>
        <v>100</v>
      </c>
      <c r="U88" s="71">
        <f>R88</f>
        <v>142000000</v>
      </c>
      <c r="V88" s="46">
        <f>V87*(1+F$40)</f>
        <v>263164332.24191996</v>
      </c>
      <c r="W88" s="46">
        <f t="shared" ref="W88:W112" si="21">W87</f>
        <v>750000000</v>
      </c>
      <c r="X88" s="46">
        <v>-100000000</v>
      </c>
      <c r="Y88" s="46">
        <v>0</v>
      </c>
      <c r="Z88" s="71">
        <f t="shared" si="11"/>
        <v>3966943665.0269136</v>
      </c>
      <c r="AA88" s="9" t="s">
        <v>148</v>
      </c>
    </row>
    <row r="89" spans="1:29">
      <c r="A89" s="13">
        <v>2</v>
      </c>
      <c r="B89" s="82">
        <v>60</v>
      </c>
      <c r="C89" s="72">
        <f>D89+E89+F89+G89</f>
        <v>1917272588.8761687</v>
      </c>
      <c r="D89" s="109">
        <f>D88*(1+$B$40)-500000000</f>
        <v>1078195346.8740823</v>
      </c>
      <c r="E89" s="110">
        <f>E88*(1+$B$41)-70000000</f>
        <v>575236284.01261663</v>
      </c>
      <c r="F89" s="110">
        <f>F88*(1+$D$40)-16000000</f>
        <v>263840957.98946965</v>
      </c>
      <c r="G89" s="109"/>
      <c r="H89" s="111">
        <f t="shared" si="15"/>
        <v>150302703.03080213</v>
      </c>
      <c r="I89" s="112">
        <f t="shared" si="16"/>
        <v>184544736.74406409</v>
      </c>
      <c r="J89" s="111">
        <f t="shared" si="17"/>
        <v>191366987.76492918</v>
      </c>
      <c r="K89" s="111">
        <f t="shared" si="18"/>
        <v>171366991.59833831</v>
      </c>
      <c r="L89" s="111">
        <f t="shared" si="18"/>
        <v>155043668.51584601</v>
      </c>
      <c r="M89" s="113">
        <f t="shared" si="19"/>
        <v>23102096.818820287</v>
      </c>
      <c r="N89" s="113">
        <f t="shared" ref="N89:N98" si="22">(K88+L88)*$D$32</f>
        <v>25854309.712014601</v>
      </c>
      <c r="O89" s="33"/>
      <c r="P89" s="18">
        <f t="shared" ref="P89:P112" si="23">M89+N89+O89</f>
        <v>48956406.530834883</v>
      </c>
      <c r="Q89" s="33">
        <v>86000000</v>
      </c>
      <c r="R89" s="33">
        <f>P89/POWER(1+$B$12,1)+Q89</f>
        <v>133762347.83496086</v>
      </c>
      <c r="S89" s="33"/>
      <c r="T89" s="34">
        <f t="shared" si="20"/>
        <v>94.198836503493567</v>
      </c>
      <c r="U89" s="33">
        <f t="shared" ref="U89:U112" si="24">U88+R89</f>
        <v>275762347.83496088</v>
      </c>
      <c r="V89" s="119">
        <f>V88*(1+F$40)+410000000</f>
        <v>720533912.04546547</v>
      </c>
      <c r="W89" s="42">
        <f t="shared" si="21"/>
        <v>750000000</v>
      </c>
      <c r="X89" s="42">
        <v>-100000000</v>
      </c>
      <c r="Y89" s="42">
        <v>0</v>
      </c>
      <c r="Z89" s="33">
        <f t="shared" si="11"/>
        <v>4140431588.575614</v>
      </c>
      <c r="AA89" s="9" t="s">
        <v>173</v>
      </c>
      <c r="AB89" s="19">
        <f>100000000+Q89</f>
        <v>186000000</v>
      </c>
      <c r="AC89" s="9" t="s">
        <v>152</v>
      </c>
    </row>
    <row r="90" spans="1:29">
      <c r="A90" s="13">
        <v>3</v>
      </c>
      <c r="B90" s="47">
        <v>61</v>
      </c>
      <c r="C90" s="72">
        <f t="shared" si="14"/>
        <v>2070993977.7391067</v>
      </c>
      <c r="D90" s="42">
        <f>D89*(1+$B$40)-90000000</f>
        <v>1139142695.4364541</v>
      </c>
      <c r="E90" s="50">
        <f>E89*(1+$B$41)</f>
        <v>644264638.09413064</v>
      </c>
      <c r="F90" s="50">
        <f t="shared" ref="F90:F98" si="25">F89*(1+$D$40)</f>
        <v>287586644.20852196</v>
      </c>
      <c r="G90" s="42"/>
      <c r="H90" s="111">
        <f t="shared" si="15"/>
        <v>154060270.60657218</v>
      </c>
      <c r="I90" s="112">
        <f t="shared" si="16"/>
        <v>189158355.16266567</v>
      </c>
      <c r="J90" s="111">
        <f t="shared" si="17"/>
        <v>196151162.45905238</v>
      </c>
      <c r="K90" s="111">
        <f t="shared" si="18"/>
        <v>173080661.51432168</v>
      </c>
      <c r="L90" s="111">
        <f t="shared" si="18"/>
        <v>156594105.20100448</v>
      </c>
      <c r="M90" s="113">
        <f t="shared" si="19"/>
        <v>23679649.239290792</v>
      </c>
      <c r="N90" s="113">
        <f t="shared" si="22"/>
        <v>26112852.809134748</v>
      </c>
      <c r="O90" s="33"/>
      <c r="P90" s="18">
        <f>M90+N90+O90</f>
        <v>49792502.04842554</v>
      </c>
      <c r="Q90" s="33">
        <v>90000000</v>
      </c>
      <c r="R90" s="33">
        <f>P90/POWER(1+$B$12,2)+Q90</f>
        <v>137393220.27214804</v>
      </c>
      <c r="S90" s="33"/>
      <c r="T90" s="34">
        <f t="shared" si="20"/>
        <v>96.75578892404792</v>
      </c>
      <c r="U90" s="33">
        <f t="shared" si="24"/>
        <v>413155568.10710895</v>
      </c>
      <c r="V90" s="42">
        <f>V89*(1+F$40)</f>
        <v>850230016.21364915</v>
      </c>
      <c r="W90" s="42">
        <f t="shared" si="21"/>
        <v>750000000</v>
      </c>
      <c r="X90" s="42">
        <v>-100000000</v>
      </c>
      <c r="Y90" s="42">
        <v>0</v>
      </c>
      <c r="Z90" s="33">
        <f t="shared" si="11"/>
        <v>4440268548.8963718</v>
      </c>
    </row>
    <row r="91" spans="1:29">
      <c r="A91" s="13">
        <v>4</v>
      </c>
      <c r="B91" s="47">
        <v>62</v>
      </c>
      <c r="C91" s="72">
        <f t="shared" si="14"/>
        <v>2239668509.6502728</v>
      </c>
      <c r="D91" s="42">
        <f>D90*(1+$B$40)-94000000</f>
        <v>1204622672.7975578</v>
      </c>
      <c r="E91" s="50">
        <f>E90*(1+$B$41)</f>
        <v>721576394.66542637</v>
      </c>
      <c r="F91" s="50">
        <f t="shared" si="25"/>
        <v>313469442.18728894</v>
      </c>
      <c r="G91" s="42"/>
      <c r="H91" s="111">
        <f t="shared" si="15"/>
        <v>157911777.37173647</v>
      </c>
      <c r="I91" s="112">
        <f t="shared" si="16"/>
        <v>193887314.04173228</v>
      </c>
      <c r="J91" s="111">
        <f t="shared" si="17"/>
        <v>201054941.52052867</v>
      </c>
      <c r="K91" s="111">
        <f t="shared" si="18"/>
        <v>174811468.12946489</v>
      </c>
      <c r="L91" s="111">
        <f t="shared" si="18"/>
        <v>158160046.25301453</v>
      </c>
      <c r="M91" s="113">
        <f t="shared" si="19"/>
        <v>24271640.470273063</v>
      </c>
      <c r="N91" s="113">
        <f t="shared" si="22"/>
        <v>26373981.337226097</v>
      </c>
      <c r="O91" s="33"/>
      <c r="P91" s="18">
        <f t="shared" si="23"/>
        <v>50645621.807499155</v>
      </c>
      <c r="Q91" s="33">
        <v>94000000</v>
      </c>
      <c r="R91" s="33">
        <f>P91/POWER(1+$B$12,3)+Q91</f>
        <v>141029494.5761081</v>
      </c>
      <c r="S91" s="33"/>
      <c r="T91" s="34">
        <f t="shared" si="20"/>
        <v>99.316545476132461</v>
      </c>
      <c r="U91" s="33">
        <f t="shared" si="24"/>
        <v>554185062.68321705</v>
      </c>
      <c r="V91" s="42">
        <f>V90*(1+F$40)</f>
        <v>1003271419.1321059</v>
      </c>
      <c r="W91" s="42">
        <f t="shared" si="21"/>
        <v>750000000</v>
      </c>
      <c r="X91" s="42">
        <v>-100000000</v>
      </c>
      <c r="Y91" s="42">
        <v>0</v>
      </c>
      <c r="Z91" s="33">
        <f t="shared" si="11"/>
        <v>4778765476.098856</v>
      </c>
    </row>
    <row r="92" spans="1:29">
      <c r="A92" s="13">
        <v>5</v>
      </c>
      <c r="B92" s="82">
        <v>63</v>
      </c>
      <c r="C92" s="72">
        <f t="shared" si="14"/>
        <v>2449117100.9986386</v>
      </c>
      <c r="D92" s="42">
        <f>D91*(1+$B$40)-74000000</f>
        <v>1299269846.9892161</v>
      </c>
      <c r="E92" s="50">
        <f>E91*(1+$B$41)</f>
        <v>808165562.02527761</v>
      </c>
      <c r="F92" s="50">
        <f t="shared" si="25"/>
        <v>341681691.98414499</v>
      </c>
      <c r="G92" s="42"/>
      <c r="H92" s="111">
        <f t="shared" si="15"/>
        <v>161859571.80602986</v>
      </c>
      <c r="I92" s="112">
        <f t="shared" si="16"/>
        <v>198734496.89277557</v>
      </c>
      <c r="J92" s="111">
        <f t="shared" si="17"/>
        <v>206081315.05854186</v>
      </c>
      <c r="K92" s="111">
        <f t="shared" si="18"/>
        <v>176559582.81075954</v>
      </c>
      <c r="L92" s="111">
        <f t="shared" si="18"/>
        <v>159741646.71554467</v>
      </c>
      <c r="M92" s="113">
        <f t="shared" si="19"/>
        <v>24878431.482029881</v>
      </c>
      <c r="N92" s="113">
        <f t="shared" si="22"/>
        <v>26637721.150598355</v>
      </c>
      <c r="O92" s="33">
        <f>E39*(1+(B12*5))</f>
        <v>25596000</v>
      </c>
      <c r="P92" s="18">
        <f t="shared" si="23"/>
        <v>77112152.632628232</v>
      </c>
      <c r="Q92" s="33">
        <v>74000000</v>
      </c>
      <c r="R92" s="33">
        <f>P92/POWER(1+$B$12,4)+Q92</f>
        <v>143859804.39942667</v>
      </c>
      <c r="S92" s="33"/>
      <c r="T92" s="34">
        <f t="shared" si="20"/>
        <v>101.30972140804695</v>
      </c>
      <c r="U92" s="33">
        <f t="shared" si="24"/>
        <v>698044867.08264375</v>
      </c>
      <c r="V92" s="42">
        <f>V91*(1+F$40)</f>
        <v>1183860274.5758851</v>
      </c>
      <c r="W92" s="42">
        <f t="shared" si="21"/>
        <v>750000000</v>
      </c>
      <c r="X92" s="42">
        <v>-100000000</v>
      </c>
      <c r="Y92" s="42">
        <v>0</v>
      </c>
      <c r="Z92" s="33">
        <f t="shared" si="11"/>
        <v>5185953988.8581753</v>
      </c>
    </row>
    <row r="93" spans="1:29">
      <c r="A93" s="13">
        <v>6</v>
      </c>
      <c r="B93" s="47">
        <v>64</v>
      </c>
      <c r="C93" s="72">
        <f t="shared" si="14"/>
        <v>2681746099.2987356</v>
      </c>
      <c r="D93" s="42">
        <f>D92*(1+$B$40)-77000000</f>
        <v>1404167625.5677066</v>
      </c>
      <c r="E93" s="50">
        <f>E92*(1+$B$41)</f>
        <v>905145429.46831107</v>
      </c>
      <c r="F93" s="50">
        <f t="shared" si="25"/>
        <v>372433044.26271808</v>
      </c>
      <c r="G93" s="42"/>
      <c r="H93" s="111">
        <f t="shared" si="15"/>
        <v>165906061.10118058</v>
      </c>
      <c r="I93" s="112">
        <f t="shared" si="16"/>
        <v>203702859.31509495</v>
      </c>
      <c r="J93" s="111">
        <f t="shared" si="17"/>
        <v>211233347.9350054</v>
      </c>
      <c r="K93" s="111">
        <f t="shared" si="18"/>
        <v>178325178.63886714</v>
      </c>
      <c r="L93" s="111">
        <f t="shared" si="18"/>
        <v>161339063.18270013</v>
      </c>
      <c r="M93" s="113">
        <f t="shared" si="19"/>
        <v>25500392.269080631</v>
      </c>
      <c r="N93" s="113">
        <f t="shared" si="22"/>
        <v>26904098.362104341</v>
      </c>
      <c r="O93" s="33">
        <f>O92*(1+B$12)</f>
        <v>26235899.999999996</v>
      </c>
      <c r="P93" s="18">
        <f t="shared" si="23"/>
        <v>78640390.631184965</v>
      </c>
      <c r="Q93" s="33">
        <v>77000000</v>
      </c>
      <c r="R93" s="33">
        <f>P93/POWER(1+$B$12,5)+Q93</f>
        <v>146506646.43866014</v>
      </c>
      <c r="S93" s="33"/>
      <c r="T93" s="34">
        <f t="shared" si="20"/>
        <v>103.17369467511277</v>
      </c>
      <c r="U93" s="33">
        <f t="shared" si="24"/>
        <v>844551513.52130389</v>
      </c>
      <c r="V93" s="42">
        <f>V92*(1+F$40)</f>
        <v>1396955123.9995444</v>
      </c>
      <c r="W93" s="42">
        <f t="shared" si="21"/>
        <v>750000000</v>
      </c>
      <c r="X93" s="42">
        <v>-100000000</v>
      </c>
      <c r="Y93" s="42">
        <v>0</v>
      </c>
      <c r="Z93" s="33">
        <f t="shared" si="11"/>
        <v>5649207733.4711285</v>
      </c>
    </row>
    <row r="94" spans="1:29">
      <c r="A94" s="116">
        <v>7</v>
      </c>
      <c r="B94" s="117" t="s">
        <v>167</v>
      </c>
      <c r="C94" s="118">
        <f t="shared" si="14"/>
        <v>2944465992.398057</v>
      </c>
      <c r="D94" s="88">
        <f>D93*(1+$B$40)-76000000</f>
        <v>1524751093.1471856</v>
      </c>
      <c r="E94" s="89">
        <f>E93*(1+$B$41)</f>
        <v>1013762881.0045085</v>
      </c>
      <c r="F94" s="89">
        <f t="shared" si="25"/>
        <v>405952018.24636275</v>
      </c>
      <c r="G94" s="88"/>
      <c r="H94" s="119">
        <f t="shared" si="15"/>
        <v>170053712.62871009</v>
      </c>
      <c r="I94" s="120">
        <f t="shared" si="16"/>
        <v>208795430.79797229</v>
      </c>
      <c r="J94" s="119">
        <f t="shared" si="17"/>
        <v>216514181.6333805</v>
      </c>
      <c r="K94" s="119">
        <f t="shared" si="18"/>
        <v>180108430.42525581</v>
      </c>
      <c r="L94" s="119">
        <f t="shared" si="18"/>
        <v>162952453.81452712</v>
      </c>
      <c r="M94" s="121">
        <f t="shared" si="19"/>
        <v>26137902.075807642</v>
      </c>
      <c r="N94" s="121">
        <f t="shared" si="22"/>
        <v>27173139.345725384</v>
      </c>
      <c r="O94" s="122">
        <f t="shared" ref="O94:O112" si="26">O93*(1+B$12)</f>
        <v>26891797.499999993</v>
      </c>
      <c r="P94" s="123">
        <f t="shared" si="23"/>
        <v>80202838.921533018</v>
      </c>
      <c r="Q94" s="122">
        <v>76000000</v>
      </c>
      <c r="R94" s="122">
        <f>P94/POWER(1+$B$12,6)+Q94</f>
        <v>145158656.6431731</v>
      </c>
      <c r="S94" s="122"/>
      <c r="T94" s="124">
        <f t="shared" si="20"/>
        <v>102.22440608674161</v>
      </c>
      <c r="U94" s="122">
        <f t="shared" si="24"/>
        <v>989710170.16447699</v>
      </c>
      <c r="V94" s="42">
        <f>V93*(1+F$40)</f>
        <v>1648407046.3194623</v>
      </c>
      <c r="W94" s="88">
        <f t="shared" si="21"/>
        <v>750000000</v>
      </c>
      <c r="X94" s="88">
        <v>-100000000</v>
      </c>
      <c r="Y94" s="88">
        <v>0</v>
      </c>
      <c r="Z94" s="122">
        <f t="shared" si="11"/>
        <v>6181297248.0173645</v>
      </c>
    </row>
    <row r="95" spans="1:29">
      <c r="A95" s="13">
        <v>8</v>
      </c>
      <c r="B95" s="47">
        <v>66</v>
      </c>
      <c r="C95" s="72">
        <f t="shared" si="14"/>
        <v>2753118372.8013773</v>
      </c>
      <c r="D95" s="109">
        <f>D94*(1+$B$40)-463000000</f>
        <v>1275216246.1877918</v>
      </c>
      <c r="E95" s="110">
        <f>E94*(1+$B$41)-100000000</f>
        <v>1035414426.7250497</v>
      </c>
      <c r="F95" s="110">
        <f t="shared" si="25"/>
        <v>442487699.88853544</v>
      </c>
      <c r="G95" s="109"/>
      <c r="H95" s="111">
        <f t="shared" si="15"/>
        <v>174305055.44442782</v>
      </c>
      <c r="I95" s="112">
        <f t="shared" si="16"/>
        <v>214015316.56792158</v>
      </c>
      <c r="J95" s="111">
        <f t="shared" si="17"/>
        <v>221927036.17421499</v>
      </c>
      <c r="K95" s="111">
        <f t="shared" si="18"/>
        <v>181909514.72950837</v>
      </c>
      <c r="L95" s="111">
        <f t="shared" si="18"/>
        <v>164581978.3526724</v>
      </c>
      <c r="M95" s="113">
        <f t="shared" si="19"/>
        <v>26791349.627702828</v>
      </c>
      <c r="N95" s="113">
        <f t="shared" si="22"/>
        <v>27444870.739182636</v>
      </c>
      <c r="O95" s="125">
        <f t="shared" si="26"/>
        <v>27564092.437499989</v>
      </c>
      <c r="P95" s="126">
        <f t="shared" si="23"/>
        <v>81800312.804385453</v>
      </c>
      <c r="Q95" s="33">
        <v>55000000</v>
      </c>
      <c r="R95" s="33">
        <f>P95/POWER(1+$B$12,7)+Q95</f>
        <v>123815759.38127854</v>
      </c>
      <c r="S95" s="33"/>
      <c r="T95" s="34">
        <f t="shared" si="20"/>
        <v>87.194196747379266</v>
      </c>
      <c r="U95" s="33">
        <f t="shared" si="24"/>
        <v>1113525929.5457556</v>
      </c>
      <c r="V95" s="119">
        <f>V94*(1+F$40)+410000000</f>
        <v>2355120314.6569653</v>
      </c>
      <c r="W95" s="42">
        <f t="shared" si="21"/>
        <v>750000000</v>
      </c>
      <c r="X95" s="42">
        <v>-100000000</v>
      </c>
      <c r="Y95" s="42">
        <v>0</v>
      </c>
      <c r="Z95" s="33">
        <f t="shared" si="11"/>
        <v>6714977588.727087</v>
      </c>
      <c r="AA95" s="9" t="s">
        <v>171</v>
      </c>
    </row>
    <row r="96" spans="1:29">
      <c r="A96" s="13">
        <v>9</v>
      </c>
      <c r="B96" s="47">
        <v>67</v>
      </c>
      <c r="C96" s="72">
        <f t="shared" si="14"/>
        <v>3036722271.4646425</v>
      </c>
      <c r="D96" s="109">
        <f>D95*(1+$B$40)-59000000</f>
        <v>1394746520.6540828</v>
      </c>
      <c r="E96" s="110">
        <f>E95*(1+$B$41)</f>
        <v>1159664157.9320557</v>
      </c>
      <c r="F96" s="110">
        <f t="shared" si="25"/>
        <v>482311592.87850368</v>
      </c>
      <c r="G96" s="109"/>
      <c r="H96" s="111">
        <f t="shared" si="15"/>
        <v>178662681.83053851</v>
      </c>
      <c r="I96" s="112">
        <f t="shared" si="16"/>
        <v>219365699.48211959</v>
      </c>
      <c r="J96" s="111">
        <f t="shared" si="17"/>
        <v>227475212.07857034</v>
      </c>
      <c r="K96" s="111">
        <f t="shared" si="18"/>
        <v>183728609.87680346</v>
      </c>
      <c r="L96" s="111">
        <f t="shared" si="18"/>
        <v>166227798.13619912</v>
      </c>
      <c r="M96" s="113">
        <f t="shared" si="19"/>
        <v>27461133.368395392</v>
      </c>
      <c r="N96" s="113">
        <f t="shared" si="22"/>
        <v>27719319.446574461</v>
      </c>
      <c r="O96" s="125">
        <f t="shared" si="26"/>
        <v>28253194.748437487</v>
      </c>
      <c r="P96" s="126">
        <f t="shared" si="23"/>
        <v>83433647.563407332</v>
      </c>
      <c r="Q96" s="33">
        <v>59000000</v>
      </c>
      <c r="R96" s="33">
        <f>P96/POWER(1+$B$12,8)+Q96</f>
        <v>127477880.12809464</v>
      </c>
      <c r="S96" s="33"/>
      <c r="T96" s="34">
        <f t="shared" si="20"/>
        <v>89.773155019784951</v>
      </c>
      <c r="U96" s="33">
        <f t="shared" si="24"/>
        <v>1241003809.6738503</v>
      </c>
      <c r="V96" s="42">
        <f>V95*(1+F$40)</f>
        <v>2779041971.2952189</v>
      </c>
      <c r="W96" s="42">
        <f t="shared" si="21"/>
        <v>750000000</v>
      </c>
      <c r="X96" s="42">
        <v>-100000000</v>
      </c>
      <c r="Y96" s="42">
        <v>0</v>
      </c>
      <c r="Z96" s="33">
        <f t="shared" si="11"/>
        <v>7441224244.164093</v>
      </c>
    </row>
    <row r="97" spans="1:28">
      <c r="A97" s="13">
        <v>10</v>
      </c>
      <c r="B97" s="47">
        <v>68</v>
      </c>
      <c r="C97" s="72">
        <f t="shared" si="14"/>
        <v>3352554526.6671257</v>
      </c>
      <c r="D97" s="109">
        <f>D96*(1+$B$40)-62000000</f>
        <v>1528011033.5456545</v>
      </c>
      <c r="E97" s="110">
        <f>E96*(1+$B$41)</f>
        <v>1298823856.8839025</v>
      </c>
      <c r="F97" s="110">
        <f t="shared" si="25"/>
        <v>525719636.23756903</v>
      </c>
      <c r="G97" s="109"/>
      <c r="H97" s="111">
        <f t="shared" si="15"/>
        <v>183129248.87630194</v>
      </c>
      <c r="I97" s="112">
        <f t="shared" si="16"/>
        <v>224849841.96917257</v>
      </c>
      <c r="J97" s="111">
        <f t="shared" si="17"/>
        <v>233162092.38053456</v>
      </c>
      <c r="K97" s="111">
        <f t="shared" si="18"/>
        <v>185565895.97557148</v>
      </c>
      <c r="L97" s="111">
        <f t="shared" si="18"/>
        <v>167890076.1175611</v>
      </c>
      <c r="M97" s="113">
        <f t="shared" si="19"/>
        <v>28147661.702605277</v>
      </c>
      <c r="N97" s="113">
        <f t="shared" si="22"/>
        <v>27996512.641040206</v>
      </c>
      <c r="O97" s="125">
        <f t="shared" si="26"/>
        <v>28959524.617148422</v>
      </c>
      <c r="P97" s="126">
        <f t="shared" si="23"/>
        <v>85103698.960793912</v>
      </c>
      <c r="Q97" s="33">
        <v>62000000</v>
      </c>
      <c r="R97" s="33">
        <f>P97/POWER(1+$B$12,9)+Q97</f>
        <v>130144945.44934762</v>
      </c>
      <c r="S97" s="33"/>
      <c r="T97" s="34">
        <f t="shared" si="20"/>
        <v>91.651370034751849</v>
      </c>
      <c r="U97" s="33">
        <f t="shared" si="24"/>
        <v>1371148755.123198</v>
      </c>
      <c r="V97" s="42">
        <f>V96*(1+F$40)</f>
        <v>3279269526.1283584</v>
      </c>
      <c r="W97" s="42">
        <f t="shared" si="21"/>
        <v>750000000</v>
      </c>
      <c r="X97" s="42">
        <v>-100000000</v>
      </c>
      <c r="Y97" s="42">
        <v>0</v>
      </c>
      <c r="Z97" s="33">
        <f t="shared" si="11"/>
        <v>8276421208.1146259</v>
      </c>
    </row>
    <row r="98" spans="1:28">
      <c r="A98" s="13">
        <v>11</v>
      </c>
      <c r="B98" s="47" t="s">
        <v>172</v>
      </c>
      <c r="C98" s="72">
        <f t="shared" si="14"/>
        <v>3205649701.4509678</v>
      </c>
      <c r="D98" s="109">
        <f>D97*(1+$B$40)-564000000</f>
        <v>1177932578.2420464</v>
      </c>
      <c r="E98" s="110">
        <f>E97*(1+$B$41)</f>
        <v>1454682719.709971</v>
      </c>
      <c r="F98" s="110">
        <f t="shared" si="25"/>
        <v>573034403.49895024</v>
      </c>
      <c r="G98" s="109"/>
      <c r="H98" s="111">
        <f t="shared" si="15"/>
        <v>187707480.09820947</v>
      </c>
      <c r="I98" s="112">
        <f t="shared" si="16"/>
        <v>230471088.01840186</v>
      </c>
      <c r="J98" s="111">
        <f t="shared" si="17"/>
        <v>238991144.69004789</v>
      </c>
      <c r="K98" s="111">
        <f t="shared" si="18"/>
        <v>187421554.9353272</v>
      </c>
      <c r="L98" s="111">
        <f t="shared" si="18"/>
        <v>169568976.8787367</v>
      </c>
      <c r="M98" s="113">
        <f t="shared" si="19"/>
        <v>28851353.245170403</v>
      </c>
      <c r="N98" s="113">
        <f t="shared" si="22"/>
        <v>28276477.767450608</v>
      </c>
      <c r="O98" s="125">
        <f t="shared" si="26"/>
        <v>29683512.73257713</v>
      </c>
      <c r="P98" s="126">
        <f t="shared" si="23"/>
        <v>86811343.745198146</v>
      </c>
      <c r="Q98" s="33">
        <v>64000000</v>
      </c>
      <c r="R98" s="33">
        <f>P98/POWER(1+$B$12,10)+Q98</f>
        <v>131816882.98541148</v>
      </c>
      <c r="S98" s="33"/>
      <c r="T98" s="34">
        <f t="shared" si="20"/>
        <v>92.82879083479682</v>
      </c>
      <c r="U98" s="33">
        <f t="shared" si="24"/>
        <v>1502965638.1086094</v>
      </c>
      <c r="V98" s="119">
        <f>V97*(1+F$40)+410000000</f>
        <v>4279538040.8314629</v>
      </c>
      <c r="W98" s="42">
        <f t="shared" si="21"/>
        <v>750000000</v>
      </c>
      <c r="X98" s="42">
        <v>-100000000</v>
      </c>
      <c r="Y98" s="42">
        <v>0</v>
      </c>
      <c r="Z98" s="33">
        <f t="shared" si="11"/>
        <v>9149347986.9031544</v>
      </c>
    </row>
    <row r="99" spans="1:28">
      <c r="A99" s="13">
        <v>12</v>
      </c>
      <c r="B99" s="47">
        <v>70</v>
      </c>
      <c r="C99" s="72">
        <f t="shared" si="14"/>
        <v>2985515029.9981308</v>
      </c>
      <c r="D99" s="109">
        <f>((C98-$Q99-500000000)*47%)*(1+B$40)</f>
        <v>1425576110.0374286</v>
      </c>
      <c r="E99" s="110">
        <f>((C98-$Q99-500000000))*36%*(1+B$41)</f>
        <v>1072773959.6250303</v>
      </c>
      <c r="F99" s="110">
        <f>((C98-$Q99-500000000))*6%*(1+D$40)</f>
        <v>174006490.4748933</v>
      </c>
      <c r="G99" s="109">
        <f>((C98-$Q99-500000000))*11%*(1+D$41)</f>
        <v>313158469.86077893</v>
      </c>
      <c r="H99" s="33">
        <f t="shared" ref="H99:H100" si="27">H98*(1+C$27)-H98*D$27</f>
        <v>192400167.10066473</v>
      </c>
      <c r="I99" s="48">
        <f t="shared" ref="I99:I100" si="28">I98*(1+C$27)-I98*D$27</f>
        <v>236232865.21886191</v>
      </c>
      <c r="J99" s="33">
        <f t="shared" ref="J99:J100" si="29">J98*(1+C$27)-J98*D$27</f>
        <v>244965923.30729911</v>
      </c>
      <c r="K99" s="33">
        <f t="shared" ref="K99:K112" si="30">K98*(1+$C$31)-K98*$D$31</f>
        <v>189295770.4846805</v>
      </c>
      <c r="L99" s="33">
        <f t="shared" ref="L99:L100" si="31">L98*(1+C$31)-L98*D$31</f>
        <v>171264666.64752409</v>
      </c>
      <c r="M99" s="33">
        <f t="shared" ref="M99:M112" si="32">(H99+I99+J99)*(D$27*(1-5.5%))</f>
        <v>28644795.588030763</v>
      </c>
      <c r="N99" s="33">
        <f t="shared" ref="N99:N112" si="33">(K99+L99)*D$26*(1-9.9%)</f>
        <v>14618922.923525235</v>
      </c>
      <c r="O99" s="33">
        <f t="shared" si="26"/>
        <v>30425600.550891556</v>
      </c>
      <c r="P99" s="33">
        <f t="shared" si="23"/>
        <v>73689319.062447548</v>
      </c>
      <c r="Q99" s="33">
        <v>45000000</v>
      </c>
      <c r="R99" s="33">
        <f>P99/POWER(1+$B$12,11)+Q99</f>
        <v>101161930.02521092</v>
      </c>
      <c r="S99" s="33"/>
      <c r="T99" s="34">
        <f t="shared" si="20"/>
        <v>71.240795792402054</v>
      </c>
      <c r="U99" s="33">
        <f t="shared" si="24"/>
        <v>1604127568.1338203</v>
      </c>
      <c r="V99" s="42">
        <f t="shared" ref="V99:V112" si="34">V98*(1+F$40)</f>
        <v>5049854888.1811256</v>
      </c>
      <c r="W99" s="42">
        <f t="shared" si="21"/>
        <v>750000000</v>
      </c>
      <c r="X99" s="42">
        <v>-100000000</v>
      </c>
      <c r="Y99" s="42">
        <v>0</v>
      </c>
      <c r="Z99" s="33">
        <f t="shared" si="11"/>
        <v>9719529310.9382858</v>
      </c>
      <c r="AA99" s="9" t="s">
        <v>171</v>
      </c>
      <c r="AB99" s="9" t="s">
        <v>152</v>
      </c>
    </row>
    <row r="100" spans="1:28">
      <c r="A100" s="13">
        <v>13</v>
      </c>
      <c r="B100" s="47">
        <v>71</v>
      </c>
      <c r="C100" s="72">
        <f t="shared" si="14"/>
        <v>3298429815.1609025</v>
      </c>
      <c r="D100" s="42">
        <f t="shared" ref="D100:D112" si="35">((C99-$Q100)*47%)*(1+B$40)</f>
        <v>1574992153.0729985</v>
      </c>
      <c r="E100" s="50">
        <f t="shared" ref="E100:E112" si="36">((C99-$Q100))*36%*(1+B$41)</f>
        <v>1185212460.0952463</v>
      </c>
      <c r="F100" s="50">
        <f t="shared" ref="F100:F112" si="37">((C99-$Q100))*6%*(1+D$40)</f>
        <v>192244282.96187776</v>
      </c>
      <c r="G100" s="42">
        <f t="shared" ref="G100:G112" si="38">((C99-$Q100))*11%*(1+D$41)</f>
        <v>345980919.03078002</v>
      </c>
      <c r="H100" s="33">
        <f t="shared" si="27"/>
        <v>197210171.27818137</v>
      </c>
      <c r="I100" s="48">
        <f t="shared" si="28"/>
        <v>242138686.84933347</v>
      </c>
      <c r="J100" s="33">
        <f t="shared" si="29"/>
        <v>251090071.3899816</v>
      </c>
      <c r="K100" s="33">
        <f t="shared" si="30"/>
        <v>191188728.18952733</v>
      </c>
      <c r="L100" s="33">
        <f t="shared" si="31"/>
        <v>172977313.31399935</v>
      </c>
      <c r="M100" s="33">
        <f t="shared" si="32"/>
        <v>29360915.477731533</v>
      </c>
      <c r="N100" s="33">
        <f t="shared" si="33"/>
        <v>14765112.152760489</v>
      </c>
      <c r="O100" s="33">
        <f t="shared" si="26"/>
        <v>31186240.564663842</v>
      </c>
      <c r="P100" s="33">
        <f t="shared" si="23"/>
        <v>75312268.195155859</v>
      </c>
      <c r="Q100" s="33">
        <v>46000000</v>
      </c>
      <c r="R100" s="33">
        <f>P100/POWER(1+$B$12,12)+Q100</f>
        <v>101998880.23261875</v>
      </c>
      <c r="S100" s="33"/>
      <c r="T100" s="34">
        <f t="shared" si="20"/>
        <v>71.830197346914616</v>
      </c>
      <c r="U100" s="33">
        <f t="shared" si="24"/>
        <v>1706126448.3664391</v>
      </c>
      <c r="V100" s="42">
        <f t="shared" si="34"/>
        <v>5958828768.0537281</v>
      </c>
      <c r="W100" s="42">
        <f t="shared" si="21"/>
        <v>750000000</v>
      </c>
      <c r="X100" s="42">
        <v>-100000000</v>
      </c>
      <c r="Y100" s="42">
        <v>0</v>
      </c>
      <c r="Z100" s="33">
        <f t="shared" si="11"/>
        <v>10961863554.235653</v>
      </c>
    </row>
    <row r="101" spans="1:28">
      <c r="A101" s="13">
        <v>14</v>
      </c>
      <c r="B101" s="47">
        <v>72</v>
      </c>
      <c r="C101" s="72">
        <f t="shared" si="14"/>
        <v>3649551495.5920486</v>
      </c>
      <c r="D101" s="42">
        <f t="shared" si="35"/>
        <v>1742651894.9632118</v>
      </c>
      <c r="E101" s="50">
        <f t="shared" si="36"/>
        <v>1311379701.4728758</v>
      </c>
      <c r="F101" s="50">
        <f t="shared" si="37"/>
        <v>212708909.91152301</v>
      </c>
      <c r="G101" s="42">
        <f t="shared" si="38"/>
        <v>382810989.24443823</v>
      </c>
      <c r="H101" s="33">
        <f>H100*(1+C$27)-H100*D$27</f>
        <v>202140425.56013593</v>
      </c>
      <c r="I101" s="48">
        <f>I100*(1+C$27)-I100*D$27</f>
        <v>248192154.02056682</v>
      </c>
      <c r="J101" s="33">
        <f>J100*(1+C$27)-J100*D$27</f>
        <v>257367323.17473117</v>
      </c>
      <c r="K101" s="33">
        <f t="shared" si="30"/>
        <v>193100615.47142264</v>
      </c>
      <c r="L101" s="33">
        <f>L100*(1+C$31)-L100*D$31</f>
        <v>174707086.44713935</v>
      </c>
      <c r="M101" s="33">
        <f t="shared" si="32"/>
        <v>30094938.364674821</v>
      </c>
      <c r="N101" s="33">
        <f t="shared" si="33"/>
        <v>14912763.274288096</v>
      </c>
      <c r="O101" s="33">
        <f t="shared" si="26"/>
        <v>31965896.578780435</v>
      </c>
      <c r="P101" s="33">
        <f t="shared" si="23"/>
        <v>76973598.217743352</v>
      </c>
      <c r="Q101" s="33">
        <v>46000000</v>
      </c>
      <c r="R101" s="33">
        <f>P101/POWER(1+$B$12,13)+Q101</f>
        <v>101838216.53455234</v>
      </c>
      <c r="S101" s="33"/>
      <c r="T101" s="34">
        <f t="shared" si="20"/>
        <v>71.717053897572072</v>
      </c>
      <c r="U101" s="33">
        <f t="shared" si="24"/>
        <v>1807964664.9009914</v>
      </c>
      <c r="V101" s="42">
        <f t="shared" si="34"/>
        <v>7031417946.3033991</v>
      </c>
      <c r="W101" s="42">
        <f t="shared" si="21"/>
        <v>750000000</v>
      </c>
      <c r="X101" s="42">
        <v>-100000000</v>
      </c>
      <c r="Y101" s="42">
        <v>0</v>
      </c>
      <c r="Z101" s="33">
        <f t="shared" si="11"/>
        <v>12406477046.569443</v>
      </c>
    </row>
    <row r="102" spans="1:28">
      <c r="A102" s="13">
        <v>15</v>
      </c>
      <c r="B102" s="47">
        <v>73</v>
      </c>
      <c r="C102" s="72">
        <f t="shared" si="14"/>
        <v>4043545133.2038379</v>
      </c>
      <c r="D102" s="42">
        <f t="shared" si="35"/>
        <v>1930782891.3382196</v>
      </c>
      <c r="E102" s="50">
        <f t="shared" si="36"/>
        <v>1452951963.0227141</v>
      </c>
      <c r="F102" s="50">
        <f t="shared" si="37"/>
        <v>235672267.81171998</v>
      </c>
      <c r="G102" s="42">
        <f t="shared" si="38"/>
        <v>424138011.03118414</v>
      </c>
      <c r="H102" s="33">
        <f t="shared" ref="H102:H112" si="39">H101*(1+C$27)-H101*D$27</f>
        <v>207193936.19913933</v>
      </c>
      <c r="I102" s="48">
        <f t="shared" ref="I102:I112" si="40">I101*(1+C$27)-I101*D$27</f>
        <v>254396957.87108099</v>
      </c>
      <c r="J102" s="33">
        <f t="shared" ref="J102:J112" si="41">J101*(1+C$27)-J101*D$27</f>
        <v>263801506.25409949</v>
      </c>
      <c r="K102" s="33">
        <f t="shared" si="30"/>
        <v>195031621.62613687</v>
      </c>
      <c r="L102" s="33">
        <f t="shared" ref="L102:L112" si="42">L101*(1+C$31)-L101*D$31</f>
        <v>176454157.31161076</v>
      </c>
      <c r="M102" s="33">
        <f t="shared" si="32"/>
        <v>30847311.823791698</v>
      </c>
      <c r="N102" s="33">
        <f t="shared" si="33"/>
        <v>15061890.907030975</v>
      </c>
      <c r="O102" s="33">
        <f t="shared" si="26"/>
        <v>32765043.993249942</v>
      </c>
      <c r="P102" s="33">
        <f t="shared" si="23"/>
        <v>78674246.72407262</v>
      </c>
      <c r="Q102" s="33">
        <v>46000000</v>
      </c>
      <c r="R102" s="33">
        <f>P102/POWER(1+$B$12,14)+Q102</f>
        <v>101679904.01255518</v>
      </c>
      <c r="S102" s="33"/>
      <c r="T102" s="34">
        <f t="shared" si="20"/>
        <v>71.605566206024776</v>
      </c>
      <c r="U102" s="33">
        <f t="shared" si="24"/>
        <v>1909644568.9135466</v>
      </c>
      <c r="V102" s="42">
        <f t="shared" si="34"/>
        <v>8297073176.63801</v>
      </c>
      <c r="W102" s="42">
        <f t="shared" si="21"/>
        <v>750000000</v>
      </c>
      <c r="X102" s="42">
        <v>-100000000</v>
      </c>
      <c r="Y102" s="42">
        <v>0</v>
      </c>
      <c r="Z102" s="33">
        <f t="shared" si="11"/>
        <v>14087496489.103916</v>
      </c>
    </row>
    <row r="103" spans="1:28">
      <c r="A103" s="13">
        <v>16</v>
      </c>
      <c r="B103" s="47">
        <v>74</v>
      </c>
      <c r="C103" s="72">
        <f t="shared" si="14"/>
        <v>4484523293.9680271</v>
      </c>
      <c r="D103" s="42">
        <f t="shared" si="35"/>
        <v>2141348882.3706164</v>
      </c>
      <c r="E103" s="50">
        <f t="shared" si="36"/>
        <v>1611406997.7077875</v>
      </c>
      <c r="F103" s="50">
        <f t="shared" si="37"/>
        <v>261374051.71153101</v>
      </c>
      <c r="G103" s="42">
        <f t="shared" si="38"/>
        <v>470393362.17809176</v>
      </c>
      <c r="H103" s="33">
        <f t="shared" si="39"/>
        <v>212373784.60411784</v>
      </c>
      <c r="I103" s="48">
        <f t="shared" si="40"/>
        <v>260756881.81785804</v>
      </c>
      <c r="J103" s="33">
        <f t="shared" si="41"/>
        <v>270396543.91045201</v>
      </c>
      <c r="K103" s="33">
        <f t="shared" si="30"/>
        <v>196981937.84239826</v>
      </c>
      <c r="L103" s="33">
        <f t="shared" si="42"/>
        <v>178218698.88472688</v>
      </c>
      <c r="M103" s="33">
        <f t="shared" si="32"/>
        <v>31618494.61938649</v>
      </c>
      <c r="N103" s="33">
        <f t="shared" si="33"/>
        <v>15212509.816101288</v>
      </c>
      <c r="O103" s="33">
        <f t="shared" si="26"/>
        <v>33584170.093081184</v>
      </c>
      <c r="P103" s="33">
        <f t="shared" si="23"/>
        <v>80415174.528568953</v>
      </c>
      <c r="Q103" s="33">
        <v>47000000</v>
      </c>
      <c r="R103" s="33">
        <f>P103/POWER(1+$B$12,15)+Q103</f>
        <v>102523908.25917259</v>
      </c>
      <c r="S103" s="33"/>
      <c r="T103" s="34">
        <f t="shared" si="20"/>
        <v>72.199935393783505</v>
      </c>
      <c r="U103" s="33">
        <f t="shared" si="24"/>
        <v>2012168477.1727192</v>
      </c>
      <c r="V103" s="42">
        <f t="shared" si="34"/>
        <v>9790546348.4328518</v>
      </c>
      <c r="W103" s="42">
        <f t="shared" si="21"/>
        <v>750000000</v>
      </c>
      <c r="X103" s="42">
        <v>-100000000</v>
      </c>
      <c r="Y103" s="42">
        <v>0</v>
      </c>
      <c r="Z103" s="33">
        <f t="shared" si="11"/>
        <v>16043797489.460432</v>
      </c>
    </row>
    <row r="104" spans="1:28">
      <c r="A104" s="14">
        <v>17</v>
      </c>
      <c r="B104" s="14">
        <v>75</v>
      </c>
      <c r="C104" s="72">
        <f t="shared" si="14"/>
        <v>4979344888.1615238</v>
      </c>
      <c r="D104" s="42">
        <f t="shared" si="35"/>
        <v>2377624980.9080691</v>
      </c>
      <c r="E104" s="50">
        <f t="shared" si="36"/>
        <v>1789209392.1279087</v>
      </c>
      <c r="F104" s="50">
        <f t="shared" si="37"/>
        <v>290214023.42550898</v>
      </c>
      <c r="G104" s="42">
        <f t="shared" si="38"/>
        <v>522296491.70003682</v>
      </c>
      <c r="H104" s="33">
        <f t="shared" si="39"/>
        <v>217683129.21922082</v>
      </c>
      <c r="I104" s="48">
        <f t="shared" si="40"/>
        <v>267275803.86330453</v>
      </c>
      <c r="J104" s="33">
        <f t="shared" si="41"/>
        <v>277156457.50821334</v>
      </c>
      <c r="K104" s="33">
        <f t="shared" si="30"/>
        <v>198951757.22082227</v>
      </c>
      <c r="L104" s="33">
        <f t="shared" si="42"/>
        <v>180000885.87357414</v>
      </c>
      <c r="M104" s="33">
        <f t="shared" si="32"/>
        <v>32408956.98487116</v>
      </c>
      <c r="N104" s="33">
        <f t="shared" si="33"/>
        <v>15364634.914262304</v>
      </c>
      <c r="O104" s="33">
        <f t="shared" si="26"/>
        <v>34423774.345408209</v>
      </c>
      <c r="P104" s="33">
        <f t="shared" si="23"/>
        <v>82197366.244541675</v>
      </c>
      <c r="Q104" s="33">
        <v>47000000</v>
      </c>
      <c r="R104" s="33">
        <f>P104/POWER(1+$B$12,16)+Q104</f>
        <v>102370195.37047368</v>
      </c>
      <c r="S104" s="33"/>
      <c r="T104" s="34">
        <f t="shared" si="20"/>
        <v>72.091686880615271</v>
      </c>
      <c r="U104" s="33">
        <f t="shared" si="24"/>
        <v>2114538672.5431929</v>
      </c>
      <c r="V104" s="42">
        <f t="shared" si="34"/>
        <v>11552844691.150764</v>
      </c>
      <c r="W104" s="42">
        <f t="shared" si="21"/>
        <v>750000000</v>
      </c>
      <c r="X104" s="42">
        <v>-100000000</v>
      </c>
      <c r="Y104" s="42">
        <v>0</v>
      </c>
      <c r="Z104" s="33">
        <f t="shared" si="11"/>
        <v>18323257612.997425</v>
      </c>
    </row>
    <row r="105" spans="1:28">
      <c r="A105" s="14">
        <v>18</v>
      </c>
      <c r="B105" s="14">
        <v>76</v>
      </c>
      <c r="C105" s="72">
        <f t="shared" si="14"/>
        <v>5534584199.0060463</v>
      </c>
      <c r="D105" s="42">
        <f t="shared" si="35"/>
        <v>2642750391.0769444</v>
      </c>
      <c r="E105" s="50">
        <f t="shared" si="36"/>
        <v>1988721458.9067264</v>
      </c>
      <c r="F105" s="50">
        <f t="shared" si="37"/>
        <v>322575355.68576366</v>
      </c>
      <c r="G105" s="42">
        <f t="shared" si="38"/>
        <v>580536993.33661139</v>
      </c>
      <c r="H105" s="33">
        <f t="shared" si="39"/>
        <v>223125207.44970137</v>
      </c>
      <c r="I105" s="48">
        <f t="shared" si="40"/>
        <v>273957698.95988715</v>
      </c>
      <c r="J105" s="33">
        <f t="shared" si="41"/>
        <v>284085368.94591868</v>
      </c>
      <c r="K105" s="33">
        <f t="shared" si="30"/>
        <v>200941274.79303053</v>
      </c>
      <c r="L105" s="33">
        <f t="shared" si="42"/>
        <v>181800894.73230991</v>
      </c>
      <c r="M105" s="33">
        <f t="shared" si="32"/>
        <v>33219180.909492936</v>
      </c>
      <c r="N105" s="33">
        <f t="shared" si="33"/>
        <v>15518281.263404928</v>
      </c>
      <c r="O105" s="33">
        <f t="shared" si="26"/>
        <v>35284368.704043411</v>
      </c>
      <c r="P105" s="33">
        <f t="shared" si="23"/>
        <v>84021830.876941264</v>
      </c>
      <c r="Q105" s="33">
        <v>47000000</v>
      </c>
      <c r="R105" s="33">
        <f>P105/POWER(1+$B$12,17)+Q105</f>
        <v>102218731.93868256</v>
      </c>
      <c r="S105" s="33"/>
      <c r="T105" s="34">
        <f t="shared" si="20"/>
        <v>71.985022492029969</v>
      </c>
      <c r="U105" s="33">
        <f t="shared" si="24"/>
        <v>2216757404.4818754</v>
      </c>
      <c r="V105" s="42">
        <f t="shared" si="34"/>
        <v>13632356735.557901</v>
      </c>
      <c r="W105" s="42">
        <f t="shared" si="21"/>
        <v>750000000</v>
      </c>
      <c r="X105" s="42">
        <v>-100000000</v>
      </c>
      <c r="Y105" s="42">
        <v>0</v>
      </c>
      <c r="Z105" s="33">
        <f t="shared" si="11"/>
        <v>20980851379.444794</v>
      </c>
    </row>
    <row r="106" spans="1:28">
      <c r="A106" s="14">
        <v>19</v>
      </c>
      <c r="B106" s="14">
        <v>77</v>
      </c>
      <c r="C106" s="72">
        <f t="shared" si="14"/>
        <v>6156496129.7046852</v>
      </c>
      <c r="D106" s="42">
        <f t="shared" si="35"/>
        <v>2939711813.8274398</v>
      </c>
      <c r="E106" s="50">
        <f t="shared" si="36"/>
        <v>2212190749.039238</v>
      </c>
      <c r="F106" s="50">
        <f t="shared" si="37"/>
        <v>358822606.61499542</v>
      </c>
      <c r="G106" s="42">
        <f t="shared" si="38"/>
        <v>645770960.22301161</v>
      </c>
      <c r="H106" s="33">
        <f t="shared" si="39"/>
        <v>228703337.63594392</v>
      </c>
      <c r="I106" s="48">
        <f t="shared" si="40"/>
        <v>280806641.43388432</v>
      </c>
      <c r="J106" s="33">
        <f t="shared" si="41"/>
        <v>291187503.16956663</v>
      </c>
      <c r="K106" s="33">
        <f t="shared" si="30"/>
        <v>202950687.54096085</v>
      </c>
      <c r="L106" s="33">
        <f t="shared" si="42"/>
        <v>183618903.67963302</v>
      </c>
      <c r="M106" s="33">
        <f t="shared" si="32"/>
        <v>34049660.432230264</v>
      </c>
      <c r="N106" s="33">
        <f t="shared" si="33"/>
        <v>15673464.076038979</v>
      </c>
      <c r="O106" s="33">
        <f t="shared" si="26"/>
        <v>36166477.921644494</v>
      </c>
      <c r="P106" s="33">
        <f t="shared" si="23"/>
        <v>85889602.429913729</v>
      </c>
      <c r="Q106" s="33">
        <v>48000000</v>
      </c>
      <c r="R106" s="33">
        <f>P106/POWER(1+$B$12,18)+Q106</f>
        <v>103069485.04491763</v>
      </c>
      <c r="S106" s="33"/>
      <c r="T106" s="34">
        <f t="shared" si="20"/>
        <v>72.58414439782932</v>
      </c>
      <c r="U106" s="33">
        <f t="shared" si="24"/>
        <v>2319826889.526793</v>
      </c>
      <c r="V106" s="42">
        <f t="shared" si="34"/>
        <v>16086180947.958323</v>
      </c>
      <c r="W106" s="42">
        <f t="shared" si="21"/>
        <v>750000000</v>
      </c>
      <c r="X106" s="42">
        <v>-100000000</v>
      </c>
      <c r="Y106" s="42">
        <v>0</v>
      </c>
      <c r="Z106" s="33">
        <f t="shared" si="11"/>
        <v>24079944151.122997</v>
      </c>
    </row>
    <row r="107" spans="1:28">
      <c r="A107" s="14">
        <v>20</v>
      </c>
      <c r="B107" s="14">
        <v>78</v>
      </c>
      <c r="C107" s="72">
        <f t="shared" si="14"/>
        <v>6854343507.1416283</v>
      </c>
      <c r="D107" s="42">
        <f t="shared" si="35"/>
        <v>3272932226.2957702</v>
      </c>
      <c r="E107" s="50">
        <f t="shared" si="36"/>
        <v>2462945639.4969292</v>
      </c>
      <c r="F107" s="50">
        <f t="shared" si="37"/>
        <v>399495646.88268644</v>
      </c>
      <c r="G107" s="42">
        <f t="shared" si="38"/>
        <v>718969994.4662416</v>
      </c>
      <c r="H107" s="33">
        <f t="shared" si="39"/>
        <v>234420921.07684255</v>
      </c>
      <c r="I107" s="48">
        <f t="shared" si="40"/>
        <v>287826807.46973145</v>
      </c>
      <c r="J107" s="33">
        <f t="shared" si="41"/>
        <v>298467190.74880582</v>
      </c>
      <c r="K107" s="33">
        <f t="shared" si="30"/>
        <v>204980194.41637048</v>
      </c>
      <c r="L107" s="33">
        <f t="shared" si="42"/>
        <v>185455092.71642935</v>
      </c>
      <c r="M107" s="33">
        <f t="shared" si="32"/>
        <v>34900901.943036027</v>
      </c>
      <c r="N107" s="33">
        <f t="shared" si="33"/>
        <v>15830198.716799371</v>
      </c>
      <c r="O107" s="33">
        <f t="shared" si="26"/>
        <v>37070639.869685605</v>
      </c>
      <c r="P107" s="33">
        <f t="shared" si="23"/>
        <v>87801740.529521003</v>
      </c>
      <c r="Q107" s="33">
        <v>48000000</v>
      </c>
      <c r="R107" s="33">
        <f>P107/POWER(1+$B$12,19)+Q107</f>
        <v>102922422.25203708</v>
      </c>
      <c r="S107" s="33"/>
      <c r="T107" s="34">
        <f t="shared" si="20"/>
        <v>72.480579050730327</v>
      </c>
      <c r="U107" s="33">
        <f t="shared" si="24"/>
        <v>2422749311.7788301</v>
      </c>
      <c r="V107" s="42">
        <f t="shared" si="34"/>
        <v>18981693518.59082</v>
      </c>
      <c r="W107" s="42">
        <f t="shared" si="21"/>
        <v>750000000</v>
      </c>
      <c r="X107" s="42">
        <v>-100000000</v>
      </c>
      <c r="Y107" s="42">
        <v>0</v>
      </c>
      <c r="Z107" s="33">
        <f t="shared" si="11"/>
        <v>27697187232.160629</v>
      </c>
    </row>
    <row r="108" spans="1:28">
      <c r="A108" s="14">
        <v>21</v>
      </c>
      <c r="B108" s="14">
        <v>79</v>
      </c>
      <c r="C108" s="72">
        <f t="shared" si="14"/>
        <v>7637398049.3636217</v>
      </c>
      <c r="D108" s="42">
        <f t="shared" si="35"/>
        <v>3646838851.1264844</v>
      </c>
      <c r="E108" s="50">
        <f t="shared" si="36"/>
        <v>2744317702.079505</v>
      </c>
      <c r="F108" s="50">
        <f t="shared" si="37"/>
        <v>445134865.36706251</v>
      </c>
      <c r="G108" s="42">
        <f t="shared" si="38"/>
        <v>801106630.79056966</v>
      </c>
      <c r="H108" s="33">
        <f t="shared" si="39"/>
        <v>240281444.10376361</v>
      </c>
      <c r="I108" s="48">
        <f t="shared" si="40"/>
        <v>295022477.65647477</v>
      </c>
      <c r="J108" s="33">
        <f t="shared" si="41"/>
        <v>305928870.51752603</v>
      </c>
      <c r="K108" s="33">
        <f t="shared" si="30"/>
        <v>207029996.36053419</v>
      </c>
      <c r="L108" s="33">
        <f t="shared" si="42"/>
        <v>187309643.64359367</v>
      </c>
      <c r="M108" s="33">
        <f>(H108+I108+J108)*(D$27*(1-5.5%))</f>
        <v>35773424.491611928</v>
      </c>
      <c r="N108" s="33">
        <f t="shared" si="33"/>
        <v>15988500.703967366</v>
      </c>
      <c r="O108" s="33">
        <f t="shared" si="26"/>
        <v>37997405.866427742</v>
      </c>
      <c r="P108" s="33">
        <f t="shared" si="23"/>
        <v>89759331.06200704</v>
      </c>
      <c r="Q108" s="33">
        <v>48000000</v>
      </c>
      <c r="R108" s="33">
        <f>P108/POWER(1+$B$12,20)+Q108</f>
        <v>102777511.59758893</v>
      </c>
      <c r="S108" s="33"/>
      <c r="T108" s="34">
        <f t="shared" si="20"/>
        <v>72.378529294076714</v>
      </c>
      <c r="U108" s="33">
        <f t="shared" si="24"/>
        <v>2525526823.3764191</v>
      </c>
      <c r="V108" s="42">
        <f t="shared" si="34"/>
        <v>22398398351.937168</v>
      </c>
      <c r="W108" s="42">
        <f t="shared" si="21"/>
        <v>750000000</v>
      </c>
      <c r="X108" s="42">
        <v>-100000000</v>
      </c>
      <c r="Y108" s="42">
        <v>0</v>
      </c>
      <c r="Z108" s="33">
        <f t="shared" si="11"/>
        <v>31921368833.582684</v>
      </c>
    </row>
    <row r="109" spans="1:28">
      <c r="A109" s="14">
        <v>22</v>
      </c>
      <c r="B109" s="14">
        <v>80</v>
      </c>
      <c r="C109" s="72">
        <f t="shared" si="14"/>
        <v>8516063551.1909199</v>
      </c>
      <c r="D109" s="42">
        <f t="shared" si="35"/>
        <v>4066399474.8490286</v>
      </c>
      <c r="E109" s="50">
        <f t="shared" si="36"/>
        <v>3060045293.5034122</v>
      </c>
      <c r="F109" s="50">
        <f t="shared" si="37"/>
        <v>496346632.42838085</v>
      </c>
      <c r="G109" s="42">
        <f t="shared" si="38"/>
        <v>893272150.41009831</v>
      </c>
      <c r="H109" s="33">
        <f t="shared" si="39"/>
        <v>246288480.20635772</v>
      </c>
      <c r="I109" s="48">
        <f t="shared" si="40"/>
        <v>302398039.59788668</v>
      </c>
      <c r="J109" s="33">
        <f t="shared" si="41"/>
        <v>313577092.28046423</v>
      </c>
      <c r="K109" s="33">
        <f t="shared" si="30"/>
        <v>209100296.32413957</v>
      </c>
      <c r="L109" s="33">
        <f t="shared" si="42"/>
        <v>189182740.08002961</v>
      </c>
      <c r="M109" s="33">
        <f t="shared" si="32"/>
        <v>36667760.103902228</v>
      </c>
      <c r="N109" s="33">
        <f t="shared" si="33"/>
        <v>16148385.71100704</v>
      </c>
      <c r="O109" s="33">
        <f t="shared" si="26"/>
        <v>38947341.013088435</v>
      </c>
      <c r="P109" s="33">
        <f t="shared" si="23"/>
        <v>91763486.827997699</v>
      </c>
      <c r="Q109" s="33">
        <v>48000000</v>
      </c>
      <c r="R109" s="33">
        <f>P109/POWER(1+$B$12,21)+Q109</f>
        <v>102634721.58686441</v>
      </c>
      <c r="S109" s="33"/>
      <c r="T109" s="34">
        <f t="shared" si="20"/>
        <v>72.277972948496057</v>
      </c>
      <c r="U109" s="33">
        <f t="shared" si="24"/>
        <v>2628161544.9632835</v>
      </c>
      <c r="V109" s="42">
        <f t="shared" si="34"/>
        <v>26430110055.285858</v>
      </c>
      <c r="W109" s="42">
        <f t="shared" si="21"/>
        <v>750000000</v>
      </c>
      <c r="X109" s="42">
        <v>-100000000</v>
      </c>
      <c r="Y109" s="42">
        <v>0</v>
      </c>
      <c r="Z109" s="33">
        <f t="shared" si="11"/>
        <v>36856720254.965652</v>
      </c>
    </row>
    <row r="110" spans="1:28">
      <c r="A110" s="14">
        <v>23</v>
      </c>
      <c r="B110" s="14">
        <v>81</v>
      </c>
      <c r="C110" s="72">
        <f t="shared" si="14"/>
        <v>9500892010.7913322</v>
      </c>
      <c r="D110" s="42">
        <f t="shared" si="35"/>
        <v>4536652650.7280951</v>
      </c>
      <c r="E110" s="50">
        <f t="shared" si="36"/>
        <v>3413920023.840179</v>
      </c>
      <c r="F110" s="50">
        <f t="shared" si="37"/>
        <v>553745956.24788618</v>
      </c>
      <c r="G110" s="42">
        <f t="shared" si="38"/>
        <v>996573379.97517133</v>
      </c>
      <c r="H110" s="33">
        <f t="shared" si="39"/>
        <v>252445692.21151668</v>
      </c>
      <c r="I110" s="48">
        <f t="shared" si="40"/>
        <v>309957990.58783388</v>
      </c>
      <c r="J110" s="33">
        <f t="shared" si="41"/>
        <v>321416519.58747584</v>
      </c>
      <c r="K110" s="33">
        <f t="shared" si="30"/>
        <v>211191299.28738099</v>
      </c>
      <c r="L110" s="33">
        <f t="shared" si="42"/>
        <v>191074567.48082992</v>
      </c>
      <c r="M110" s="33">
        <f t="shared" si="32"/>
        <v>37584454.106499784</v>
      </c>
      <c r="N110" s="33">
        <f t="shared" si="33"/>
        <v>16309869.56811711</v>
      </c>
      <c r="O110" s="33">
        <f t="shared" si="26"/>
        <v>39921024.538415641</v>
      </c>
      <c r="P110" s="33">
        <f t="shared" si="23"/>
        <v>93815348.213032544</v>
      </c>
      <c r="Q110" s="33">
        <v>49000000</v>
      </c>
      <c r="R110" s="33">
        <f>P110/POWER(1+$B$12,22)+Q110</f>
        <v>103494021.18605293</v>
      </c>
      <c r="S110" s="33"/>
      <c r="T110" s="34">
        <f t="shared" si="20"/>
        <v>72.883113511304884</v>
      </c>
      <c r="U110" s="33">
        <f t="shared" si="24"/>
        <v>2731655566.1493363</v>
      </c>
      <c r="V110" s="42">
        <f t="shared" si="34"/>
        <v>31187529865.237312</v>
      </c>
      <c r="W110" s="42">
        <f t="shared" si="21"/>
        <v>750000000</v>
      </c>
      <c r="X110" s="42">
        <v>-100000000</v>
      </c>
      <c r="Y110" s="42">
        <v>0</v>
      </c>
      <c r="Z110" s="33">
        <f t="shared" si="11"/>
        <v>42624507945.183685</v>
      </c>
    </row>
    <row r="111" spans="1:28">
      <c r="A111" s="14">
        <v>24</v>
      </c>
      <c r="B111" s="14">
        <v>82</v>
      </c>
      <c r="C111" s="72">
        <f t="shared" si="14"/>
        <v>10605968025.308954</v>
      </c>
      <c r="D111" s="42">
        <f t="shared" si="35"/>
        <v>5064323739.3819962</v>
      </c>
      <c r="E111" s="50">
        <f t="shared" si="36"/>
        <v>3811002858.7510657</v>
      </c>
      <c r="F111" s="50">
        <f t="shared" si="37"/>
        <v>618153737.50575316</v>
      </c>
      <c r="G111" s="42">
        <f t="shared" si="38"/>
        <v>1112487689.6701398</v>
      </c>
      <c r="H111" s="33">
        <f t="shared" si="39"/>
        <v>258756834.51680464</v>
      </c>
      <c r="I111" s="48">
        <f t="shared" si="40"/>
        <v>317706940.35252976</v>
      </c>
      <c r="J111" s="33">
        <f t="shared" si="41"/>
        <v>329451932.57716274</v>
      </c>
      <c r="K111" s="33">
        <f t="shared" si="30"/>
        <v>213303212.28025481</v>
      </c>
      <c r="L111" s="33">
        <f t="shared" si="42"/>
        <v>192985313.15563822</v>
      </c>
      <c r="M111" s="33">
        <f t="shared" si="32"/>
        <v>38524065.459162287</v>
      </c>
      <c r="N111" s="33">
        <f t="shared" si="33"/>
        <v>16472968.263798285</v>
      </c>
      <c r="O111" s="33">
        <f t="shared" si="26"/>
        <v>40919050.151876025</v>
      </c>
      <c r="P111" s="33">
        <f t="shared" si="23"/>
        <v>95916083.874836594</v>
      </c>
      <c r="Q111" s="33">
        <v>49000000</v>
      </c>
      <c r="R111" s="33">
        <f>P111/POWER(1+$B$12,23)+Q111</f>
        <v>103355379.81549722</v>
      </c>
      <c r="S111" s="33"/>
      <c r="T111" s="34">
        <f t="shared" si="20"/>
        <v>72.785478743307891</v>
      </c>
      <c r="U111" s="33">
        <f t="shared" si="24"/>
        <v>2835010945.9648337</v>
      </c>
      <c r="V111" s="42">
        <f t="shared" si="34"/>
        <v>36801285240.980026</v>
      </c>
      <c r="W111" s="42">
        <f t="shared" si="21"/>
        <v>750000000</v>
      </c>
      <c r="X111" s="42">
        <v>-100000000</v>
      </c>
      <c r="Y111" s="42">
        <v>0</v>
      </c>
      <c r="Z111" s="33">
        <f t="shared" si="11"/>
        <v>49369457499.171371</v>
      </c>
    </row>
    <row r="112" spans="1:28">
      <c r="A112" s="14">
        <v>25</v>
      </c>
      <c r="B112" s="14">
        <v>83</v>
      </c>
      <c r="C112" s="72">
        <f t="shared" si="14"/>
        <v>11844851721.199177</v>
      </c>
      <c r="D112" s="42">
        <f t="shared" si="35"/>
        <v>5655887667.9605379</v>
      </c>
      <c r="E112" s="50">
        <f t="shared" si="36"/>
        <v>4256166307.8045702</v>
      </c>
      <c r="F112" s="50">
        <f t="shared" si="37"/>
        <v>690360308.85520566</v>
      </c>
      <c r="G112" s="42">
        <f t="shared" si="38"/>
        <v>1242437436.5788639</v>
      </c>
      <c r="H112" s="33">
        <f t="shared" si="39"/>
        <v>265225755.37972474</v>
      </c>
      <c r="I112" s="48">
        <f t="shared" si="40"/>
        <v>325649613.86134303</v>
      </c>
      <c r="J112" s="33">
        <f t="shared" si="41"/>
        <v>337688230.89159185</v>
      </c>
      <c r="K112" s="33">
        <f t="shared" si="30"/>
        <v>215436244.40305737</v>
      </c>
      <c r="L112" s="33">
        <f t="shared" si="42"/>
        <v>194915166.28719464</v>
      </c>
      <c r="M112" s="33">
        <f t="shared" si="32"/>
        <v>39487167.095641345</v>
      </c>
      <c r="N112" s="33">
        <f t="shared" si="33"/>
        <v>16637697.946436267</v>
      </c>
      <c r="O112" s="33">
        <f t="shared" si="26"/>
        <v>41942026.405672923</v>
      </c>
      <c r="P112" s="33">
        <f t="shared" si="23"/>
        <v>98066891.447750539</v>
      </c>
      <c r="Q112" s="33">
        <v>50000000</v>
      </c>
      <c r="R112" s="33">
        <f>P112/POWER(1+$B$12,24)+Q112</f>
        <v>104218767.34304722</v>
      </c>
      <c r="S112" s="33"/>
      <c r="T112" s="34">
        <f t="shared" si="20"/>
        <v>73.393498128906486</v>
      </c>
      <c r="U112" s="33">
        <f t="shared" si="24"/>
        <v>2939229713.3078809</v>
      </c>
      <c r="V112" s="42">
        <f t="shared" si="34"/>
        <v>43425516584.35643</v>
      </c>
      <c r="W112" s="42">
        <f t="shared" si="21"/>
        <v>750000000</v>
      </c>
      <c r="X112" s="42">
        <v>-100000000</v>
      </c>
      <c r="Y112" s="42">
        <v>0</v>
      </c>
      <c r="Z112" s="33">
        <f t="shared" si="11"/>
        <v>57259283316.378517</v>
      </c>
    </row>
    <row r="113" spans="1:22">
      <c r="A113" s="24" t="s">
        <v>112</v>
      </c>
      <c r="P113" s="49">
        <f>SUM(P88:P112)</f>
        <v>1964932161.3707116</v>
      </c>
      <c r="Q113" s="49"/>
      <c r="R113" s="49">
        <f>SUM(R88:R112)</f>
        <v>2939229713.3078809</v>
      </c>
      <c r="S113" s="49"/>
      <c r="U113" s="36">
        <f>U112</f>
        <v>2939229713.3078809</v>
      </c>
      <c r="V113" s="36"/>
    </row>
  </sheetData>
  <mergeCells count="3">
    <mergeCell ref="A1:U1"/>
    <mergeCell ref="A43:U43"/>
    <mergeCell ref="A79:U79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5"/>
  <sheetViews>
    <sheetView topLeftCell="I81" zoomScaleNormal="100" workbookViewId="0">
      <selection activeCell="S103" sqref="S103"/>
    </sheetView>
  </sheetViews>
  <sheetFormatPr defaultColWidth="8.7109375" defaultRowHeight="16.5"/>
  <cols>
    <col min="1" max="1" width="15.42578125" style="9" customWidth="1"/>
    <col min="2" max="2" width="13.28515625" style="9" customWidth="1"/>
    <col min="3" max="3" width="14.5703125" style="9" customWidth="1"/>
    <col min="4" max="4" width="15" style="9" customWidth="1"/>
    <col min="5" max="5" width="14.42578125" style="9" customWidth="1"/>
    <col min="6" max="7" width="13.85546875" style="9" customWidth="1"/>
    <col min="8" max="8" width="13.7109375" style="9" customWidth="1"/>
    <col min="9" max="9" width="13" style="9" customWidth="1"/>
    <col min="10" max="10" width="13.7109375" style="9" customWidth="1"/>
    <col min="11" max="11" width="11" style="9" customWidth="1"/>
    <col min="12" max="12" width="11.28515625" style="9" customWidth="1"/>
    <col min="13" max="14" width="13" style="9" customWidth="1"/>
    <col min="15" max="15" width="14.5703125" style="9" customWidth="1"/>
    <col min="16" max="16" width="17.28515625" style="9" customWidth="1"/>
    <col min="17" max="17" width="14.42578125" style="9" customWidth="1"/>
    <col min="18" max="18" width="15.85546875" style="9" customWidth="1"/>
    <col min="19" max="19" width="10" style="9" customWidth="1"/>
    <col min="20" max="20" width="15.7109375" style="9" customWidth="1"/>
    <col min="21" max="21" width="14.28515625" style="9" customWidth="1"/>
    <col min="22" max="22" width="13.140625" style="9" customWidth="1"/>
    <col min="23" max="23" width="13" style="9" customWidth="1"/>
    <col min="24" max="24" width="11.5703125" style="9" customWidth="1"/>
    <col min="25" max="25" width="15.85546875" style="9" customWidth="1"/>
    <col min="26" max="26" width="13" style="9" customWidth="1"/>
    <col min="27" max="27" width="14.7109375" style="9" customWidth="1"/>
    <col min="28" max="16384" width="8.7109375" style="9"/>
  </cols>
  <sheetData>
    <row r="1" spans="1:21">
      <c r="A1" s="127" t="s">
        <v>93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57"/>
    </row>
    <row r="3" spans="1:21">
      <c r="A3" s="10" t="s">
        <v>0</v>
      </c>
    </row>
    <row r="4" spans="1:21">
      <c r="A4" s="11" t="s">
        <v>1</v>
      </c>
      <c r="B4" s="94" t="s">
        <v>2</v>
      </c>
      <c r="C4" s="95" t="s">
        <v>3</v>
      </c>
    </row>
    <row r="5" spans="1:21">
      <c r="A5" s="13" t="s">
        <v>4</v>
      </c>
      <c r="B5" s="47" t="s">
        <v>94</v>
      </c>
      <c r="C5" s="96" t="s">
        <v>153</v>
      </c>
      <c r="D5" s="14"/>
      <c r="E5" s="14"/>
      <c r="F5" s="14"/>
      <c r="G5" s="14"/>
    </row>
    <row r="6" spans="1:21">
      <c r="A6" s="13" t="s">
        <v>91</v>
      </c>
      <c r="B6" s="13" t="s">
        <v>92</v>
      </c>
      <c r="C6" s="14"/>
      <c r="D6" s="14"/>
      <c r="E6" s="14"/>
      <c r="F6" s="14"/>
      <c r="G6" s="14"/>
    </row>
    <row r="7" spans="1:21">
      <c r="A7" s="13" t="s">
        <v>5</v>
      </c>
      <c r="B7" s="13" t="s">
        <v>95</v>
      </c>
      <c r="C7" s="14" t="s">
        <v>96</v>
      </c>
      <c r="D7" s="14"/>
      <c r="E7" s="14"/>
      <c r="F7" s="14"/>
      <c r="G7" s="14"/>
    </row>
    <row r="8" spans="1:21">
      <c r="A8" s="13" t="s">
        <v>120</v>
      </c>
      <c r="B8" s="15">
        <v>6.5000000000000002E-2</v>
      </c>
      <c r="C8" s="14"/>
      <c r="D8" s="16"/>
      <c r="E8" s="16"/>
      <c r="F8" s="16"/>
      <c r="G8" s="16"/>
    </row>
    <row r="9" spans="1:21">
      <c r="A9" s="13" t="s">
        <v>114</v>
      </c>
      <c r="B9" s="15">
        <v>0.05</v>
      </c>
      <c r="C9" s="14"/>
      <c r="D9" s="16"/>
      <c r="E9" s="16"/>
      <c r="F9" s="16"/>
      <c r="G9" s="16"/>
    </row>
    <row r="10" spans="1:21">
      <c r="A10" s="13" t="s">
        <v>116</v>
      </c>
      <c r="B10" s="15">
        <v>7.0000000000000007E-2</v>
      </c>
      <c r="C10" s="14"/>
      <c r="D10" s="16"/>
      <c r="E10" s="16"/>
      <c r="F10" s="16"/>
      <c r="G10" s="16"/>
    </row>
    <row r="11" spans="1:21">
      <c r="A11" s="13" t="s">
        <v>115</v>
      </c>
      <c r="B11" s="15">
        <v>0.04</v>
      </c>
      <c r="C11" s="14"/>
      <c r="D11" s="16"/>
      <c r="E11" s="16"/>
      <c r="F11" s="16"/>
      <c r="G11" s="16"/>
    </row>
    <row r="12" spans="1:21">
      <c r="A12" s="13" t="s">
        <v>6</v>
      </c>
      <c r="B12" s="15">
        <v>2.5000000000000001E-2</v>
      </c>
      <c r="C12" s="14" t="s">
        <v>7</v>
      </c>
      <c r="D12" s="16"/>
      <c r="E12" s="16"/>
      <c r="F12" s="16"/>
      <c r="G12" s="16"/>
    </row>
    <row r="13" spans="1:21">
      <c r="A13" s="17"/>
      <c r="B13" s="18">
        <v>100000000</v>
      </c>
      <c r="C13" s="19">
        <f>B13*4%</f>
        <v>4000000</v>
      </c>
      <c r="D13" s="19"/>
      <c r="E13" s="19"/>
      <c r="F13" s="19"/>
      <c r="G13" s="19"/>
    </row>
    <row r="15" spans="1:21">
      <c r="A15" s="10" t="s">
        <v>8</v>
      </c>
    </row>
    <row r="16" spans="1:21">
      <c r="A16" s="20" t="s">
        <v>1</v>
      </c>
      <c r="B16" s="20" t="s">
        <v>9</v>
      </c>
      <c r="C16" s="20" t="s">
        <v>3</v>
      </c>
    </row>
    <row r="17" spans="1:7">
      <c r="A17" s="9" t="s">
        <v>10</v>
      </c>
      <c r="B17" s="19">
        <v>460000000</v>
      </c>
      <c r="C17" s="14" t="s">
        <v>138</v>
      </c>
      <c r="D17" s="75"/>
      <c r="E17" s="19"/>
      <c r="F17" s="19"/>
      <c r="G17" s="19"/>
    </row>
    <row r="18" spans="1:7">
      <c r="A18" s="9" t="s">
        <v>11</v>
      </c>
      <c r="B18" s="19">
        <v>200000000</v>
      </c>
      <c r="C18" s="14" t="s">
        <v>97</v>
      </c>
      <c r="D18" s="19"/>
      <c r="E18" s="19"/>
      <c r="F18" s="19"/>
      <c r="G18" s="19"/>
    </row>
    <row r="19" spans="1:7">
      <c r="A19" s="9" t="s">
        <v>12</v>
      </c>
      <c r="B19" s="21">
        <v>0.04</v>
      </c>
      <c r="C19" s="14" t="s">
        <v>98</v>
      </c>
      <c r="D19" s="21"/>
      <c r="E19" s="21"/>
      <c r="F19" s="21"/>
      <c r="G19" s="21"/>
    </row>
    <row r="20" spans="1:7">
      <c r="A20" s="9" t="s">
        <v>13</v>
      </c>
      <c r="B20" s="19">
        <f>B18*B19</f>
        <v>8000000</v>
      </c>
      <c r="C20" s="14" t="s">
        <v>99</v>
      </c>
      <c r="D20" s="19">
        <f>B20/12</f>
        <v>666666.66666666663</v>
      </c>
      <c r="E20" s="19">
        <v>12000000</v>
      </c>
      <c r="F20" s="19">
        <f>E20/12</f>
        <v>1000000</v>
      </c>
      <c r="G20" s="19"/>
    </row>
    <row r="21" spans="1:7">
      <c r="A21" s="9" t="s">
        <v>14</v>
      </c>
      <c r="B21" s="19">
        <f>B17-B18</f>
        <v>260000000</v>
      </c>
      <c r="C21" s="14" t="s">
        <v>15</v>
      </c>
      <c r="D21" s="19"/>
      <c r="E21" s="19"/>
      <c r="F21" s="19"/>
      <c r="G21" s="19"/>
    </row>
    <row r="24" spans="1:7">
      <c r="A24" s="10" t="s">
        <v>100</v>
      </c>
    </row>
    <row r="25" spans="1:7">
      <c r="A25" s="22" t="s">
        <v>16</v>
      </c>
      <c r="B25" s="22" t="s">
        <v>17</v>
      </c>
      <c r="C25" s="22" t="s">
        <v>18</v>
      </c>
      <c r="D25" s="22" t="s">
        <v>19</v>
      </c>
      <c r="E25" s="12" t="s">
        <v>3</v>
      </c>
    </row>
    <row r="26" spans="1:7">
      <c r="A26" s="9" t="s">
        <v>20</v>
      </c>
      <c r="B26" s="19">
        <f>H89</f>
        <v>106517387.64724775</v>
      </c>
      <c r="C26" s="23">
        <f>B8</f>
        <v>6.5000000000000002E-2</v>
      </c>
      <c r="D26" s="23">
        <f>B9</f>
        <v>0.05</v>
      </c>
      <c r="E26" s="9" t="s">
        <v>21</v>
      </c>
      <c r="F26" s="19"/>
      <c r="G26" s="19"/>
    </row>
    <row r="27" spans="1:7">
      <c r="A27" s="9" t="s">
        <v>101</v>
      </c>
      <c r="B27" s="19">
        <f>I89</f>
        <v>414236186.5283522</v>
      </c>
      <c r="C27" s="23">
        <f>B8</f>
        <v>6.5000000000000002E-2</v>
      </c>
      <c r="D27" s="23">
        <f>B9</f>
        <v>0.05</v>
      </c>
      <c r="E27" s="9" t="s">
        <v>22</v>
      </c>
      <c r="F27" s="19"/>
      <c r="G27" s="19"/>
    </row>
    <row r="28" spans="1:7">
      <c r="A28" s="9" t="s">
        <v>23</v>
      </c>
      <c r="B28" s="19">
        <f>J89</f>
        <v>147395392.70648584</v>
      </c>
      <c r="C28" s="23">
        <f>B8</f>
        <v>6.5000000000000002E-2</v>
      </c>
      <c r="D28" s="23">
        <f>B9</f>
        <v>0.05</v>
      </c>
      <c r="E28" s="9" t="s">
        <v>22</v>
      </c>
      <c r="F28" s="19"/>
      <c r="G28" s="19"/>
    </row>
    <row r="29" spans="1:7">
      <c r="A29" s="24" t="s">
        <v>24</v>
      </c>
      <c r="B29" s="25">
        <f>SUM(B26:B28)</f>
        <v>668148966.8820858</v>
      </c>
      <c r="E29" s="9" t="s">
        <v>102</v>
      </c>
      <c r="F29" s="25"/>
      <c r="G29" s="25"/>
    </row>
    <row r="30" spans="1:7">
      <c r="B30" s="19"/>
      <c r="F30" s="19"/>
      <c r="G30" s="19"/>
    </row>
    <row r="31" spans="1:7">
      <c r="A31" s="9" t="s">
        <v>103</v>
      </c>
      <c r="B31" s="19">
        <f>L89/2</f>
        <v>22149000</v>
      </c>
      <c r="C31" s="23">
        <f>B10</f>
        <v>7.0000000000000007E-2</v>
      </c>
      <c r="D31" s="23">
        <v>0.05</v>
      </c>
      <c r="E31" s="9" t="s">
        <v>104</v>
      </c>
      <c r="F31" s="19"/>
      <c r="G31" s="19"/>
    </row>
    <row r="32" spans="1:7">
      <c r="A32" s="9" t="s">
        <v>105</v>
      </c>
      <c r="B32" s="19">
        <f>B31</f>
        <v>22149000</v>
      </c>
      <c r="C32" s="23">
        <f>B10</f>
        <v>7.0000000000000007E-2</v>
      </c>
      <c r="D32" s="23">
        <v>0.05</v>
      </c>
      <c r="E32" s="9" t="s">
        <v>104</v>
      </c>
      <c r="F32" s="19"/>
      <c r="G32" s="19"/>
    </row>
    <row r="33" spans="1:21">
      <c r="A33" s="24" t="s">
        <v>106</v>
      </c>
      <c r="B33" s="25">
        <f>SUM(B31:B32)</f>
        <v>44298000</v>
      </c>
      <c r="E33" s="9" t="s">
        <v>107</v>
      </c>
      <c r="F33" s="25"/>
      <c r="G33" s="25"/>
    </row>
    <row r="37" spans="1:21">
      <c r="A37" s="10" t="s">
        <v>25</v>
      </c>
    </row>
    <row r="38" spans="1:21">
      <c r="A38" s="20" t="s">
        <v>26</v>
      </c>
      <c r="B38" s="20" t="s">
        <v>27</v>
      </c>
      <c r="C38" s="20" t="s">
        <v>28</v>
      </c>
      <c r="D38" s="20" t="s">
        <v>29</v>
      </c>
      <c r="E38" s="20" t="s">
        <v>30</v>
      </c>
    </row>
    <row r="39" spans="1:21">
      <c r="A39" s="9" t="s">
        <v>31</v>
      </c>
      <c r="B39" s="9">
        <v>59</v>
      </c>
      <c r="C39" s="19">
        <v>1140000</v>
      </c>
      <c r="D39" s="19">
        <f>C39*12</f>
        <v>13680000</v>
      </c>
      <c r="E39" s="26">
        <v>0.76</v>
      </c>
    </row>
    <row r="40" spans="1:21">
      <c r="A40" s="9" t="s">
        <v>32</v>
      </c>
      <c r="B40" s="9">
        <v>63</v>
      </c>
      <c r="C40" s="19">
        <v>1500000</v>
      </c>
      <c r="D40" s="19">
        <f>C40*12</f>
        <v>18000000</v>
      </c>
      <c r="E40" s="26">
        <v>1</v>
      </c>
    </row>
    <row r="41" spans="1:21">
      <c r="H41" s="19"/>
      <c r="I41" s="19"/>
    </row>
    <row r="42" spans="1:21">
      <c r="A42" s="27" t="s">
        <v>122</v>
      </c>
      <c r="B42" s="28">
        <v>0.16</v>
      </c>
      <c r="C42" s="37" t="s">
        <v>125</v>
      </c>
      <c r="D42" s="29">
        <v>0.08</v>
      </c>
      <c r="E42" s="37" t="s">
        <v>139</v>
      </c>
      <c r="F42" s="29">
        <v>0.15</v>
      </c>
    </row>
    <row r="43" spans="1:21">
      <c r="A43" s="27" t="s">
        <v>123</v>
      </c>
      <c r="B43" s="29">
        <v>0.12</v>
      </c>
      <c r="C43" s="38" t="s">
        <v>119</v>
      </c>
      <c r="D43" s="29">
        <v>0.09</v>
      </c>
    </row>
    <row r="44" spans="1:21">
      <c r="J44" s="9" t="s">
        <v>128</v>
      </c>
      <c r="L44" s="19">
        <v>20000000</v>
      </c>
    </row>
    <row r="45" spans="1:21" hidden="1">
      <c r="A45" s="128" t="s">
        <v>108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58"/>
    </row>
    <row r="46" spans="1:21" hidden="1">
      <c r="A46" s="30" t="s">
        <v>33</v>
      </c>
      <c r="B46" s="30" t="s">
        <v>34</v>
      </c>
      <c r="C46" s="30" t="s">
        <v>118</v>
      </c>
      <c r="D46" s="30"/>
      <c r="E46" s="30" t="s">
        <v>117</v>
      </c>
      <c r="F46" s="30"/>
      <c r="G46" s="30"/>
      <c r="H46" s="30" t="s">
        <v>35</v>
      </c>
      <c r="I46" s="30" t="s">
        <v>36</v>
      </c>
      <c r="J46" s="30" t="s">
        <v>37</v>
      </c>
      <c r="K46" s="59"/>
      <c r="M46" s="30" t="s">
        <v>38</v>
      </c>
      <c r="N46" s="30" t="s">
        <v>109</v>
      </c>
      <c r="O46" s="30" t="s">
        <v>39</v>
      </c>
      <c r="P46" s="30" t="s">
        <v>110</v>
      </c>
      <c r="Q46" s="30"/>
      <c r="R46" s="30" t="s">
        <v>111</v>
      </c>
      <c r="S46" s="30" t="s">
        <v>40</v>
      </c>
      <c r="T46" s="30" t="s">
        <v>41</v>
      </c>
      <c r="U46" s="59"/>
    </row>
    <row r="47" spans="1:21" hidden="1">
      <c r="A47" s="31">
        <v>-6</v>
      </c>
      <c r="B47" s="31">
        <v>52</v>
      </c>
      <c r="C47" s="31"/>
      <c r="D47" s="31"/>
      <c r="E47" s="31"/>
      <c r="F47" s="31"/>
      <c r="G47" s="31"/>
      <c r="H47" s="31"/>
      <c r="I47" s="31"/>
      <c r="J47" s="31"/>
      <c r="K47" s="60"/>
      <c r="M47" s="31"/>
      <c r="N47" s="31"/>
      <c r="O47" s="31"/>
      <c r="P47" s="31"/>
      <c r="Q47" s="31"/>
      <c r="R47" s="31"/>
      <c r="S47" s="31"/>
      <c r="T47" s="31"/>
      <c r="U47" s="60"/>
    </row>
    <row r="48" spans="1:21" hidden="1">
      <c r="A48" s="31">
        <v>-5</v>
      </c>
      <c r="B48" s="31">
        <v>53</v>
      </c>
      <c r="C48" s="31"/>
      <c r="D48" s="31"/>
      <c r="E48" s="31"/>
      <c r="F48" s="31"/>
      <c r="G48" s="31"/>
      <c r="H48" s="31"/>
      <c r="I48" s="31"/>
      <c r="J48" s="31"/>
      <c r="K48" s="60"/>
      <c r="M48" s="31"/>
      <c r="N48" s="31"/>
      <c r="O48" s="31"/>
      <c r="P48" s="31"/>
      <c r="Q48" s="31"/>
      <c r="R48" s="31"/>
      <c r="S48" s="31"/>
      <c r="T48" s="31"/>
      <c r="U48" s="60"/>
    </row>
    <row r="49" spans="1:21" hidden="1">
      <c r="A49" s="31">
        <v>-4</v>
      </c>
      <c r="B49" s="31">
        <v>54</v>
      </c>
      <c r="C49" s="31"/>
      <c r="D49" s="31"/>
      <c r="E49" s="31"/>
      <c r="F49" s="31"/>
      <c r="G49" s="31"/>
      <c r="H49" s="31"/>
      <c r="I49" s="31"/>
      <c r="J49" s="31"/>
      <c r="K49" s="60"/>
      <c r="M49" s="31"/>
      <c r="N49" s="31"/>
      <c r="O49" s="31"/>
      <c r="P49" s="31"/>
      <c r="Q49" s="31"/>
      <c r="R49" s="31"/>
      <c r="S49" s="31"/>
      <c r="T49" s="31"/>
      <c r="U49" s="60"/>
    </row>
    <row r="50" spans="1:21" hidden="1">
      <c r="A50" s="31">
        <v>-3</v>
      </c>
      <c r="B50" s="31">
        <v>55</v>
      </c>
      <c r="C50" s="31"/>
      <c r="D50" s="31"/>
      <c r="E50" s="31"/>
      <c r="F50" s="31"/>
      <c r="G50" s="31"/>
      <c r="H50" s="31"/>
      <c r="I50" s="31"/>
      <c r="J50" s="31"/>
      <c r="K50" s="60"/>
      <c r="M50" s="31"/>
      <c r="N50" s="31"/>
      <c r="O50" s="31"/>
      <c r="P50" s="31"/>
      <c r="Q50" s="31"/>
      <c r="R50" s="31"/>
      <c r="S50" s="31"/>
      <c r="T50" s="31"/>
      <c r="U50" s="60"/>
    </row>
    <row r="51" spans="1:21" hidden="1">
      <c r="A51" s="31">
        <v>-2</v>
      </c>
      <c r="B51" s="31">
        <v>56</v>
      </c>
      <c r="C51" s="31"/>
      <c r="D51" s="31"/>
      <c r="E51" s="31"/>
      <c r="F51" s="31"/>
      <c r="G51" s="31"/>
      <c r="H51" s="31"/>
      <c r="I51" s="31"/>
      <c r="J51" s="31"/>
      <c r="K51" s="60"/>
      <c r="M51" s="31"/>
      <c r="N51" s="31"/>
      <c r="O51" s="31"/>
      <c r="P51" s="31"/>
      <c r="Q51" s="31"/>
      <c r="R51" s="31"/>
      <c r="S51" s="31"/>
      <c r="T51" s="31"/>
      <c r="U51" s="60"/>
    </row>
    <row r="52" spans="1:21" hidden="1">
      <c r="A52" s="31">
        <v>-1</v>
      </c>
      <c r="B52" s="31">
        <v>57</v>
      </c>
      <c r="C52" s="31"/>
      <c r="D52" s="31"/>
      <c r="E52" s="31"/>
      <c r="F52" s="31"/>
      <c r="G52" s="31"/>
      <c r="H52" s="31"/>
      <c r="I52" s="31"/>
      <c r="J52" s="31"/>
      <c r="K52" s="60"/>
      <c r="M52" s="31"/>
      <c r="N52" s="31"/>
      <c r="O52" s="31"/>
      <c r="P52" s="31"/>
      <c r="Q52" s="31"/>
      <c r="R52" s="31"/>
      <c r="S52" s="31"/>
      <c r="T52" s="31"/>
      <c r="U52" s="60"/>
    </row>
    <row r="53" spans="1:21" hidden="1">
      <c r="A53" s="32">
        <v>0</v>
      </c>
      <c r="B53" s="32">
        <v>58</v>
      </c>
      <c r="C53" s="32"/>
      <c r="D53" s="32"/>
      <c r="E53" s="32"/>
      <c r="F53" s="32"/>
      <c r="G53" s="32"/>
      <c r="H53" s="32"/>
      <c r="I53" s="32"/>
      <c r="J53" s="32"/>
      <c r="K53" s="61"/>
      <c r="M53" s="32"/>
      <c r="N53" s="32"/>
      <c r="O53" s="32"/>
      <c r="P53" s="32"/>
      <c r="Q53" s="32"/>
      <c r="R53" s="32"/>
      <c r="S53" s="32"/>
      <c r="T53" s="32"/>
      <c r="U53" s="61"/>
    </row>
    <row r="54" spans="1:21" hidden="1">
      <c r="A54" s="13">
        <v>1</v>
      </c>
      <c r="B54" s="13">
        <v>59</v>
      </c>
      <c r="C54" s="13"/>
      <c r="D54" s="13"/>
      <c r="E54" s="13"/>
      <c r="F54" s="13"/>
      <c r="G54" s="13"/>
      <c r="H54" s="33">
        <v>100000000</v>
      </c>
      <c r="I54" s="33">
        <v>100000000</v>
      </c>
      <c r="J54" s="33">
        <v>100000000</v>
      </c>
      <c r="K54" s="19"/>
      <c r="M54" s="33">
        <f>(H54+I54+J54)*0.04</f>
        <v>12000000</v>
      </c>
      <c r="N54" s="33" t="e">
        <f>#REF!*0.04</f>
        <v>#REF!</v>
      </c>
      <c r="O54" s="33">
        <f t="shared" ref="O54:O78" si="0">$D$39</f>
        <v>13680000</v>
      </c>
      <c r="P54" s="33" t="e">
        <f t="shared" ref="P54:P78" si="1">M54+N54+O54</f>
        <v>#REF!</v>
      </c>
      <c r="Q54" s="33"/>
      <c r="R54" s="33" t="e">
        <f>P54/POWER(1+$B$12,0)</f>
        <v>#REF!</v>
      </c>
      <c r="S54" s="34" t="e">
        <f t="shared" ref="S54:S78" si="2">R54/$R$54*100</f>
        <v>#REF!</v>
      </c>
      <c r="T54" s="33" t="e">
        <f>R54</f>
        <v>#REF!</v>
      </c>
      <c r="U54" s="19"/>
    </row>
    <row r="55" spans="1:21" hidden="1">
      <c r="A55" s="13">
        <v>2</v>
      </c>
      <c r="B55" s="13">
        <v>60</v>
      </c>
      <c r="C55" s="13"/>
      <c r="D55" s="13"/>
      <c r="E55" s="13"/>
      <c r="F55" s="13"/>
      <c r="G55" s="13"/>
      <c r="H55" s="33">
        <f t="shared" ref="H55:H78" si="3">H54*(1+0.07)-H54*0.04</f>
        <v>103000000</v>
      </c>
      <c r="I55" s="33">
        <f t="shared" ref="I55:I78" si="4">I54*(1+0.07)-I54*0.04</f>
        <v>103000000</v>
      </c>
      <c r="J55" s="33">
        <f t="shared" ref="J55:J78" si="5">J54*(1+0.07)-J54*0.04</f>
        <v>103000000</v>
      </c>
      <c r="K55" s="19"/>
      <c r="M55" s="33">
        <f t="shared" ref="M55:M78" si="6">(H54+I54+J54)*0.04</f>
        <v>12000000</v>
      </c>
      <c r="N55" s="33" t="e">
        <f>#REF!*0.04</f>
        <v>#REF!</v>
      </c>
      <c r="O55" s="33">
        <f t="shared" si="0"/>
        <v>13680000</v>
      </c>
      <c r="P55" s="33" t="e">
        <f t="shared" si="1"/>
        <v>#REF!</v>
      </c>
      <c r="Q55" s="33"/>
      <c r="R55" s="33" t="e">
        <f>P55/POWER(1+$B$12,1)</f>
        <v>#REF!</v>
      </c>
      <c r="S55" s="34" t="e">
        <f t="shared" si="2"/>
        <v>#REF!</v>
      </c>
      <c r="T55" s="33" t="e">
        <f t="shared" ref="T55:T78" si="7">T54+R55</f>
        <v>#REF!</v>
      </c>
      <c r="U55" s="19"/>
    </row>
    <row r="56" spans="1:21" hidden="1">
      <c r="A56" s="13">
        <v>3</v>
      </c>
      <c r="B56" s="13">
        <v>61</v>
      </c>
      <c r="C56" s="13"/>
      <c r="D56" s="13"/>
      <c r="E56" s="13"/>
      <c r="F56" s="13"/>
      <c r="G56" s="13"/>
      <c r="H56" s="33">
        <f t="shared" si="3"/>
        <v>106090000</v>
      </c>
      <c r="I56" s="33">
        <f t="shared" si="4"/>
        <v>106090000</v>
      </c>
      <c r="J56" s="33">
        <f t="shared" si="5"/>
        <v>106090000</v>
      </c>
      <c r="K56" s="19"/>
      <c r="M56" s="33">
        <f t="shared" si="6"/>
        <v>12360000</v>
      </c>
      <c r="N56" s="33" t="e">
        <f>#REF!*0.04</f>
        <v>#REF!</v>
      </c>
      <c r="O56" s="33">
        <f t="shared" si="0"/>
        <v>13680000</v>
      </c>
      <c r="P56" s="33" t="e">
        <f t="shared" si="1"/>
        <v>#REF!</v>
      </c>
      <c r="Q56" s="33"/>
      <c r="R56" s="33" t="e">
        <f>P56/POWER(1+$B$12,2)</f>
        <v>#REF!</v>
      </c>
      <c r="S56" s="34" t="e">
        <f t="shared" si="2"/>
        <v>#REF!</v>
      </c>
      <c r="T56" s="33" t="e">
        <f t="shared" si="7"/>
        <v>#REF!</v>
      </c>
      <c r="U56" s="19"/>
    </row>
    <row r="57" spans="1:21" hidden="1">
      <c r="A57" s="13">
        <v>4</v>
      </c>
      <c r="B57" s="13">
        <v>62</v>
      </c>
      <c r="C57" s="13"/>
      <c r="D57" s="13"/>
      <c r="E57" s="13"/>
      <c r="F57" s="13"/>
      <c r="G57" s="13"/>
      <c r="H57" s="33">
        <f t="shared" si="3"/>
        <v>109272700</v>
      </c>
      <c r="I57" s="33">
        <f t="shared" si="4"/>
        <v>109272700</v>
      </c>
      <c r="J57" s="33">
        <f t="shared" si="5"/>
        <v>109272700</v>
      </c>
      <c r="K57" s="19"/>
      <c r="M57" s="33">
        <f t="shared" si="6"/>
        <v>12730800</v>
      </c>
      <c r="N57" s="33" t="e">
        <f>#REF!*0.04</f>
        <v>#REF!</v>
      </c>
      <c r="O57" s="33">
        <f t="shared" si="0"/>
        <v>13680000</v>
      </c>
      <c r="P57" s="33" t="e">
        <f t="shared" si="1"/>
        <v>#REF!</v>
      </c>
      <c r="Q57" s="33"/>
      <c r="R57" s="33" t="e">
        <f>P57/POWER(1+$B$12,3)</f>
        <v>#REF!</v>
      </c>
      <c r="S57" s="34" t="e">
        <f t="shared" si="2"/>
        <v>#REF!</v>
      </c>
      <c r="T57" s="33" t="e">
        <f t="shared" si="7"/>
        <v>#REF!</v>
      </c>
      <c r="U57" s="19"/>
    </row>
    <row r="58" spans="1:21" hidden="1">
      <c r="A58" s="13">
        <v>5</v>
      </c>
      <c r="B58" s="13">
        <v>63</v>
      </c>
      <c r="C58" s="13"/>
      <c r="D58" s="13"/>
      <c r="E58" s="13"/>
      <c r="F58" s="13"/>
      <c r="G58" s="13"/>
      <c r="H58" s="33">
        <f t="shared" si="3"/>
        <v>112550881</v>
      </c>
      <c r="I58" s="33">
        <f t="shared" si="4"/>
        <v>112550881</v>
      </c>
      <c r="J58" s="33">
        <f t="shared" si="5"/>
        <v>112550881</v>
      </c>
      <c r="K58" s="19"/>
      <c r="M58" s="33">
        <f t="shared" si="6"/>
        <v>13112724</v>
      </c>
      <c r="N58" s="33" t="e">
        <f>#REF!*0.04</f>
        <v>#REF!</v>
      </c>
      <c r="O58" s="33">
        <f t="shared" si="0"/>
        <v>13680000</v>
      </c>
      <c r="P58" s="33" t="e">
        <f t="shared" si="1"/>
        <v>#REF!</v>
      </c>
      <c r="Q58" s="33"/>
      <c r="R58" s="33" t="e">
        <f>P58/POWER(1+$B$12,4)</f>
        <v>#REF!</v>
      </c>
      <c r="S58" s="34" t="e">
        <f t="shared" si="2"/>
        <v>#REF!</v>
      </c>
      <c r="T58" s="33" t="e">
        <f t="shared" si="7"/>
        <v>#REF!</v>
      </c>
      <c r="U58" s="19"/>
    </row>
    <row r="59" spans="1:21" hidden="1">
      <c r="A59" s="13">
        <v>6</v>
      </c>
      <c r="B59" s="13">
        <v>64</v>
      </c>
      <c r="C59" s="13"/>
      <c r="D59" s="13"/>
      <c r="E59" s="13"/>
      <c r="F59" s="13"/>
      <c r="G59" s="13"/>
      <c r="H59" s="33">
        <f t="shared" si="3"/>
        <v>115927407.43000001</v>
      </c>
      <c r="I59" s="33">
        <f t="shared" si="4"/>
        <v>115927407.43000001</v>
      </c>
      <c r="J59" s="33">
        <f t="shared" si="5"/>
        <v>115927407.43000001</v>
      </c>
      <c r="K59" s="19"/>
      <c r="M59" s="33">
        <f t="shared" si="6"/>
        <v>13506105.720000001</v>
      </c>
      <c r="N59" s="33" t="e">
        <f>#REF!*0.04</f>
        <v>#REF!</v>
      </c>
      <c r="O59" s="33">
        <f t="shared" si="0"/>
        <v>13680000</v>
      </c>
      <c r="P59" s="33" t="e">
        <f t="shared" si="1"/>
        <v>#REF!</v>
      </c>
      <c r="Q59" s="33"/>
      <c r="R59" s="33" t="e">
        <f>P59/POWER(1+$B$12,5)</f>
        <v>#REF!</v>
      </c>
      <c r="S59" s="34" t="e">
        <f t="shared" si="2"/>
        <v>#REF!</v>
      </c>
      <c r="T59" s="33" t="e">
        <f t="shared" si="7"/>
        <v>#REF!</v>
      </c>
      <c r="U59" s="19"/>
    </row>
    <row r="60" spans="1:21" hidden="1">
      <c r="A60" s="13">
        <v>7</v>
      </c>
      <c r="B60" s="13">
        <v>65</v>
      </c>
      <c r="C60" s="13"/>
      <c r="D60" s="13"/>
      <c r="E60" s="13"/>
      <c r="F60" s="13"/>
      <c r="G60" s="13"/>
      <c r="H60" s="33">
        <f t="shared" si="3"/>
        <v>119405229.65290003</v>
      </c>
      <c r="I60" s="33">
        <f t="shared" si="4"/>
        <v>119405229.65290003</v>
      </c>
      <c r="J60" s="33">
        <f t="shared" si="5"/>
        <v>119405229.65290003</v>
      </c>
      <c r="K60" s="19"/>
      <c r="M60" s="33">
        <f t="shared" si="6"/>
        <v>13911288.891600002</v>
      </c>
      <c r="N60" s="33" t="e">
        <f>#REF!*0.04</f>
        <v>#REF!</v>
      </c>
      <c r="O60" s="33">
        <f t="shared" si="0"/>
        <v>13680000</v>
      </c>
      <c r="P60" s="33" t="e">
        <f t="shared" si="1"/>
        <v>#REF!</v>
      </c>
      <c r="Q60" s="33"/>
      <c r="R60" s="33" t="e">
        <f>P60/POWER(1+$B$12,6)</f>
        <v>#REF!</v>
      </c>
      <c r="S60" s="34" t="e">
        <f t="shared" si="2"/>
        <v>#REF!</v>
      </c>
      <c r="T60" s="33" t="e">
        <f t="shared" si="7"/>
        <v>#REF!</v>
      </c>
      <c r="U60" s="19"/>
    </row>
    <row r="61" spans="1:21" hidden="1">
      <c r="A61" s="13">
        <v>8</v>
      </c>
      <c r="B61" s="13">
        <v>66</v>
      </c>
      <c r="C61" s="13"/>
      <c r="D61" s="13"/>
      <c r="E61" s="13"/>
      <c r="F61" s="13"/>
      <c r="G61" s="13"/>
      <c r="H61" s="33">
        <f t="shared" si="3"/>
        <v>122987386.54248704</v>
      </c>
      <c r="I61" s="33">
        <f t="shared" si="4"/>
        <v>122987386.54248704</v>
      </c>
      <c r="J61" s="33">
        <f t="shared" si="5"/>
        <v>122987386.54248704</v>
      </c>
      <c r="K61" s="19"/>
      <c r="M61" s="33">
        <f t="shared" si="6"/>
        <v>14328627.558348002</v>
      </c>
      <c r="N61" s="33" t="e">
        <f>#REF!*0.04</f>
        <v>#REF!</v>
      </c>
      <c r="O61" s="33">
        <f t="shared" si="0"/>
        <v>13680000</v>
      </c>
      <c r="P61" s="33" t="e">
        <f t="shared" si="1"/>
        <v>#REF!</v>
      </c>
      <c r="Q61" s="33"/>
      <c r="R61" s="33" t="e">
        <f>P61/POWER(1+$B$12,7)</f>
        <v>#REF!</v>
      </c>
      <c r="S61" s="34" t="e">
        <f t="shared" si="2"/>
        <v>#REF!</v>
      </c>
      <c r="T61" s="33" t="e">
        <f t="shared" si="7"/>
        <v>#REF!</v>
      </c>
      <c r="U61" s="19"/>
    </row>
    <row r="62" spans="1:21" hidden="1">
      <c r="A62" s="13">
        <v>9</v>
      </c>
      <c r="B62" s="13">
        <v>67</v>
      </c>
      <c r="C62" s="13"/>
      <c r="D62" s="13"/>
      <c r="E62" s="13"/>
      <c r="F62" s="13"/>
      <c r="G62" s="13"/>
      <c r="H62" s="33">
        <f t="shared" si="3"/>
        <v>126677008.13876165</v>
      </c>
      <c r="I62" s="33">
        <f t="shared" si="4"/>
        <v>126677008.13876165</v>
      </c>
      <c r="J62" s="33">
        <f t="shared" si="5"/>
        <v>126677008.13876165</v>
      </c>
      <c r="K62" s="19"/>
      <c r="M62" s="33">
        <f t="shared" si="6"/>
        <v>14758486.385098446</v>
      </c>
      <c r="N62" s="33" t="e">
        <f>#REF!*0.04</f>
        <v>#REF!</v>
      </c>
      <c r="O62" s="33">
        <f t="shared" si="0"/>
        <v>13680000</v>
      </c>
      <c r="P62" s="33" t="e">
        <f t="shared" si="1"/>
        <v>#REF!</v>
      </c>
      <c r="Q62" s="33"/>
      <c r="R62" s="33" t="e">
        <f>P62/POWER(1+$B$12,8)</f>
        <v>#REF!</v>
      </c>
      <c r="S62" s="34" t="e">
        <f t="shared" si="2"/>
        <v>#REF!</v>
      </c>
      <c r="T62" s="33" t="e">
        <f t="shared" si="7"/>
        <v>#REF!</v>
      </c>
      <c r="U62" s="19"/>
    </row>
    <row r="63" spans="1:21" hidden="1">
      <c r="A63" s="13">
        <v>10</v>
      </c>
      <c r="B63" s="13">
        <v>68</v>
      </c>
      <c r="C63" s="13"/>
      <c r="D63" s="13"/>
      <c r="E63" s="13"/>
      <c r="F63" s="13"/>
      <c r="G63" s="13"/>
      <c r="H63" s="33">
        <f t="shared" si="3"/>
        <v>130477318.3829245</v>
      </c>
      <c r="I63" s="33">
        <f t="shared" si="4"/>
        <v>130477318.3829245</v>
      </c>
      <c r="J63" s="33">
        <f t="shared" si="5"/>
        <v>130477318.3829245</v>
      </c>
      <c r="K63" s="19"/>
      <c r="M63" s="33">
        <f t="shared" si="6"/>
        <v>15201240.9766514</v>
      </c>
      <c r="N63" s="33" t="e">
        <f>#REF!*0.04</f>
        <v>#REF!</v>
      </c>
      <c r="O63" s="33">
        <f t="shared" si="0"/>
        <v>13680000</v>
      </c>
      <c r="P63" s="33" t="e">
        <f t="shared" si="1"/>
        <v>#REF!</v>
      </c>
      <c r="Q63" s="33"/>
      <c r="R63" s="33" t="e">
        <f>P63/POWER(1+$B$12,9)</f>
        <v>#REF!</v>
      </c>
      <c r="S63" s="34" t="e">
        <f t="shared" si="2"/>
        <v>#REF!</v>
      </c>
      <c r="T63" s="33" t="e">
        <f t="shared" si="7"/>
        <v>#REF!</v>
      </c>
      <c r="U63" s="19"/>
    </row>
    <row r="64" spans="1:21" hidden="1">
      <c r="A64" s="13">
        <v>11</v>
      </c>
      <c r="B64" s="13">
        <v>69</v>
      </c>
      <c r="C64" s="13"/>
      <c r="D64" s="13"/>
      <c r="E64" s="13"/>
      <c r="F64" s="13"/>
      <c r="G64" s="13"/>
      <c r="H64" s="33">
        <f t="shared" si="3"/>
        <v>134391637.93441224</v>
      </c>
      <c r="I64" s="33">
        <f t="shared" si="4"/>
        <v>134391637.93441224</v>
      </c>
      <c r="J64" s="33">
        <f t="shared" si="5"/>
        <v>134391637.93441224</v>
      </c>
      <c r="K64" s="19"/>
      <c r="M64" s="33">
        <f t="shared" si="6"/>
        <v>15657278.20595094</v>
      </c>
      <c r="N64" s="33" t="e">
        <f>#REF!*0.04</f>
        <v>#REF!</v>
      </c>
      <c r="O64" s="33">
        <f t="shared" si="0"/>
        <v>13680000</v>
      </c>
      <c r="P64" s="33" t="e">
        <f t="shared" si="1"/>
        <v>#REF!</v>
      </c>
      <c r="Q64" s="33"/>
      <c r="R64" s="33" t="e">
        <f>P64/POWER(1+$B$12,10)</f>
        <v>#REF!</v>
      </c>
      <c r="S64" s="34" t="e">
        <f t="shared" si="2"/>
        <v>#REF!</v>
      </c>
      <c r="T64" s="33" t="e">
        <f t="shared" si="7"/>
        <v>#REF!</v>
      </c>
      <c r="U64" s="19"/>
    </row>
    <row r="65" spans="1:21" hidden="1">
      <c r="A65" s="13">
        <v>12</v>
      </c>
      <c r="B65" s="13">
        <v>70</v>
      </c>
      <c r="C65" s="13"/>
      <c r="D65" s="13"/>
      <c r="E65" s="13"/>
      <c r="F65" s="13"/>
      <c r="G65" s="13"/>
      <c r="H65" s="33">
        <f t="shared" si="3"/>
        <v>138423387.07244462</v>
      </c>
      <c r="I65" s="33">
        <f t="shared" si="4"/>
        <v>138423387.07244462</v>
      </c>
      <c r="J65" s="33">
        <f t="shared" si="5"/>
        <v>138423387.07244462</v>
      </c>
      <c r="K65" s="19"/>
      <c r="M65" s="33">
        <f t="shared" si="6"/>
        <v>16126996.55212947</v>
      </c>
      <c r="N65" s="33" t="e">
        <f>#REF!*0.04</f>
        <v>#REF!</v>
      </c>
      <c r="O65" s="33">
        <f t="shared" si="0"/>
        <v>13680000</v>
      </c>
      <c r="P65" s="33" t="e">
        <f t="shared" si="1"/>
        <v>#REF!</v>
      </c>
      <c r="Q65" s="33"/>
      <c r="R65" s="33" t="e">
        <f>P65/POWER(1+$B$12,11)</f>
        <v>#REF!</v>
      </c>
      <c r="S65" s="34" t="e">
        <f t="shared" si="2"/>
        <v>#REF!</v>
      </c>
      <c r="T65" s="33" t="e">
        <f t="shared" si="7"/>
        <v>#REF!</v>
      </c>
      <c r="U65" s="19"/>
    </row>
    <row r="66" spans="1:21" hidden="1">
      <c r="A66" s="13">
        <v>13</v>
      </c>
      <c r="B66" s="13">
        <v>71</v>
      </c>
      <c r="C66" s="13"/>
      <c r="D66" s="13"/>
      <c r="E66" s="13"/>
      <c r="F66" s="13"/>
      <c r="G66" s="13"/>
      <c r="H66" s="33">
        <f t="shared" si="3"/>
        <v>142576088.68461797</v>
      </c>
      <c r="I66" s="33">
        <f t="shared" si="4"/>
        <v>142576088.68461797</v>
      </c>
      <c r="J66" s="33">
        <f t="shared" si="5"/>
        <v>142576088.68461797</v>
      </c>
      <c r="K66" s="19"/>
      <c r="M66" s="33">
        <f t="shared" si="6"/>
        <v>16610806.448693354</v>
      </c>
      <c r="N66" s="33" t="e">
        <f>#REF!*0.04</f>
        <v>#REF!</v>
      </c>
      <c r="O66" s="33">
        <f t="shared" si="0"/>
        <v>13680000</v>
      </c>
      <c r="P66" s="33" t="e">
        <f t="shared" si="1"/>
        <v>#REF!</v>
      </c>
      <c r="Q66" s="33"/>
      <c r="R66" s="33" t="e">
        <f>P66/POWER(1+$B$12,12)</f>
        <v>#REF!</v>
      </c>
      <c r="S66" s="34" t="e">
        <f t="shared" si="2"/>
        <v>#REF!</v>
      </c>
      <c r="T66" s="33" t="e">
        <f t="shared" si="7"/>
        <v>#REF!</v>
      </c>
      <c r="U66" s="19"/>
    </row>
    <row r="67" spans="1:21" hidden="1">
      <c r="A67" s="13">
        <v>14</v>
      </c>
      <c r="B67" s="13">
        <v>72</v>
      </c>
      <c r="C67" s="13"/>
      <c r="D67" s="13"/>
      <c r="E67" s="13"/>
      <c r="F67" s="13"/>
      <c r="G67" s="13"/>
      <c r="H67" s="33">
        <f t="shared" si="3"/>
        <v>146853371.34515652</v>
      </c>
      <c r="I67" s="33">
        <f t="shared" si="4"/>
        <v>146853371.34515652</v>
      </c>
      <c r="J67" s="33">
        <f t="shared" si="5"/>
        <v>146853371.34515652</v>
      </c>
      <c r="K67" s="19"/>
      <c r="M67" s="33">
        <f t="shared" si="6"/>
        <v>17109130.642154153</v>
      </c>
      <c r="N67" s="33" t="e">
        <f>#REF!*0.04</f>
        <v>#REF!</v>
      </c>
      <c r="O67" s="33">
        <f t="shared" si="0"/>
        <v>13680000</v>
      </c>
      <c r="P67" s="33" t="e">
        <f t="shared" si="1"/>
        <v>#REF!</v>
      </c>
      <c r="Q67" s="33"/>
      <c r="R67" s="33" t="e">
        <f>P67/POWER(1+$B$12,13)</f>
        <v>#REF!</v>
      </c>
      <c r="S67" s="34" t="e">
        <f t="shared" si="2"/>
        <v>#REF!</v>
      </c>
      <c r="T67" s="33" t="e">
        <f t="shared" si="7"/>
        <v>#REF!</v>
      </c>
      <c r="U67" s="19"/>
    </row>
    <row r="68" spans="1:21" hidden="1">
      <c r="A68" s="13">
        <v>15</v>
      </c>
      <c r="B68" s="13">
        <v>73</v>
      </c>
      <c r="C68" s="13"/>
      <c r="D68" s="13"/>
      <c r="E68" s="13"/>
      <c r="F68" s="13"/>
      <c r="G68" s="13"/>
      <c r="H68" s="33">
        <f t="shared" si="3"/>
        <v>151258972.48551124</v>
      </c>
      <c r="I68" s="33">
        <f t="shared" si="4"/>
        <v>151258972.48551124</v>
      </c>
      <c r="J68" s="33">
        <f t="shared" si="5"/>
        <v>151258972.48551124</v>
      </c>
      <c r="K68" s="19"/>
      <c r="M68" s="33">
        <f t="shared" si="6"/>
        <v>17622404.561418783</v>
      </c>
      <c r="N68" s="33" t="e">
        <f>#REF!*0.04</f>
        <v>#REF!</v>
      </c>
      <c r="O68" s="33">
        <f t="shared" si="0"/>
        <v>13680000</v>
      </c>
      <c r="P68" s="33" t="e">
        <f t="shared" si="1"/>
        <v>#REF!</v>
      </c>
      <c r="Q68" s="33"/>
      <c r="R68" s="33" t="e">
        <f>P68/POWER(1+$B$12,14)</f>
        <v>#REF!</v>
      </c>
      <c r="S68" s="34" t="e">
        <f t="shared" si="2"/>
        <v>#REF!</v>
      </c>
      <c r="T68" s="33" t="e">
        <f t="shared" si="7"/>
        <v>#REF!</v>
      </c>
      <c r="U68" s="19"/>
    </row>
    <row r="69" spans="1:21" hidden="1">
      <c r="A69" s="14">
        <v>16</v>
      </c>
      <c r="B69" s="14">
        <v>74</v>
      </c>
      <c r="C69" s="14"/>
      <c r="D69" s="14"/>
      <c r="E69" s="14"/>
      <c r="F69" s="14"/>
      <c r="G69" s="14"/>
      <c r="H69" s="19">
        <f t="shared" si="3"/>
        <v>155796741.66007659</v>
      </c>
      <c r="I69" s="19">
        <f t="shared" si="4"/>
        <v>155796741.66007659</v>
      </c>
      <c r="J69" s="19">
        <f t="shared" si="5"/>
        <v>155796741.66007659</v>
      </c>
      <c r="K69" s="19"/>
      <c r="M69" s="19">
        <f t="shared" si="6"/>
        <v>18151076.69826135</v>
      </c>
      <c r="N69" s="19" t="e">
        <f>#REF!*0.04</f>
        <v>#REF!</v>
      </c>
      <c r="O69" s="19">
        <f t="shared" si="0"/>
        <v>13680000</v>
      </c>
      <c r="P69" s="19" t="e">
        <f t="shared" si="1"/>
        <v>#REF!</v>
      </c>
      <c r="Q69" s="19"/>
      <c r="R69" s="19" t="e">
        <f>P69/POWER(1+$B$12,15)</f>
        <v>#REF!</v>
      </c>
      <c r="S69" s="35" t="e">
        <f t="shared" si="2"/>
        <v>#REF!</v>
      </c>
      <c r="T69" s="19" t="e">
        <f t="shared" si="7"/>
        <v>#REF!</v>
      </c>
      <c r="U69" s="19"/>
    </row>
    <row r="70" spans="1:21" hidden="1">
      <c r="A70" s="14">
        <v>17</v>
      </c>
      <c r="B70" s="14">
        <v>75</v>
      </c>
      <c r="C70" s="14"/>
      <c r="D70" s="14"/>
      <c r="E70" s="14"/>
      <c r="F70" s="14"/>
      <c r="G70" s="14"/>
      <c r="H70" s="19">
        <f t="shared" si="3"/>
        <v>160470643.90987891</v>
      </c>
      <c r="I70" s="19">
        <f t="shared" si="4"/>
        <v>160470643.90987891</v>
      </c>
      <c r="J70" s="19">
        <f t="shared" si="5"/>
        <v>160470643.90987891</v>
      </c>
      <c r="K70" s="19"/>
      <c r="M70" s="19">
        <f t="shared" si="6"/>
        <v>18695608.999209192</v>
      </c>
      <c r="N70" s="19" t="e">
        <f>#REF!*0.04</f>
        <v>#REF!</v>
      </c>
      <c r="O70" s="19">
        <f t="shared" si="0"/>
        <v>13680000</v>
      </c>
      <c r="P70" s="19" t="e">
        <f t="shared" si="1"/>
        <v>#REF!</v>
      </c>
      <c r="Q70" s="19"/>
      <c r="R70" s="19" t="e">
        <f>P70/POWER(1+$B$12,16)</f>
        <v>#REF!</v>
      </c>
      <c r="S70" s="35" t="e">
        <f t="shared" si="2"/>
        <v>#REF!</v>
      </c>
      <c r="T70" s="19" t="e">
        <f t="shared" si="7"/>
        <v>#REF!</v>
      </c>
      <c r="U70" s="19"/>
    </row>
    <row r="71" spans="1:21" hidden="1">
      <c r="A71" s="14">
        <v>18</v>
      </c>
      <c r="B71" s="14">
        <v>76</v>
      </c>
      <c r="C71" s="14"/>
      <c r="D71" s="14"/>
      <c r="E71" s="14"/>
      <c r="F71" s="14"/>
      <c r="G71" s="14"/>
      <c r="H71" s="19">
        <f t="shared" si="3"/>
        <v>165284763.2271753</v>
      </c>
      <c r="I71" s="19">
        <f t="shared" si="4"/>
        <v>165284763.2271753</v>
      </c>
      <c r="J71" s="19">
        <f t="shared" si="5"/>
        <v>165284763.2271753</v>
      </c>
      <c r="K71" s="19"/>
      <c r="M71" s="19">
        <f t="shared" si="6"/>
        <v>19256477.269185469</v>
      </c>
      <c r="N71" s="19" t="e">
        <f>#REF!*0.04</f>
        <v>#REF!</v>
      </c>
      <c r="O71" s="19">
        <f t="shared" si="0"/>
        <v>13680000</v>
      </c>
      <c r="P71" s="19" t="e">
        <f t="shared" si="1"/>
        <v>#REF!</v>
      </c>
      <c r="Q71" s="19"/>
      <c r="R71" s="19" t="e">
        <f>P71/POWER(1+$B$12,17)</f>
        <v>#REF!</v>
      </c>
      <c r="S71" s="35" t="e">
        <f t="shared" si="2"/>
        <v>#REF!</v>
      </c>
      <c r="T71" s="19" t="e">
        <f t="shared" si="7"/>
        <v>#REF!</v>
      </c>
      <c r="U71" s="19"/>
    </row>
    <row r="72" spans="1:21" hidden="1">
      <c r="A72" s="14">
        <v>19</v>
      </c>
      <c r="B72" s="14">
        <v>77</v>
      </c>
      <c r="C72" s="14"/>
      <c r="D72" s="14"/>
      <c r="E72" s="14"/>
      <c r="F72" s="14"/>
      <c r="G72" s="14"/>
      <c r="H72" s="19">
        <f t="shared" si="3"/>
        <v>170243306.12399057</v>
      </c>
      <c r="I72" s="19">
        <f t="shared" si="4"/>
        <v>170243306.12399057</v>
      </c>
      <c r="J72" s="19">
        <f t="shared" si="5"/>
        <v>170243306.12399057</v>
      </c>
      <c r="K72" s="19"/>
      <c r="M72" s="19">
        <f t="shared" si="6"/>
        <v>19834171.587261036</v>
      </c>
      <c r="N72" s="19" t="e">
        <f>#REF!*0.04</f>
        <v>#REF!</v>
      </c>
      <c r="O72" s="19">
        <f t="shared" si="0"/>
        <v>13680000</v>
      </c>
      <c r="P72" s="19" t="e">
        <f t="shared" si="1"/>
        <v>#REF!</v>
      </c>
      <c r="Q72" s="19"/>
      <c r="R72" s="19" t="e">
        <f>P72/POWER(1+$B$12,18)</f>
        <v>#REF!</v>
      </c>
      <c r="S72" s="35" t="e">
        <f t="shared" si="2"/>
        <v>#REF!</v>
      </c>
      <c r="T72" s="19" t="e">
        <f t="shared" si="7"/>
        <v>#REF!</v>
      </c>
      <c r="U72" s="19"/>
    </row>
    <row r="73" spans="1:21" hidden="1">
      <c r="A73" s="14">
        <v>20</v>
      </c>
      <c r="B73" s="14">
        <v>78</v>
      </c>
      <c r="C73" s="14"/>
      <c r="D73" s="14"/>
      <c r="E73" s="14"/>
      <c r="F73" s="14"/>
      <c r="G73" s="14"/>
      <c r="H73" s="19">
        <f t="shared" si="3"/>
        <v>175350605.30771029</v>
      </c>
      <c r="I73" s="19">
        <f t="shared" si="4"/>
        <v>175350605.30771029</v>
      </c>
      <c r="J73" s="19">
        <f t="shared" si="5"/>
        <v>175350605.30771029</v>
      </c>
      <c r="K73" s="19"/>
      <c r="M73" s="19">
        <f t="shared" si="6"/>
        <v>20429196.734878868</v>
      </c>
      <c r="N73" s="19" t="e">
        <f>#REF!*0.04</f>
        <v>#REF!</v>
      </c>
      <c r="O73" s="19">
        <f t="shared" si="0"/>
        <v>13680000</v>
      </c>
      <c r="P73" s="19" t="e">
        <f t="shared" si="1"/>
        <v>#REF!</v>
      </c>
      <c r="Q73" s="19"/>
      <c r="R73" s="19" t="e">
        <f>P73/POWER(1+$B$12,19)</f>
        <v>#REF!</v>
      </c>
      <c r="S73" s="35" t="e">
        <f t="shared" si="2"/>
        <v>#REF!</v>
      </c>
      <c r="T73" s="19" t="e">
        <f t="shared" si="7"/>
        <v>#REF!</v>
      </c>
      <c r="U73" s="19"/>
    </row>
    <row r="74" spans="1:21" hidden="1">
      <c r="A74" s="14">
        <v>21</v>
      </c>
      <c r="B74" s="14">
        <v>79</v>
      </c>
      <c r="C74" s="14"/>
      <c r="D74" s="14"/>
      <c r="E74" s="14"/>
      <c r="F74" s="14"/>
      <c r="G74" s="14"/>
      <c r="H74" s="19">
        <f t="shared" si="3"/>
        <v>180611123.46694162</v>
      </c>
      <c r="I74" s="19">
        <f t="shared" si="4"/>
        <v>180611123.46694162</v>
      </c>
      <c r="J74" s="19">
        <f t="shared" si="5"/>
        <v>180611123.46694162</v>
      </c>
      <c r="K74" s="19"/>
      <c r="M74" s="19">
        <f t="shared" si="6"/>
        <v>21042072.636925235</v>
      </c>
      <c r="N74" s="19" t="e">
        <f>#REF!*0.04</f>
        <v>#REF!</v>
      </c>
      <c r="O74" s="19">
        <f t="shared" si="0"/>
        <v>13680000</v>
      </c>
      <c r="P74" s="19" t="e">
        <f t="shared" si="1"/>
        <v>#REF!</v>
      </c>
      <c r="Q74" s="19"/>
      <c r="R74" s="19" t="e">
        <f>P74/POWER(1+$B$12,20)</f>
        <v>#REF!</v>
      </c>
      <c r="S74" s="35" t="e">
        <f t="shared" si="2"/>
        <v>#REF!</v>
      </c>
      <c r="T74" s="19" t="e">
        <f t="shared" si="7"/>
        <v>#REF!</v>
      </c>
      <c r="U74" s="19"/>
    </row>
    <row r="75" spans="1:21" hidden="1">
      <c r="A75" s="14">
        <v>22</v>
      </c>
      <c r="B75" s="14">
        <v>80</v>
      </c>
      <c r="C75" s="14"/>
      <c r="D75" s="14"/>
      <c r="E75" s="14"/>
      <c r="F75" s="14"/>
      <c r="G75" s="14"/>
      <c r="H75" s="19">
        <f t="shared" si="3"/>
        <v>186029457.17094988</v>
      </c>
      <c r="I75" s="19">
        <f t="shared" si="4"/>
        <v>186029457.17094988</v>
      </c>
      <c r="J75" s="19">
        <f t="shared" si="5"/>
        <v>186029457.17094988</v>
      </c>
      <c r="K75" s="19"/>
      <c r="M75" s="19">
        <f t="shared" si="6"/>
        <v>21673334.816032998</v>
      </c>
      <c r="N75" s="19" t="e">
        <f>#REF!*0.04</f>
        <v>#REF!</v>
      </c>
      <c r="O75" s="19">
        <f t="shared" si="0"/>
        <v>13680000</v>
      </c>
      <c r="P75" s="19" t="e">
        <f t="shared" si="1"/>
        <v>#REF!</v>
      </c>
      <c r="Q75" s="19"/>
      <c r="R75" s="19" t="e">
        <f>P75/POWER(1+$B$12,21)</f>
        <v>#REF!</v>
      </c>
      <c r="S75" s="35" t="e">
        <f t="shared" si="2"/>
        <v>#REF!</v>
      </c>
      <c r="T75" s="19" t="e">
        <f t="shared" si="7"/>
        <v>#REF!</v>
      </c>
      <c r="U75" s="19"/>
    </row>
    <row r="76" spans="1:21" hidden="1">
      <c r="A76" s="14">
        <v>23</v>
      </c>
      <c r="B76" s="14">
        <v>81</v>
      </c>
      <c r="C76" s="14"/>
      <c r="D76" s="14"/>
      <c r="E76" s="14"/>
      <c r="F76" s="14"/>
      <c r="G76" s="14"/>
      <c r="H76" s="19">
        <f t="shared" si="3"/>
        <v>191610340.88607839</v>
      </c>
      <c r="I76" s="19">
        <f t="shared" si="4"/>
        <v>191610340.88607839</v>
      </c>
      <c r="J76" s="19">
        <f t="shared" si="5"/>
        <v>191610340.88607839</v>
      </c>
      <c r="K76" s="19"/>
      <c r="M76" s="19">
        <f t="shared" si="6"/>
        <v>22323534.860513981</v>
      </c>
      <c r="N76" s="19" t="e">
        <f>#REF!*0.04</f>
        <v>#REF!</v>
      </c>
      <c r="O76" s="19">
        <f t="shared" si="0"/>
        <v>13680000</v>
      </c>
      <c r="P76" s="19" t="e">
        <f t="shared" si="1"/>
        <v>#REF!</v>
      </c>
      <c r="Q76" s="19"/>
      <c r="R76" s="19" t="e">
        <f>P76/POWER(1+$B$12,22)</f>
        <v>#REF!</v>
      </c>
      <c r="S76" s="35" t="e">
        <f t="shared" si="2"/>
        <v>#REF!</v>
      </c>
      <c r="T76" s="19" t="e">
        <f t="shared" si="7"/>
        <v>#REF!</v>
      </c>
      <c r="U76" s="19"/>
    </row>
    <row r="77" spans="1:21" hidden="1">
      <c r="A77" s="14">
        <v>24</v>
      </c>
      <c r="B77" s="14">
        <v>82</v>
      </c>
      <c r="C77" s="14"/>
      <c r="D77" s="14"/>
      <c r="E77" s="14"/>
      <c r="F77" s="14"/>
      <c r="G77" s="14"/>
      <c r="H77" s="19">
        <f t="shared" si="3"/>
        <v>197358651.11266077</v>
      </c>
      <c r="I77" s="19">
        <f t="shared" si="4"/>
        <v>197358651.11266077</v>
      </c>
      <c r="J77" s="19">
        <f t="shared" si="5"/>
        <v>197358651.11266077</v>
      </c>
      <c r="K77" s="19"/>
      <c r="M77" s="19">
        <f t="shared" si="6"/>
        <v>22993240.906329408</v>
      </c>
      <c r="N77" s="19" t="e">
        <f>#REF!*0.04</f>
        <v>#REF!</v>
      </c>
      <c r="O77" s="19">
        <f t="shared" si="0"/>
        <v>13680000</v>
      </c>
      <c r="P77" s="19" t="e">
        <f t="shared" si="1"/>
        <v>#REF!</v>
      </c>
      <c r="Q77" s="19"/>
      <c r="R77" s="19" t="e">
        <f>P77/POWER(1+$B$12,23)</f>
        <v>#REF!</v>
      </c>
      <c r="S77" s="35" t="e">
        <f t="shared" si="2"/>
        <v>#REF!</v>
      </c>
      <c r="T77" s="19" t="e">
        <f t="shared" si="7"/>
        <v>#REF!</v>
      </c>
      <c r="U77" s="19"/>
    </row>
    <row r="78" spans="1:21" hidden="1">
      <c r="A78" s="14">
        <v>25</v>
      </c>
      <c r="B78" s="14">
        <v>83</v>
      </c>
      <c r="C78" s="14"/>
      <c r="D78" s="14"/>
      <c r="E78" s="14"/>
      <c r="F78" s="14"/>
      <c r="G78" s="14"/>
      <c r="H78" s="19">
        <f t="shared" si="3"/>
        <v>203279410.64604059</v>
      </c>
      <c r="I78" s="19">
        <f t="shared" si="4"/>
        <v>203279410.64604059</v>
      </c>
      <c r="J78" s="19">
        <f t="shared" si="5"/>
        <v>203279410.64604059</v>
      </c>
      <c r="K78" s="19"/>
      <c r="M78" s="19">
        <f t="shared" si="6"/>
        <v>23683038.133519292</v>
      </c>
      <c r="N78" s="19" t="e">
        <f>#REF!*0.04</f>
        <v>#REF!</v>
      </c>
      <c r="O78" s="19">
        <f t="shared" si="0"/>
        <v>13680000</v>
      </c>
      <c r="P78" s="19" t="e">
        <f t="shared" si="1"/>
        <v>#REF!</v>
      </c>
      <c r="Q78" s="19"/>
      <c r="R78" s="19" t="e">
        <f>P78/POWER(1+$B$12,24)</f>
        <v>#REF!</v>
      </c>
      <c r="S78" s="35" t="e">
        <f t="shared" si="2"/>
        <v>#REF!</v>
      </c>
      <c r="T78" s="19" t="e">
        <f t="shared" si="7"/>
        <v>#REF!</v>
      </c>
      <c r="U78" s="19"/>
    </row>
    <row r="79" spans="1:21" hidden="1">
      <c r="A79" s="24" t="s">
        <v>112</v>
      </c>
      <c r="H79" s="19"/>
      <c r="I79" s="19"/>
      <c r="J79" s="19"/>
      <c r="K79" s="19"/>
      <c r="L79" s="19"/>
      <c r="M79" s="19"/>
      <c r="N79" s="19"/>
      <c r="O79" s="19"/>
      <c r="P79" s="36" t="e">
        <f>SUM(P54:P78)</f>
        <v>#REF!</v>
      </c>
      <c r="Q79" s="36"/>
      <c r="R79" s="36" t="e">
        <f>SUM(R54:R78)</f>
        <v>#REF!</v>
      </c>
      <c r="S79" s="35"/>
      <c r="T79" s="36" t="e">
        <f>T78</f>
        <v>#REF!</v>
      </c>
      <c r="U79" s="36"/>
    </row>
    <row r="80" spans="1:21">
      <c r="H80" s="19"/>
      <c r="I80" s="19">
        <f>6000000+3000000</f>
        <v>9000000</v>
      </c>
      <c r="J80" s="19" t="s">
        <v>129</v>
      </c>
      <c r="K80" s="19"/>
      <c r="L80" s="19">
        <v>20000000</v>
      </c>
      <c r="M80" s="19"/>
      <c r="N80" s="19"/>
      <c r="O80" s="19"/>
      <c r="P80" s="19"/>
      <c r="Q80" s="19"/>
      <c r="R80" s="19"/>
      <c r="S80" s="35"/>
      <c r="T80" s="19"/>
      <c r="U80" s="19"/>
    </row>
    <row r="81" spans="1:28">
      <c r="A81" s="129" t="s">
        <v>113</v>
      </c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62"/>
    </row>
    <row r="82" spans="1:28" ht="19.5" customHeight="1">
      <c r="A82" s="38" t="s">
        <v>33</v>
      </c>
      <c r="B82" s="38" t="s">
        <v>34</v>
      </c>
      <c r="C82" s="38" t="s">
        <v>126</v>
      </c>
      <c r="D82" s="38" t="s">
        <v>121</v>
      </c>
      <c r="E82" s="38" t="s">
        <v>124</v>
      </c>
      <c r="F82" s="37" t="s">
        <v>125</v>
      </c>
      <c r="G82" s="38" t="s">
        <v>119</v>
      </c>
      <c r="H82" s="39" t="s">
        <v>35</v>
      </c>
      <c r="I82" s="39" t="s">
        <v>141</v>
      </c>
      <c r="J82" s="39" t="s">
        <v>37</v>
      </c>
      <c r="K82" s="39" t="s">
        <v>142</v>
      </c>
      <c r="L82" s="39" t="s">
        <v>143</v>
      </c>
      <c r="M82" s="39" t="s">
        <v>38</v>
      </c>
      <c r="N82" s="39" t="s">
        <v>109</v>
      </c>
      <c r="O82" s="39" t="s">
        <v>39</v>
      </c>
      <c r="P82" s="39" t="s">
        <v>144</v>
      </c>
      <c r="Q82" s="39" t="s">
        <v>145</v>
      </c>
      <c r="R82" s="39" t="s">
        <v>111</v>
      </c>
      <c r="S82" s="40" t="s">
        <v>40</v>
      </c>
      <c r="T82" s="39" t="s">
        <v>41</v>
      </c>
      <c r="U82" s="39" t="s">
        <v>132</v>
      </c>
      <c r="V82" s="39" t="s">
        <v>131</v>
      </c>
      <c r="W82" s="39" t="s">
        <v>127</v>
      </c>
      <c r="X82" s="39" t="s">
        <v>134</v>
      </c>
      <c r="Y82" s="39" t="s">
        <v>130</v>
      </c>
      <c r="Z82" s="73" t="s">
        <v>133</v>
      </c>
      <c r="AA82" s="74">
        <v>700000000</v>
      </c>
    </row>
    <row r="83" spans="1:28">
      <c r="A83" s="31">
        <v>-6</v>
      </c>
      <c r="B83" s="41">
        <v>52</v>
      </c>
      <c r="C83" s="50">
        <f>D83+E83+F83+G83</f>
        <v>891384748</v>
      </c>
      <c r="D83" s="42">
        <v>514753229</v>
      </c>
      <c r="E83" s="42">
        <v>228537719</v>
      </c>
      <c r="F83" s="42">
        <v>49597939</v>
      </c>
      <c r="G83" s="42">
        <v>98495861</v>
      </c>
      <c r="H83" s="42">
        <v>73000000</v>
      </c>
      <c r="I83" s="43">
        <v>27257887</v>
      </c>
      <c r="J83" s="42">
        <v>58527425</v>
      </c>
      <c r="K83" s="42">
        <v>0</v>
      </c>
      <c r="L83" s="42">
        <v>0</v>
      </c>
      <c r="M83" s="42"/>
      <c r="N83" s="42"/>
      <c r="O83" s="42"/>
      <c r="P83" s="42"/>
      <c r="Q83" s="42"/>
      <c r="R83" s="42"/>
      <c r="S83" s="44"/>
      <c r="T83" s="45"/>
      <c r="U83" s="45"/>
      <c r="V83" s="42">
        <v>550000000</v>
      </c>
      <c r="W83" s="42">
        <v>208000000</v>
      </c>
      <c r="X83" s="42">
        <v>20000000</v>
      </c>
      <c r="Y83" s="33">
        <f>X83+W83+V83+L83+J83+I83+H83+C83+K83</f>
        <v>1828170060</v>
      </c>
      <c r="Z83" s="63" t="s">
        <v>127</v>
      </c>
      <c r="AA83" s="42">
        <f>-100000000</f>
        <v>-100000000</v>
      </c>
    </row>
    <row r="84" spans="1:28">
      <c r="A84" s="31">
        <v>-5</v>
      </c>
      <c r="B84" s="92" t="s">
        <v>154</v>
      </c>
      <c r="C84" s="50">
        <f>D84+E84+F84+G84</f>
        <v>989877254.49000001</v>
      </c>
      <c r="D84" s="42">
        <f>404913229*(1+B$42)</f>
        <v>469699345.63999999</v>
      </c>
      <c r="E84" s="50">
        <f>318831827*(1+B$43)</f>
        <v>357091646.24000001</v>
      </c>
      <c r="F84" s="50">
        <f>51597939*(1+D$42)</f>
        <v>55725774.120000005</v>
      </c>
      <c r="G84" s="42">
        <f>G83*(1+D$43)</f>
        <v>107360488.49000001</v>
      </c>
      <c r="H84" s="42">
        <f>H83*(1+C$26)</f>
        <v>77745000</v>
      </c>
      <c r="I84" s="43">
        <f>(I83+18000000)*(1+C$27)</f>
        <v>48199649.655000001</v>
      </c>
      <c r="J84" s="42">
        <f>(J83+9600000)*(1+$C$27)</f>
        <v>72555707.625</v>
      </c>
      <c r="K84" s="42">
        <f>40000000*(1+$B$10)</f>
        <v>42800000</v>
      </c>
      <c r="L84" s="42">
        <f>40000000*(1+$B$10)</f>
        <v>42800000</v>
      </c>
      <c r="M84" s="42"/>
      <c r="N84" s="42"/>
      <c r="O84" s="42"/>
      <c r="P84" s="42"/>
      <c r="Q84" s="42"/>
      <c r="R84" s="42"/>
      <c r="S84" s="44"/>
      <c r="T84" s="45"/>
      <c r="U84" s="45"/>
      <c r="V84" s="42">
        <v>550000000</v>
      </c>
      <c r="W84" s="42">
        <v>168000000</v>
      </c>
      <c r="X84" s="42">
        <v>20000000</v>
      </c>
      <c r="Y84" s="33">
        <f>X84+W84+V84+L84+J84+I84+H84+C84+K84</f>
        <v>2011977611.77</v>
      </c>
      <c r="Z84" s="63" t="s">
        <v>134</v>
      </c>
      <c r="AA84" s="42">
        <f>-X86</f>
        <v>-20000000</v>
      </c>
      <c r="AB84" s="78">
        <f>Y84/Y83-1</f>
        <v>0.10054182364741271</v>
      </c>
    </row>
    <row r="85" spans="1:28">
      <c r="A85" s="31">
        <v>-4</v>
      </c>
      <c r="B85" s="77">
        <v>54</v>
      </c>
      <c r="C85" s="50">
        <f>D85+E85+F85+G85</f>
        <v>1038305917.0626191</v>
      </c>
      <c r="D85" s="88">
        <f>((C84-U85)*47%)*(1+B$42)-38000000</f>
        <v>479873079.14794797</v>
      </c>
      <c r="E85" s="89">
        <f>(C84-U85)*36%*(1+B$43)</f>
        <v>382990509.01036805</v>
      </c>
      <c r="F85" s="89">
        <f>(C84-U85)*6%*(1+D$42)</f>
        <v>61552046.090952002</v>
      </c>
      <c r="G85" s="88">
        <f>(C84-U85)*11%*(1+D$43)</f>
        <v>113890282.81335101</v>
      </c>
      <c r="H85" s="42">
        <f t="shared" ref="H85:H89" si="8">H84*(1+C$26)</f>
        <v>82798425</v>
      </c>
      <c r="I85" s="43">
        <f>(I84+18000000)*(1+C$27)</f>
        <v>70502626.88257499</v>
      </c>
      <c r="J85" s="42">
        <f>(J84+9600000)*(1+$C$27)</f>
        <v>87495828.620624989</v>
      </c>
      <c r="K85" s="42">
        <f t="shared" ref="K85:L87" si="9">(K84+20000000)*(1+$B$10)</f>
        <v>67196000</v>
      </c>
      <c r="L85" s="42">
        <f t="shared" si="9"/>
        <v>67196000</v>
      </c>
      <c r="M85" s="42"/>
      <c r="N85" s="42"/>
      <c r="O85" s="42"/>
      <c r="P85" s="42"/>
      <c r="Q85" s="42"/>
      <c r="R85" s="42"/>
      <c r="S85" s="44"/>
      <c r="T85" s="45"/>
      <c r="U85" s="80">
        <v>40000000</v>
      </c>
      <c r="V85" s="42">
        <v>550000000</v>
      </c>
      <c r="W85" s="42">
        <v>148000000</v>
      </c>
      <c r="X85" s="42">
        <v>20000000</v>
      </c>
      <c r="Y85" s="33">
        <f t="shared" ref="Y85:Y102" si="10">X85+W85+V85+L85+J85+I85+H85+C85+K85+U85</f>
        <v>2171494797.5658193</v>
      </c>
      <c r="Z85" s="63" t="s">
        <v>140</v>
      </c>
      <c r="AA85" s="42">
        <v>-550000000</v>
      </c>
      <c r="AB85" s="78">
        <f t="shared" ref="AB85:AB89" si="11">Y85/Y84-1</f>
        <v>7.9283777743176298E-2</v>
      </c>
    </row>
    <row r="86" spans="1:28">
      <c r="A86" s="31">
        <v>-3</v>
      </c>
      <c r="B86" s="77">
        <v>55</v>
      </c>
      <c r="C86" s="50">
        <f t="shared" ref="C86:C87" si="12">D86+E86+F86+G86</f>
        <v>1138504434.6236537</v>
      </c>
      <c r="D86" s="42">
        <f>(C85*47%)*(1+B$42)-38000000</f>
        <v>528084385.98253989</v>
      </c>
      <c r="E86" s="50">
        <f>(C85)*36%*(1+B$43)</f>
        <v>418644945.75964803</v>
      </c>
      <c r="F86" s="50">
        <f>(C85)*6%*(1+D$42)</f>
        <v>67282223.425657719</v>
      </c>
      <c r="G86" s="42">
        <f>(C85)*11%*(1+D$43)</f>
        <v>124492879.45580803</v>
      </c>
      <c r="H86" s="42">
        <f t="shared" si="8"/>
        <v>88180322.625</v>
      </c>
      <c r="I86" s="43">
        <f>(I85+18000000)*(1+C$27)</f>
        <v>94255297.629942358</v>
      </c>
      <c r="J86" s="42">
        <f>(J85+9600000)*(1+$C$27)</f>
        <v>103407057.48096561</v>
      </c>
      <c r="K86" s="42">
        <f t="shared" si="9"/>
        <v>93299720</v>
      </c>
      <c r="L86" s="42">
        <f t="shared" si="9"/>
        <v>93299720</v>
      </c>
      <c r="M86" s="42"/>
      <c r="N86" s="42"/>
      <c r="O86" s="42"/>
      <c r="P86" s="42"/>
      <c r="Q86" s="42"/>
      <c r="R86" s="42"/>
      <c r="S86" s="44"/>
      <c r="T86" s="45"/>
      <c r="U86" s="43">
        <f>U85*(1+F$42)</f>
        <v>46000000</v>
      </c>
      <c r="V86" s="42">
        <v>550000000</v>
      </c>
      <c r="W86" s="42">
        <v>128000000</v>
      </c>
      <c r="X86" s="42">
        <v>20000000</v>
      </c>
      <c r="Y86" s="33">
        <f t="shared" si="10"/>
        <v>2354946552.3595619</v>
      </c>
      <c r="Z86" s="63" t="s">
        <v>135</v>
      </c>
      <c r="AA86" s="42">
        <v>-30000000</v>
      </c>
      <c r="AB86" s="78">
        <f t="shared" si="11"/>
        <v>8.4481784160563844E-2</v>
      </c>
    </row>
    <row r="87" spans="1:28">
      <c r="A87" s="65">
        <v>-2</v>
      </c>
      <c r="B87" s="77">
        <v>56</v>
      </c>
      <c r="C87" s="66">
        <f t="shared" si="12"/>
        <v>1218046374.872062</v>
      </c>
      <c r="D87" s="67">
        <f>((C86-30000000)*47%)*(1+B$42)-38000000</f>
        <v>566356617.75681591</v>
      </c>
      <c r="E87" s="66">
        <f>((C86-30000000))*36%*(1+B$43)</f>
        <v>446948988.04025722</v>
      </c>
      <c r="F87" s="66">
        <f>((C86-30000000))*6%*(1+D$42)</f>
        <v>71831087.363612756</v>
      </c>
      <c r="G87" s="67">
        <f>((C86-30000000))*11%*(1+D$43)</f>
        <v>132909681.71137609</v>
      </c>
      <c r="H87" s="67">
        <f t="shared" si="8"/>
        <v>93912043.595624998</v>
      </c>
      <c r="I87" s="68">
        <f>(I86+18000000)*(1+C$27)</f>
        <v>119551891.97588861</v>
      </c>
      <c r="J87" s="67">
        <f>(J86+9600000)*(1+$C$27)</f>
        <v>120352516.21722837</v>
      </c>
      <c r="K87" s="67">
        <f t="shared" si="9"/>
        <v>121230700.40000001</v>
      </c>
      <c r="L87" s="67">
        <f t="shared" si="9"/>
        <v>121230700.40000001</v>
      </c>
      <c r="M87" s="67"/>
      <c r="N87" s="67"/>
      <c r="O87" s="67"/>
      <c r="P87" s="67"/>
      <c r="Q87" s="67"/>
      <c r="R87" s="67"/>
      <c r="S87" s="69"/>
      <c r="T87" s="70"/>
      <c r="U87" s="76">
        <f>U86*(1+F$42)</f>
        <v>52899999.999999993</v>
      </c>
      <c r="V87" s="67">
        <v>700000000</v>
      </c>
      <c r="W87" s="67">
        <v>8000000</v>
      </c>
      <c r="X87" s="67">
        <v>0</v>
      </c>
      <c r="Y87" s="33">
        <f t="shared" si="10"/>
        <v>2555224227.460804</v>
      </c>
      <c r="Z87" s="63" t="s">
        <v>137</v>
      </c>
      <c r="AA87" s="42"/>
      <c r="AB87" s="78">
        <f t="shared" si="11"/>
        <v>8.5045528910442592E-2</v>
      </c>
    </row>
    <row r="88" spans="1:28">
      <c r="A88" s="31">
        <v>-1</v>
      </c>
      <c r="B88" s="77">
        <v>57</v>
      </c>
      <c r="C88" s="50">
        <f>D88+E88+F88+G88</f>
        <v>1322168347.3675334</v>
      </c>
      <c r="D88" s="42">
        <f>(C87*47%)*(1+B$42)-58000000</f>
        <v>606078883.580248</v>
      </c>
      <c r="E88" s="50">
        <f>(C87)*36%*(1+B$43)</f>
        <v>491116298.34841543</v>
      </c>
      <c r="F88" s="50">
        <f>(C87)*6%*(1+D$42)</f>
        <v>78929405.091709614</v>
      </c>
      <c r="G88" s="42">
        <f>(C87)*11%*(1+D$43)</f>
        <v>146043760.34716025</v>
      </c>
      <c r="H88" s="42">
        <f t="shared" si="8"/>
        <v>100016326.42934062</v>
      </c>
      <c r="I88" s="43">
        <f>(I87+18000000)*(1+C$27)+K87+L87</f>
        <v>388954165.75432134</v>
      </c>
      <c r="J88" s="42">
        <f>(J87+9600000)*(1+$C$27)</f>
        <v>138399429.77134821</v>
      </c>
      <c r="K88" s="42">
        <f>20000000*(1+$B$10)</f>
        <v>21400000</v>
      </c>
      <c r="L88" s="42">
        <f>20000000*(1+$B$10)</f>
        <v>21400000</v>
      </c>
      <c r="M88" s="42"/>
      <c r="N88" s="42"/>
      <c r="O88" s="42"/>
      <c r="P88" s="42"/>
      <c r="Q88" s="42"/>
      <c r="R88" s="42"/>
      <c r="S88" s="44"/>
      <c r="T88" s="45"/>
      <c r="U88" s="43">
        <f>U87*(1+F$42)</f>
        <v>60834999.999999985</v>
      </c>
      <c r="V88" s="42">
        <f>V87</f>
        <v>700000000</v>
      </c>
      <c r="W88" s="42">
        <v>8000000</v>
      </c>
      <c r="X88" s="42">
        <v>0</v>
      </c>
      <c r="Y88" s="33">
        <f t="shared" si="10"/>
        <v>2761173269.3225436</v>
      </c>
      <c r="Z88" s="64" t="s">
        <v>136</v>
      </c>
      <c r="AA88" s="42"/>
      <c r="AB88" s="78">
        <f t="shared" si="11"/>
        <v>8.0599205208067737E-2</v>
      </c>
    </row>
    <row r="89" spans="1:28">
      <c r="A89" s="51">
        <v>0</v>
      </c>
      <c r="B89" s="52">
        <v>58</v>
      </c>
      <c r="C89" s="56">
        <f>D89+E89+F89+G89</f>
        <v>1412824954.4021523</v>
      </c>
      <c r="D89" s="88">
        <f>((C88-40000000)*47%)*(1+B$42)-40000000</f>
        <v>659038182.98477924</v>
      </c>
      <c r="E89" s="89">
        <f>((C88-40000000))*36%*(1+B$43)</f>
        <v>516970277.65858948</v>
      </c>
      <c r="F89" s="89">
        <f>((C88-40000000))*6%*(1+D$42)</f>
        <v>83084508.909416169</v>
      </c>
      <c r="G89" s="88">
        <f>((C88-40000000))*11%*(1+D$43)</f>
        <v>153731984.84936729</v>
      </c>
      <c r="H89" s="46">
        <f t="shared" si="8"/>
        <v>106517387.64724775</v>
      </c>
      <c r="I89" s="53">
        <f>I88*(1+C$27)</f>
        <v>414236186.5283522</v>
      </c>
      <c r="J89" s="46">
        <f>J88*(1+$C$27)</f>
        <v>147395392.70648584</v>
      </c>
      <c r="K89" s="46">
        <f>(K88+20000000)*(1+$B$10)</f>
        <v>44298000</v>
      </c>
      <c r="L89" s="46">
        <f>(L88+20000000)*(1+$B$10)</f>
        <v>44298000</v>
      </c>
      <c r="M89" s="46"/>
      <c r="N89" s="46"/>
      <c r="O89" s="46"/>
      <c r="P89" s="46"/>
      <c r="Q89" s="46">
        <v>100000000</v>
      </c>
      <c r="R89" s="71">
        <f>P89/POWER(1+$B$12,0)+Q89</f>
        <v>100000000</v>
      </c>
      <c r="S89" s="54"/>
      <c r="T89" s="55"/>
      <c r="U89" s="79">
        <f>U88*(1+F$42)+40000000</f>
        <v>109960249.99999997</v>
      </c>
      <c r="V89" s="46">
        <f>V88</f>
        <v>700000000</v>
      </c>
      <c r="W89" s="46">
        <v>8000000</v>
      </c>
      <c r="X89" s="46">
        <v>0</v>
      </c>
      <c r="Y89" s="71">
        <f t="shared" si="10"/>
        <v>2987530171.2842379</v>
      </c>
      <c r="Z89" s="9" t="s">
        <v>147</v>
      </c>
      <c r="AA89" s="19">
        <f>AA82+SUM(AA83:AA88)</f>
        <v>0</v>
      </c>
      <c r="AB89" s="78">
        <f t="shared" si="11"/>
        <v>8.1978521404863169E-2</v>
      </c>
    </row>
    <row r="90" spans="1:28">
      <c r="A90" s="83">
        <v>1</v>
      </c>
      <c r="B90" s="84">
        <v>59</v>
      </c>
      <c r="C90" s="85">
        <f t="shared" ref="C90" si="13">D90+E90+F90+G90</f>
        <v>1560871955.8330786</v>
      </c>
      <c r="D90" s="46">
        <f>(C89*47%)*(1+B$42)-40000000</f>
        <v>730272165.14005339</v>
      </c>
      <c r="E90" s="56">
        <f>(C89)*36%*(1+B$43)</f>
        <v>569651021.6149478</v>
      </c>
      <c r="F90" s="56">
        <f>(C89)*6%*(1+D$42)</f>
        <v>91551057.045259476</v>
      </c>
      <c r="G90" s="46">
        <f>(C89)*11%*(1+D$43)</f>
        <v>169397712.03281808</v>
      </c>
      <c r="H90" s="71">
        <f>H89*(1+C$27)-H89*D$27</f>
        <v>108115148.46195647</v>
      </c>
      <c r="I90" s="86">
        <f>I89*(1+C$27)-I89*D$27</f>
        <v>420449729.32627743</v>
      </c>
      <c r="J90" s="71">
        <f>J89*(1+C$27)-J89*D$27</f>
        <v>149606323.59708312</v>
      </c>
      <c r="K90" s="71">
        <f t="shared" ref="K90:L92" si="14">(K89+20000000)*(1+$C$31)-K89*$D$31</f>
        <v>66583960</v>
      </c>
      <c r="L90" s="71">
        <f t="shared" si="14"/>
        <v>66583960</v>
      </c>
      <c r="M90" s="71">
        <f>(H90+I90+J90)*(D$27*(1-5.5%))</f>
        <v>32043589.265456226</v>
      </c>
      <c r="N90" s="71">
        <f>(K90+L90)*D$26*(1-9.9%)</f>
        <v>5999214.7960000001</v>
      </c>
      <c r="O90" s="71">
        <v>0</v>
      </c>
      <c r="P90" s="71">
        <f>M90+N90+O90</f>
        <v>38042804.061456226</v>
      </c>
      <c r="Q90" s="71">
        <v>60000000</v>
      </c>
      <c r="R90" s="71">
        <f>P90/POWER(1+$B$12,0)+Q90</f>
        <v>98042804.061456233</v>
      </c>
      <c r="S90" s="87">
        <f t="shared" ref="S90:S114" si="15">R90/$R$90*100</f>
        <v>100</v>
      </c>
      <c r="T90" s="71">
        <f>R90</f>
        <v>98042804.061456233</v>
      </c>
      <c r="U90" s="46">
        <f>U89*(1+F$42)</f>
        <v>126454287.49999996</v>
      </c>
      <c r="V90" s="46">
        <f t="shared" ref="V90:V102" si="16">V89</f>
        <v>700000000</v>
      </c>
      <c r="W90" s="46">
        <v>8000000</v>
      </c>
      <c r="X90" s="46">
        <v>0</v>
      </c>
      <c r="Y90" s="71">
        <f t="shared" si="10"/>
        <v>3206665364.7183957</v>
      </c>
      <c r="Z90" s="9" t="s">
        <v>148</v>
      </c>
    </row>
    <row r="91" spans="1:28">
      <c r="A91" s="13">
        <v>2</v>
      </c>
      <c r="B91" s="47">
        <v>60</v>
      </c>
      <c r="C91" s="72">
        <f t="shared" ref="C91:C92" si="17">D91+E91+F91+G91</f>
        <v>1569990013.1544614</v>
      </c>
      <c r="D91" s="88">
        <f>((C90-200000000+$Q90)*47%)*(1+B$42)-40000000</f>
        <v>734659390.32019436</v>
      </c>
      <c r="E91" s="89">
        <f>((C90-200000000+$Q90))*36%*(1+B$43)</f>
        <v>572895572.59189737</v>
      </c>
      <c r="F91" s="89">
        <f>((C90-200000000+$Q90))*6%*(1+D$42)</f>
        <v>92072502.73798351</v>
      </c>
      <c r="G91" s="88">
        <f>((C90-200000000+$Q90))*11%*(1+D$43)</f>
        <v>170362547.50438613</v>
      </c>
      <c r="H91" s="33">
        <f t="shared" ref="H91:H102" si="18">H90*(1+C$27)-H90*D$27</f>
        <v>109736875.68888582</v>
      </c>
      <c r="I91" s="48">
        <f t="shared" ref="I91:I102" si="19">I90*(1+C$27)-I90*D$27</f>
        <v>426756475.26617157</v>
      </c>
      <c r="J91" s="33">
        <f t="shared" ref="J91:J102" si="20">J90*(1+C$27)-J90*D$27</f>
        <v>151850418.45103937</v>
      </c>
      <c r="K91" s="33">
        <f t="shared" si="14"/>
        <v>89315639.200000003</v>
      </c>
      <c r="L91" s="33">
        <f t="shared" si="14"/>
        <v>89315639.200000003</v>
      </c>
      <c r="M91" s="33">
        <f>(H91+I91+J91)*(D$27*(1-5.5%))</f>
        <v>32524243.10443807</v>
      </c>
      <c r="N91" s="33">
        <f t="shared" ref="N91:N114" si="21">(K91+L91)*D$26*(1-9.9%)</f>
        <v>8047339.0919200005</v>
      </c>
      <c r="O91" s="33">
        <v>0</v>
      </c>
      <c r="P91" s="33">
        <f t="shared" ref="P91:P114" si="22">M91+N91+O91</f>
        <v>40571582.19635807</v>
      </c>
      <c r="Q91" s="33">
        <v>60000000</v>
      </c>
      <c r="R91" s="33">
        <f>P91/POWER(1+$B$12,1)+Q91</f>
        <v>99582031.411081046</v>
      </c>
      <c r="S91" s="34">
        <f t="shared" si="15"/>
        <v>101.56995443404493</v>
      </c>
      <c r="T91" s="33">
        <f t="shared" ref="T91:T114" si="23">T90+R91</f>
        <v>197624835.47253728</v>
      </c>
      <c r="U91" s="81">
        <f>U90*(1+F$42)+200000000</f>
        <v>345422430.62499994</v>
      </c>
      <c r="V91" s="42">
        <f t="shared" si="16"/>
        <v>700000000</v>
      </c>
      <c r="W91" s="42">
        <v>8000000</v>
      </c>
      <c r="X91" s="42">
        <v>0</v>
      </c>
      <c r="Y91" s="33">
        <f t="shared" si="10"/>
        <v>3490387491.5855579</v>
      </c>
      <c r="Z91" s="9" t="s">
        <v>146</v>
      </c>
    </row>
    <row r="92" spans="1:28">
      <c r="A92" s="13">
        <v>3</v>
      </c>
      <c r="B92" s="47">
        <v>61</v>
      </c>
      <c r="C92" s="72">
        <f t="shared" si="17"/>
        <v>1672102783.9053202</v>
      </c>
      <c r="D92" s="42">
        <f>((C91-Q92)*47%)*(1+B$42)-40000000</f>
        <v>783791755.17181218</v>
      </c>
      <c r="E92" s="50">
        <f>((C91-Q92))*36%*(1+B$43)</f>
        <v>609231173.3038789</v>
      </c>
      <c r="F92" s="50">
        <f>((C91-Q92))*6%*(1+D$42)</f>
        <v>97912152.852409095</v>
      </c>
      <c r="G92" s="42">
        <f>((C91-Q92))*11%*(1+D$43)</f>
        <v>181167702.57721993</v>
      </c>
      <c r="H92" s="33">
        <f t="shared" si="18"/>
        <v>111382928.82421911</v>
      </c>
      <c r="I92" s="48">
        <f t="shared" si="19"/>
        <v>433157822.39516413</v>
      </c>
      <c r="J92" s="33">
        <f t="shared" si="20"/>
        <v>154128174.72780496</v>
      </c>
      <c r="K92" s="90">
        <f t="shared" si="14"/>
        <v>112501951.98400001</v>
      </c>
      <c r="L92" s="90">
        <f t="shared" si="14"/>
        <v>112501951.98400001</v>
      </c>
      <c r="M92" s="33">
        <f t="shared" ref="M92:M114" si="24">(H92+I92+J92)*(D$27*(1-5.5%))</f>
        <v>33012106.75100464</v>
      </c>
      <c r="N92" s="33">
        <f t="shared" si="21"/>
        <v>10136425.873758402</v>
      </c>
      <c r="O92" s="33">
        <v>0</v>
      </c>
      <c r="P92" s="33">
        <f t="shared" si="22"/>
        <v>43148532.624763042</v>
      </c>
      <c r="Q92" s="33">
        <v>59000000</v>
      </c>
      <c r="R92" s="33">
        <f>P92/POWER(1+$B$12,2)+Q92</f>
        <v>100069394.52684169</v>
      </c>
      <c r="S92" s="34">
        <f t="shared" si="15"/>
        <v>102.06704661783756</v>
      </c>
      <c r="T92" s="33">
        <f t="shared" si="23"/>
        <v>297694229.99937898</v>
      </c>
      <c r="U92" s="42">
        <f>U91*(1+F$42)</f>
        <v>397235795.21874988</v>
      </c>
      <c r="V92" s="42">
        <f t="shared" si="16"/>
        <v>700000000</v>
      </c>
      <c r="W92" s="42">
        <v>8000000</v>
      </c>
      <c r="X92" s="42">
        <v>0</v>
      </c>
      <c r="Y92" s="33">
        <f t="shared" si="10"/>
        <v>3701011409.0392585</v>
      </c>
    </row>
    <row r="93" spans="1:28">
      <c r="A93" s="13">
        <v>4</v>
      </c>
      <c r="B93" s="47">
        <v>62</v>
      </c>
      <c r="C93" s="72">
        <f t="shared" ref="C93:C114" si="25">D93+E93+F93+G93</f>
        <v>1827806764.4431181</v>
      </c>
      <c r="D93" s="42">
        <f>((C92-Q93)*47%)*(1+B$42)</f>
        <v>879463637.78518033</v>
      </c>
      <c r="E93" s="50">
        <f>((C92-Q93))*36%*(1+B$43)</f>
        <v>650403042.47062504</v>
      </c>
      <c r="F93" s="50">
        <f>((C92-Q93))*6%*(1+D$42)</f>
        <v>104529060.39706475</v>
      </c>
      <c r="G93" s="42">
        <f>((C92-Q93))*11%*(1+D$43)</f>
        <v>193411023.79024792</v>
      </c>
      <c r="H93" s="33">
        <f t="shared" si="18"/>
        <v>113053672.75658239</v>
      </c>
      <c r="I93" s="48">
        <f t="shared" si="19"/>
        <v>439655189.73109162</v>
      </c>
      <c r="J93" s="33">
        <f t="shared" si="20"/>
        <v>156440097.34872204</v>
      </c>
      <c r="K93" s="33">
        <f t="shared" ref="K93:K114" si="26">K92*(1+$C$31)-K92*$D$31</f>
        <v>114751991.02368003</v>
      </c>
      <c r="L93" s="33">
        <f t="shared" ref="L93:L102" si="27">L92*(1+C$31)-L92*D$31</f>
        <v>114751991.02368003</v>
      </c>
      <c r="M93" s="33">
        <f t="shared" si="24"/>
        <v>33507288.352269709</v>
      </c>
      <c r="N93" s="33">
        <f t="shared" si="21"/>
        <v>10339154.391233573</v>
      </c>
      <c r="O93" s="33">
        <v>0</v>
      </c>
      <c r="P93" s="33">
        <f t="shared" si="22"/>
        <v>43846442.74350328</v>
      </c>
      <c r="Q93" s="33">
        <v>59000000</v>
      </c>
      <c r="R93" s="33">
        <f>P93/POWER(1+$B$12,3)+Q93</f>
        <v>99715780.902543634</v>
      </c>
      <c r="S93" s="34">
        <f t="shared" si="15"/>
        <v>101.70637392218885</v>
      </c>
      <c r="T93" s="33">
        <f t="shared" si="23"/>
        <v>397410010.90192258</v>
      </c>
      <c r="U93" s="42">
        <f>U92*(1+F$42)</f>
        <v>456821164.50156236</v>
      </c>
      <c r="V93" s="42">
        <f t="shared" si="16"/>
        <v>700000000</v>
      </c>
      <c r="W93" s="42">
        <v>8000000</v>
      </c>
      <c r="X93" s="42">
        <v>0</v>
      </c>
      <c r="Y93" s="33">
        <f t="shared" si="10"/>
        <v>3931280870.8284369</v>
      </c>
    </row>
    <row r="94" spans="1:28">
      <c r="A94" s="13">
        <v>5</v>
      </c>
      <c r="B94" s="82">
        <v>63</v>
      </c>
      <c r="C94" s="72">
        <f t="shared" si="25"/>
        <v>2022364544.7904971</v>
      </c>
      <c r="D94" s="42">
        <f>((C93-$Q94)*47%)*(1+B$42)</f>
        <v>973076647.97438788</v>
      </c>
      <c r="E94" s="50">
        <f>((C93-$Q94))*36%*(1+B$43)</f>
        <v>719634087.42346525</v>
      </c>
      <c r="F94" s="50">
        <f>((C93-$Q94))*6%*(1+D$42)</f>
        <v>115655478.33591406</v>
      </c>
      <c r="G94" s="42">
        <f>((C93-$Q94))*11%*(1+D$43)</f>
        <v>213998331.05672988</v>
      </c>
      <c r="H94" s="33">
        <f t="shared" si="18"/>
        <v>114749477.84793112</v>
      </c>
      <c r="I94" s="48">
        <f t="shared" si="19"/>
        <v>446250017.57705796</v>
      </c>
      <c r="J94" s="33">
        <f t="shared" si="20"/>
        <v>158786698.80895287</v>
      </c>
      <c r="K94" s="33">
        <f t="shared" si="26"/>
        <v>117047030.84415364</v>
      </c>
      <c r="L94" s="33">
        <f t="shared" si="27"/>
        <v>117047030.84415364</v>
      </c>
      <c r="M94" s="33">
        <f t="shared" si="24"/>
        <v>34009897.677553758</v>
      </c>
      <c r="N94" s="33">
        <f t="shared" si="21"/>
        <v>10545937.479058243</v>
      </c>
      <c r="O94" s="33">
        <f>$D$40*(1+B12)</f>
        <v>18450000</v>
      </c>
      <c r="P94" s="33">
        <f t="shared" si="22"/>
        <v>63005835.156612001</v>
      </c>
      <c r="Q94" s="33">
        <v>43000000</v>
      </c>
      <c r="R94" s="33">
        <f>P94/POWER(1+$B$12,4)+Q94</f>
        <v>100080176.98627973</v>
      </c>
      <c r="S94" s="34">
        <f t="shared" si="15"/>
        <v>102.07804432393263</v>
      </c>
      <c r="T94" s="33">
        <f t="shared" si="23"/>
        <v>497490187.88820231</v>
      </c>
      <c r="U94" s="42">
        <f>U93*(1+F$42)</f>
        <v>525344339.17679667</v>
      </c>
      <c r="V94" s="42">
        <f t="shared" si="16"/>
        <v>700000000</v>
      </c>
      <c r="W94" s="42">
        <v>8000000</v>
      </c>
      <c r="X94" s="42">
        <v>0</v>
      </c>
      <c r="Y94" s="33">
        <f t="shared" si="10"/>
        <v>4209589139.8895435</v>
      </c>
    </row>
    <row r="95" spans="1:28">
      <c r="A95" s="13">
        <v>6</v>
      </c>
      <c r="B95" s="47">
        <v>64</v>
      </c>
      <c r="C95" s="72">
        <f t="shared" si="25"/>
        <v>2242817965.7021122</v>
      </c>
      <c r="D95" s="42">
        <f>((C94-$Q95)*47%)*(1+B$42)</f>
        <v>1079149549.8197789</v>
      </c>
      <c r="E95" s="50">
        <f>((C94-$Q95))*36%*(1+B$43)</f>
        <v>798079784.45952845</v>
      </c>
      <c r="F95" s="50">
        <f>((C94-$Q95))*6%*(1+D$42)</f>
        <v>128262822.50242421</v>
      </c>
      <c r="G95" s="42">
        <f>((C94-$Q95))*11%*(1+D$43)</f>
        <v>237325808.92038062</v>
      </c>
      <c r="H95" s="33">
        <f t="shared" si="18"/>
        <v>116470720.01565008</v>
      </c>
      <c r="I95" s="48">
        <f t="shared" si="19"/>
        <v>452943767.8407138</v>
      </c>
      <c r="J95" s="33">
        <f t="shared" si="20"/>
        <v>161168499.29108715</v>
      </c>
      <c r="K95" s="33">
        <f t="shared" si="26"/>
        <v>119387971.46103671</v>
      </c>
      <c r="L95" s="33">
        <f t="shared" si="27"/>
        <v>119387971.46103671</v>
      </c>
      <c r="M95" s="33">
        <f t="shared" si="24"/>
        <v>34520046.142717063</v>
      </c>
      <c r="N95" s="33">
        <f t="shared" si="21"/>
        <v>10756856.228639409</v>
      </c>
      <c r="O95" s="33">
        <f>O94*(1+B$12)</f>
        <v>18911250</v>
      </c>
      <c r="P95" s="33">
        <f t="shared" si="22"/>
        <v>64188152.371356472</v>
      </c>
      <c r="Q95" s="33">
        <v>43000000</v>
      </c>
      <c r="R95" s="33">
        <f>P95/POWER(1+$B$12,5)+Q95</f>
        <v>99732973.687156409</v>
      </c>
      <c r="S95" s="34">
        <f t="shared" si="15"/>
        <v>101.72390992065132</v>
      </c>
      <c r="T95" s="33">
        <f t="shared" si="23"/>
        <v>597223161.57535875</v>
      </c>
      <c r="U95" s="42">
        <f>U94*(1+F$42)</f>
        <v>604145990.05331612</v>
      </c>
      <c r="V95" s="42">
        <f t="shared" si="16"/>
        <v>700000000</v>
      </c>
      <c r="W95" s="42">
        <v>8000000</v>
      </c>
      <c r="X95" s="42">
        <v>0</v>
      </c>
      <c r="Y95" s="33">
        <f t="shared" si="10"/>
        <v>4524322885.8249531</v>
      </c>
    </row>
    <row r="96" spans="1:28">
      <c r="A96" s="13">
        <v>7</v>
      </c>
      <c r="B96" s="47">
        <v>65</v>
      </c>
      <c r="C96" s="72">
        <f t="shared" si="25"/>
        <v>1358380636.9370632</v>
      </c>
      <c r="D96" s="88">
        <f>((C95-$Q96-1000000000)*47%)*(1+B$42)</f>
        <v>653595554.90079153</v>
      </c>
      <c r="E96" s="89">
        <f>((C95-$Q96-1000000000))*36%*(1+B$43)</f>
        <v>483363403.7710917</v>
      </c>
      <c r="F96" s="89">
        <f>((C95-$Q96-1000000000))*6%*(1+D$42)</f>
        <v>77683404.17749688</v>
      </c>
      <c r="G96" s="88">
        <f>((C95-$Q96-1000000000))*11%*(1+D$43)</f>
        <v>143738274.08768326</v>
      </c>
      <c r="H96" s="33">
        <f t="shared" si="18"/>
        <v>118217780.81588483</v>
      </c>
      <c r="I96" s="48">
        <f t="shared" si="19"/>
        <v>459737924.35832453</v>
      </c>
      <c r="J96" s="33">
        <f t="shared" si="20"/>
        <v>163586026.78045344</v>
      </c>
      <c r="K96" s="33">
        <f t="shared" si="26"/>
        <v>121775730.89025745</v>
      </c>
      <c r="L96" s="33">
        <f t="shared" si="27"/>
        <v>121775730.89025745</v>
      </c>
      <c r="M96" s="33">
        <f t="shared" si="24"/>
        <v>35037846.834857814</v>
      </c>
      <c r="N96" s="33">
        <f t="shared" si="21"/>
        <v>10971993.353212196</v>
      </c>
      <c r="O96" s="33">
        <f t="shared" ref="O96:O114" si="28">O95*(1+B$12)</f>
        <v>19384031.25</v>
      </c>
      <c r="P96" s="33">
        <f t="shared" si="22"/>
        <v>65393871.438070014</v>
      </c>
      <c r="Q96" s="33">
        <v>44000000</v>
      </c>
      <c r="R96" s="33">
        <f>P96/POWER(1+$B$12,6)+Q96</f>
        <v>100388930.39407194</v>
      </c>
      <c r="S96" s="34">
        <f t="shared" si="15"/>
        <v>102.392961273471</v>
      </c>
      <c r="T96" s="33">
        <f t="shared" si="23"/>
        <v>697612091.96943069</v>
      </c>
      <c r="U96" s="91">
        <f>U95*(1+F$42)+820000000</f>
        <v>1514767888.5613136</v>
      </c>
      <c r="V96" s="42">
        <f t="shared" si="16"/>
        <v>700000000</v>
      </c>
      <c r="W96" s="42">
        <v>8000000</v>
      </c>
      <c r="X96" s="42">
        <v>0</v>
      </c>
      <c r="Y96" s="33">
        <f t="shared" si="10"/>
        <v>4566241719.2335548</v>
      </c>
      <c r="Z96" s="9" t="s">
        <v>149</v>
      </c>
      <c r="AA96" s="9" t="s">
        <v>150</v>
      </c>
    </row>
    <row r="97" spans="1:27">
      <c r="A97" s="13">
        <v>8</v>
      </c>
      <c r="B97" s="47">
        <v>66</v>
      </c>
      <c r="C97" s="72">
        <f t="shared" si="25"/>
        <v>1489324699.7133861</v>
      </c>
      <c r="D97" s="42">
        <f>((C96-$Q97)*47%)*(1+B$42)</f>
        <v>716600323.25808668</v>
      </c>
      <c r="E97" s="50">
        <f>((C96-$Q97))*36%*(1+B$43)</f>
        <v>529958272.81302387</v>
      </c>
      <c r="F97" s="50">
        <f>((C96-$Q97))*6%*(1+D$42)</f>
        <v>85171865.273521706</v>
      </c>
      <c r="G97" s="42">
        <f>((C96-$Q97))*11%*(1+D$43)</f>
        <v>157594238.36875388</v>
      </c>
      <c r="H97" s="33">
        <f t="shared" si="18"/>
        <v>119991047.5281231</v>
      </c>
      <c r="I97" s="48">
        <f t="shared" si="19"/>
        <v>466633993.22369933</v>
      </c>
      <c r="J97" s="33">
        <f t="shared" si="20"/>
        <v>166039817.18216023</v>
      </c>
      <c r="K97" s="33">
        <f t="shared" si="26"/>
        <v>124211245.50806262</v>
      </c>
      <c r="L97" s="33">
        <f t="shared" si="27"/>
        <v>124211245.50806262</v>
      </c>
      <c r="M97" s="33">
        <f t="shared" si="24"/>
        <v>35563414.537380688</v>
      </c>
      <c r="N97" s="33">
        <f t="shared" si="21"/>
        <v>11191433.220276441</v>
      </c>
      <c r="O97" s="33">
        <f t="shared" si="28"/>
        <v>19868632.03125</v>
      </c>
      <c r="P97" s="33">
        <f t="shared" si="22"/>
        <v>66623479.788907126</v>
      </c>
      <c r="Q97" s="33">
        <v>44000000</v>
      </c>
      <c r="R97" s="33">
        <f>P97/POWER(1+$B$12,7)+Q97</f>
        <v>100048017.38669038</v>
      </c>
      <c r="S97" s="34">
        <f t="shared" si="15"/>
        <v>102.04524273293654</v>
      </c>
      <c r="T97" s="33">
        <f t="shared" si="23"/>
        <v>797660109.35612106</v>
      </c>
      <c r="U97" s="42">
        <f>U96*(1+F$42)</f>
        <v>1741983071.8455105</v>
      </c>
      <c r="V97" s="42">
        <f t="shared" si="16"/>
        <v>700000000</v>
      </c>
      <c r="W97" s="42">
        <v>8000000</v>
      </c>
      <c r="X97" s="42">
        <v>0</v>
      </c>
      <c r="Y97" s="33">
        <f t="shared" si="10"/>
        <v>4940395120.5090046</v>
      </c>
    </row>
    <row r="98" spans="1:27">
      <c r="A98" s="13">
        <v>9</v>
      </c>
      <c r="B98" s="47">
        <v>67</v>
      </c>
      <c r="C98" s="72">
        <f t="shared" si="25"/>
        <v>1637697417.2452376</v>
      </c>
      <c r="D98" s="42">
        <f>((C97-$Q98)*47%)*(1+B$42)</f>
        <v>787991026.2837379</v>
      </c>
      <c r="E98" s="50">
        <f>((C97-$Q98))*36%*(1+B$43)</f>
        <v>582754918.92443728</v>
      </c>
      <c r="F98" s="50">
        <f>((C97-$Q98))*6%*(1+D$42)</f>
        <v>93657040.541427419</v>
      </c>
      <c r="G98" s="42">
        <f>((C97-$Q98))*11%*(1+D$43)</f>
        <v>173294431.495635</v>
      </c>
      <c r="H98" s="33">
        <f t="shared" si="18"/>
        <v>121790913.24104494</v>
      </c>
      <c r="I98" s="48">
        <f t="shared" si="19"/>
        <v>473633503.12205482</v>
      </c>
      <c r="J98" s="33">
        <f t="shared" si="20"/>
        <v>168530414.43989262</v>
      </c>
      <c r="K98" s="33">
        <f t="shared" si="26"/>
        <v>126695470.41822387</v>
      </c>
      <c r="L98" s="33">
        <f t="shared" si="27"/>
        <v>126695470.41822387</v>
      </c>
      <c r="M98" s="33">
        <f t="shared" si="24"/>
        <v>36096865.755441397</v>
      </c>
      <c r="N98" s="33">
        <f t="shared" si="21"/>
        <v>11415261.884681972</v>
      </c>
      <c r="O98" s="33">
        <f t="shared" si="28"/>
        <v>20365347.83203125</v>
      </c>
      <c r="P98" s="33">
        <f t="shared" si="22"/>
        <v>67877475.472154617</v>
      </c>
      <c r="Q98" s="33">
        <v>44000000</v>
      </c>
      <c r="R98" s="33">
        <f>P98/POWER(1+$B$12,8)+Q98</f>
        <v>99710205.229220659</v>
      </c>
      <c r="S98" s="34">
        <f t="shared" si="15"/>
        <v>101.70068694355095</v>
      </c>
      <c r="T98" s="33">
        <f t="shared" si="23"/>
        <v>897370314.58534169</v>
      </c>
      <c r="U98" s="42">
        <f>U97*(1+F$42)</f>
        <v>2003280532.6223369</v>
      </c>
      <c r="V98" s="42">
        <f t="shared" si="16"/>
        <v>700000000</v>
      </c>
      <c r="W98" s="42">
        <v>8000000</v>
      </c>
      <c r="X98" s="42">
        <v>0</v>
      </c>
      <c r="Y98" s="33">
        <f t="shared" si="10"/>
        <v>5366323721.5070143</v>
      </c>
    </row>
    <row r="99" spans="1:27">
      <c r="A99" s="13">
        <v>10</v>
      </c>
      <c r="B99" s="47">
        <v>68</v>
      </c>
      <c r="C99" s="72">
        <f t="shared" si="25"/>
        <v>1804685443.4805787</v>
      </c>
      <c r="D99" s="42">
        <f>((C98-$Q99)*47%)*(1+B$42)</f>
        <v>868338631.88210344</v>
      </c>
      <c r="E99" s="50">
        <f>((C98-$Q99))*36%*(1+B$43)</f>
        <v>642175598.63327992</v>
      </c>
      <c r="F99" s="50">
        <f>((C98-$Q99))*6%*(1+D$42)</f>
        <v>103206792.63749141</v>
      </c>
      <c r="G99" s="42">
        <f>((C98-$Q99))*11%*(1+D$43)</f>
        <v>190964420.32770401</v>
      </c>
      <c r="H99" s="33">
        <f t="shared" si="18"/>
        <v>123617776.93966061</v>
      </c>
      <c r="I99" s="48">
        <f t="shared" si="19"/>
        <v>480738005.66888565</v>
      </c>
      <c r="J99" s="33">
        <f t="shared" si="20"/>
        <v>171058370.65649098</v>
      </c>
      <c r="K99" s="33">
        <f t="shared" si="26"/>
        <v>129229379.82658836</v>
      </c>
      <c r="L99" s="33">
        <f t="shared" si="27"/>
        <v>129229379.82658836</v>
      </c>
      <c r="M99" s="33">
        <f t="shared" si="24"/>
        <v>36638318.741773009</v>
      </c>
      <c r="N99" s="33">
        <f t="shared" si="21"/>
        <v>11643567.122375613</v>
      </c>
      <c r="O99" s="33">
        <f t="shared" si="28"/>
        <v>20874481.527832031</v>
      </c>
      <c r="P99" s="33">
        <f t="shared" si="22"/>
        <v>69156367.391980648</v>
      </c>
      <c r="Q99" s="33">
        <v>45000000</v>
      </c>
      <c r="R99" s="33">
        <f>P99/POWER(1+$B$12,9)+Q99</f>
        <v>100375464.76766679</v>
      </c>
      <c r="S99" s="34">
        <f t="shared" si="15"/>
        <v>102.37922683723772</v>
      </c>
      <c r="T99" s="33">
        <f t="shared" si="23"/>
        <v>997745779.35300851</v>
      </c>
      <c r="U99" s="42">
        <f>U98*(1+F$42)</f>
        <v>2303772612.515687</v>
      </c>
      <c r="V99" s="42">
        <f t="shared" si="16"/>
        <v>700000000</v>
      </c>
      <c r="W99" s="42">
        <v>8000000</v>
      </c>
      <c r="X99" s="42">
        <v>0</v>
      </c>
      <c r="Y99" s="33">
        <f t="shared" si="10"/>
        <v>5850330968.9144802</v>
      </c>
    </row>
    <row r="100" spans="1:27">
      <c r="A100" s="13">
        <v>11</v>
      </c>
      <c r="B100" s="47">
        <v>69</v>
      </c>
      <c r="C100" s="72">
        <f t="shared" si="25"/>
        <v>1993899576.0078437</v>
      </c>
      <c r="D100" s="42">
        <f>((C99-$Q100)*47%)*(1+B$42)</f>
        <v>959380503.78561139</v>
      </c>
      <c r="E100" s="50">
        <f>((C99-$Q100))*36%*(1+B$43)</f>
        <v>709505170.81136942</v>
      </c>
      <c r="F100" s="50">
        <f>((C99-$Q100))*6%*(1+D$42)</f>
        <v>114027616.7375415</v>
      </c>
      <c r="G100" s="42">
        <f>((C99-$Q100))*11%*(1+D$43)</f>
        <v>210986284.6733214</v>
      </c>
      <c r="H100" s="33">
        <f t="shared" si="18"/>
        <v>125472043.59375551</v>
      </c>
      <c r="I100" s="48">
        <f t="shared" si="19"/>
        <v>487949075.75391889</v>
      </c>
      <c r="J100" s="33">
        <f t="shared" si="20"/>
        <v>173624246.21633834</v>
      </c>
      <c r="K100" s="33">
        <f t="shared" si="26"/>
        <v>131813967.42312013</v>
      </c>
      <c r="L100" s="33">
        <f t="shared" si="27"/>
        <v>131813967.42312013</v>
      </c>
      <c r="M100" s="33">
        <f t="shared" si="24"/>
        <v>37187893.522899605</v>
      </c>
      <c r="N100" s="33">
        <f t="shared" si="21"/>
        <v>11876438.464823125</v>
      </c>
      <c r="O100" s="33">
        <f t="shared" si="28"/>
        <v>21396343.566027831</v>
      </c>
      <c r="P100" s="33">
        <f t="shared" si="22"/>
        <v>70460675.55375056</v>
      </c>
      <c r="Q100" s="33">
        <v>45000000</v>
      </c>
      <c r="R100" s="33">
        <f>P100/POWER(1+$B$12,10)+Q100</f>
        <v>100043767.12710494</v>
      </c>
      <c r="S100" s="34">
        <f t="shared" si="15"/>
        <v>102.04090762683047</v>
      </c>
      <c r="T100" s="33">
        <f t="shared" si="23"/>
        <v>1097789546.4801135</v>
      </c>
      <c r="U100" s="42">
        <f>U99*(1+F$42)</f>
        <v>2649338504.3930397</v>
      </c>
      <c r="V100" s="42">
        <f t="shared" si="16"/>
        <v>700000000</v>
      </c>
      <c r="W100" s="42">
        <v>8000000</v>
      </c>
      <c r="X100" s="42">
        <v>0</v>
      </c>
      <c r="Y100" s="33">
        <f t="shared" si="10"/>
        <v>6401911380.8111362</v>
      </c>
    </row>
    <row r="101" spans="1:27">
      <c r="A101" s="13">
        <v>12</v>
      </c>
      <c r="B101" s="47">
        <v>70</v>
      </c>
      <c r="C101" s="72">
        <f t="shared" si="25"/>
        <v>1641748109.5744879</v>
      </c>
      <c r="D101" s="88">
        <f>((C100-$Q101-500000000)*47%)*(1+B$42)</f>
        <v>789940048.83947623</v>
      </c>
      <c r="E101" s="89">
        <f>((C100-$Q101-500000000))*36%*(1+B$43)</f>
        <v>584196309.04636264</v>
      </c>
      <c r="F101" s="89">
        <f>((C100-$Q101-500000000))*6%*(1+D$42)</f>
        <v>93888692.525308281</v>
      </c>
      <c r="G101" s="88">
        <f>((C100-$Q101-500000000))*11%*(1+D$43)</f>
        <v>173723059.16334048</v>
      </c>
      <c r="H101" s="33">
        <f t="shared" si="18"/>
        <v>127354124.24766183</v>
      </c>
      <c r="I101" s="48">
        <f t="shared" si="19"/>
        <v>495268311.89022762</v>
      </c>
      <c r="J101" s="33">
        <f t="shared" si="20"/>
        <v>176228609.90958342</v>
      </c>
      <c r="K101" s="33">
        <f t="shared" si="26"/>
        <v>134450246.77158254</v>
      </c>
      <c r="L101" s="33">
        <f t="shared" si="27"/>
        <v>134450246.77158254</v>
      </c>
      <c r="M101" s="33">
        <f t="shared" si="24"/>
        <v>37745711.925743088</v>
      </c>
      <c r="N101" s="33">
        <f t="shared" si="21"/>
        <v>12113967.234119589</v>
      </c>
      <c r="O101" s="33">
        <f t="shared" si="28"/>
        <v>21931252.155178525</v>
      </c>
      <c r="P101" s="33">
        <f t="shared" si="22"/>
        <v>71790931.315041199</v>
      </c>
      <c r="Q101" s="33">
        <v>45000000</v>
      </c>
      <c r="R101" s="33">
        <f>P101/POWER(1+$B$12,11)+Q101</f>
        <v>99715083.708986968</v>
      </c>
      <c r="S101" s="34">
        <f t="shared" si="15"/>
        <v>101.70566281078874</v>
      </c>
      <c r="T101" s="33">
        <f t="shared" si="23"/>
        <v>1197504630.1891005</v>
      </c>
      <c r="U101" s="91">
        <f>U100*(1+F$42)+410000000</f>
        <v>3456739280.0519953</v>
      </c>
      <c r="V101" s="42">
        <f t="shared" si="16"/>
        <v>700000000</v>
      </c>
      <c r="W101" s="42">
        <v>8000000</v>
      </c>
      <c r="X101" s="42">
        <v>0</v>
      </c>
      <c r="Y101" s="33">
        <f t="shared" si="10"/>
        <v>6874238929.2171211</v>
      </c>
      <c r="Z101" s="9" t="s">
        <v>151</v>
      </c>
      <c r="AA101" s="9" t="s">
        <v>152</v>
      </c>
    </row>
    <row r="102" spans="1:27">
      <c r="A102" s="13">
        <v>13</v>
      </c>
      <c r="B102" s="47">
        <v>71</v>
      </c>
      <c r="C102" s="72">
        <f t="shared" si="25"/>
        <v>1808142182.9588523</v>
      </c>
      <c r="D102" s="42">
        <f t="shared" ref="D102:D114" si="29">((C101-$Q102)*47%)*(1+B$42)</f>
        <v>870001869.34001076</v>
      </c>
      <c r="E102" s="50">
        <f t="shared" ref="E102:E114" si="30">((C101-$Q102))*36%*(1+B$43)</f>
        <v>643405637.78043354</v>
      </c>
      <c r="F102" s="50">
        <f t="shared" ref="F102:F114" si="31">((C101-$Q102))*6%*(1+D$42)</f>
        <v>103404477.50042681</v>
      </c>
      <c r="G102" s="42">
        <f t="shared" ref="G102:G114" si="32">((C101-$Q102))*11%*(1+D$43)</f>
        <v>191330198.3379811</v>
      </c>
      <c r="H102" s="33">
        <f t="shared" si="18"/>
        <v>129264436.11137676</v>
      </c>
      <c r="I102" s="48">
        <f t="shared" si="19"/>
        <v>502697336.56858099</v>
      </c>
      <c r="J102" s="33">
        <f t="shared" si="20"/>
        <v>178872039.05822715</v>
      </c>
      <c r="K102" s="33">
        <f t="shared" si="26"/>
        <v>137139251.7070142</v>
      </c>
      <c r="L102" s="33">
        <f t="shared" si="27"/>
        <v>137139251.7070142</v>
      </c>
      <c r="M102" s="33">
        <f t="shared" si="24"/>
        <v>38311897.604629241</v>
      </c>
      <c r="N102" s="33">
        <f t="shared" si="21"/>
        <v>12356246.578801982</v>
      </c>
      <c r="O102" s="33">
        <f t="shared" si="28"/>
        <v>22479533.459057987</v>
      </c>
      <c r="P102" s="33">
        <f t="shared" si="22"/>
        <v>73147677.64248921</v>
      </c>
      <c r="Q102" s="33">
        <v>46000000</v>
      </c>
      <c r="R102" s="33">
        <f>P102/POWER(1+$B$12,12)+Q102</f>
        <v>100389386.18846998</v>
      </c>
      <c r="S102" s="34">
        <f t="shared" si="15"/>
        <v>102.39342616674125</v>
      </c>
      <c r="T102" s="33">
        <f t="shared" si="23"/>
        <v>1297894016.3775704</v>
      </c>
      <c r="U102" s="42">
        <f t="shared" ref="U102:U114" si="33">U101*(1+F$42)</f>
        <v>3975250172.0597944</v>
      </c>
      <c r="V102" s="42">
        <f t="shared" si="16"/>
        <v>700000000</v>
      </c>
      <c r="W102" s="42">
        <v>8000000</v>
      </c>
      <c r="X102" s="42">
        <v>0</v>
      </c>
      <c r="Y102" s="33">
        <f t="shared" si="10"/>
        <v>7576504670.1708603</v>
      </c>
    </row>
    <row r="103" spans="1:27">
      <c r="A103" s="13">
        <v>14</v>
      </c>
      <c r="B103" s="47">
        <v>72</v>
      </c>
      <c r="C103" s="72">
        <f t="shared" si="25"/>
        <v>1996683307.5106754</v>
      </c>
      <c r="D103" s="42">
        <f t="shared" si="29"/>
        <v>960719918.14916623</v>
      </c>
      <c r="E103" s="50">
        <f t="shared" si="30"/>
        <v>710495728.16900933</v>
      </c>
      <c r="F103" s="50">
        <f t="shared" si="31"/>
        <v>114186813.45573363</v>
      </c>
      <c r="G103" s="42">
        <f t="shared" si="32"/>
        <v>211280847.73676643</v>
      </c>
      <c r="H103" s="33">
        <f>H102*(1+C$27)-H102*D$27</f>
        <v>131203402.65304741</v>
      </c>
      <c r="I103" s="48">
        <f>I102*(1+C$27)-I102*D$27</f>
        <v>510237796.61710966</v>
      </c>
      <c r="J103" s="33">
        <f>J102*(1+C$27)-J102*D$27</f>
        <v>181555119.64410055</v>
      </c>
      <c r="K103" s="33">
        <f t="shared" si="26"/>
        <v>139882036.74115449</v>
      </c>
      <c r="L103" s="33">
        <f>L102*(1+C$31)-L102*D$31</f>
        <v>139882036.74115449</v>
      </c>
      <c r="M103" s="33">
        <f t="shared" si="24"/>
        <v>38886576.068698674</v>
      </c>
      <c r="N103" s="33">
        <f t="shared" si="21"/>
        <v>12603371.51037802</v>
      </c>
      <c r="O103" s="33">
        <f t="shared" si="28"/>
        <v>23041521.795534436</v>
      </c>
      <c r="P103" s="33">
        <f t="shared" si="22"/>
        <v>74531469.374611124</v>
      </c>
      <c r="Q103" s="33">
        <v>46000000</v>
      </c>
      <c r="R103" s="33">
        <f>P103/POWER(1+$B$12,13)+Q103</f>
        <v>100066646.51177198</v>
      </c>
      <c r="S103" s="34">
        <f t="shared" si="15"/>
        <v>102.06424374505561</v>
      </c>
      <c r="T103" s="33">
        <f t="shared" si="23"/>
        <v>1397960662.8893423</v>
      </c>
      <c r="U103" s="42">
        <f t="shared" si="33"/>
        <v>4571537697.868763</v>
      </c>
      <c r="V103" s="42">
        <f t="shared" ref="V103:V114" si="34">V102</f>
        <v>700000000</v>
      </c>
      <c r="W103" s="42">
        <v>8000000</v>
      </c>
      <c r="X103" s="42">
        <v>0</v>
      </c>
      <c r="Y103" s="33">
        <f t="shared" ref="Y103:Y114" si="35">X103+W103+V103+L103+J103+I103+H103+C103+K103+U103</f>
        <v>8378981397.7760048</v>
      </c>
    </row>
    <row r="104" spans="1:27">
      <c r="A104" s="13">
        <v>15</v>
      </c>
      <c r="B104" s="47">
        <v>73</v>
      </c>
      <c r="C104" s="72">
        <f t="shared" si="25"/>
        <v>2210319255.7403464</v>
      </c>
      <c r="D104" s="42">
        <f t="shared" si="29"/>
        <v>1063512539.2548201</v>
      </c>
      <c r="E104" s="50">
        <f t="shared" si="30"/>
        <v>786515509.5883044</v>
      </c>
      <c r="F104" s="50">
        <f t="shared" si="31"/>
        <v>126404278.32669176</v>
      </c>
      <c r="G104" s="42">
        <f t="shared" si="32"/>
        <v>233886928.57053</v>
      </c>
      <c r="H104" s="33">
        <f t="shared" ref="H104:H114" si="36">H103*(1+C$27)-H103*D$27</f>
        <v>133171453.69284311</v>
      </c>
      <c r="I104" s="48">
        <f t="shared" ref="I104:I114" si="37">I103*(1+C$27)-I103*D$27</f>
        <v>517891363.56636631</v>
      </c>
      <c r="J104" s="33">
        <f t="shared" ref="J104:J114" si="38">J103*(1+C$27)-J103*D$27</f>
        <v>184278446.43876204</v>
      </c>
      <c r="K104" s="33">
        <f t="shared" si="26"/>
        <v>142679677.4759776</v>
      </c>
      <c r="L104" s="33">
        <f t="shared" ref="L104:L114" si="39">L103*(1+C$31)-L103*D$31</f>
        <v>142679677.4759776</v>
      </c>
      <c r="M104" s="33">
        <f t="shared" si="24"/>
        <v>39469874.70972915</v>
      </c>
      <c r="N104" s="33">
        <f t="shared" si="21"/>
        <v>12855438.940585583</v>
      </c>
      <c r="O104" s="33">
        <f t="shared" si="28"/>
        <v>23617559.840422794</v>
      </c>
      <c r="P104" s="33">
        <f t="shared" si="22"/>
        <v>75942873.490737528</v>
      </c>
      <c r="Q104" s="33">
        <v>46000000</v>
      </c>
      <c r="R104" s="33">
        <f>P104/POWER(1+$B$12,14)+Q104</f>
        <v>99746836.893553108</v>
      </c>
      <c r="S104" s="34">
        <f t="shared" si="15"/>
        <v>101.73804987363349</v>
      </c>
      <c r="T104" s="33">
        <f t="shared" si="23"/>
        <v>1497707499.7828953</v>
      </c>
      <c r="U104" s="42">
        <f t="shared" si="33"/>
        <v>5257268352.549077</v>
      </c>
      <c r="V104" s="42">
        <f t="shared" si="34"/>
        <v>700000000</v>
      </c>
      <c r="W104" s="42">
        <v>8000000</v>
      </c>
      <c r="X104" s="42">
        <v>0</v>
      </c>
      <c r="Y104" s="33">
        <f t="shared" si="35"/>
        <v>9296288226.9393501</v>
      </c>
    </row>
    <row r="105" spans="1:27">
      <c r="A105" s="13">
        <v>16</v>
      </c>
      <c r="B105" s="47">
        <v>74</v>
      </c>
      <c r="C105" s="72">
        <f t="shared" si="25"/>
        <v>2451257048.6793866</v>
      </c>
      <c r="D105" s="42">
        <f t="shared" si="29"/>
        <v>1179441658.2296367</v>
      </c>
      <c r="E105" s="50">
        <f t="shared" si="30"/>
        <v>872250323.91450775</v>
      </c>
      <c r="F105" s="50">
        <f t="shared" si="31"/>
        <v>140183087.77197444</v>
      </c>
      <c r="G105" s="42">
        <f t="shared" si="32"/>
        <v>259381978.76326755</v>
      </c>
      <c r="H105" s="33">
        <f t="shared" si="36"/>
        <v>135169025.49823573</v>
      </c>
      <c r="I105" s="48">
        <f t="shared" si="37"/>
        <v>525659734.01986176</v>
      </c>
      <c r="J105" s="33">
        <f t="shared" si="38"/>
        <v>187042623.13534346</v>
      </c>
      <c r="K105" s="33">
        <f t="shared" si="26"/>
        <v>145533271.02549717</v>
      </c>
      <c r="L105" s="33">
        <f t="shared" si="39"/>
        <v>145533271.02549717</v>
      </c>
      <c r="M105" s="33">
        <f t="shared" si="24"/>
        <v>40061922.830375083</v>
      </c>
      <c r="N105" s="33">
        <f t="shared" si="21"/>
        <v>13112547.719397295</v>
      </c>
      <c r="O105" s="33">
        <f t="shared" si="28"/>
        <v>24207998.836433362</v>
      </c>
      <c r="P105" s="33">
        <f t="shared" si="22"/>
        <v>77382469.386205748</v>
      </c>
      <c r="Q105" s="33">
        <v>47000000</v>
      </c>
      <c r="R105" s="33">
        <f>P105/POWER(1+$B$12,15)+Q105</f>
        <v>100429929.81432232</v>
      </c>
      <c r="S105" s="34">
        <f t="shared" si="15"/>
        <v>102.43477915153238</v>
      </c>
      <c r="T105" s="33">
        <f t="shared" si="23"/>
        <v>1598137429.5972176</v>
      </c>
      <c r="U105" s="42">
        <f t="shared" si="33"/>
        <v>6045858605.4314384</v>
      </c>
      <c r="V105" s="42">
        <f t="shared" si="34"/>
        <v>700000000</v>
      </c>
      <c r="W105" s="42">
        <v>8000000</v>
      </c>
      <c r="X105" s="42">
        <v>0</v>
      </c>
      <c r="Y105" s="33">
        <f t="shared" si="35"/>
        <v>10344053578.815262</v>
      </c>
    </row>
    <row r="106" spans="1:27">
      <c r="A106" s="14">
        <v>17</v>
      </c>
      <c r="B106" s="14">
        <v>75</v>
      </c>
      <c r="C106" s="72">
        <f t="shared" si="25"/>
        <v>2724263661.858613</v>
      </c>
      <c r="D106" s="42">
        <f t="shared" si="29"/>
        <v>1310800942.9400012</v>
      </c>
      <c r="E106" s="50">
        <f t="shared" si="30"/>
        <v>969396442.02752876</v>
      </c>
      <c r="F106" s="50">
        <f t="shared" si="31"/>
        <v>155795856.75442427</v>
      </c>
      <c r="G106" s="42">
        <f t="shared" si="32"/>
        <v>288270420.13665849</v>
      </c>
      <c r="H106" s="33">
        <f t="shared" si="36"/>
        <v>137196560.88070926</v>
      </c>
      <c r="I106" s="48">
        <f t="shared" si="37"/>
        <v>533544630.03015971</v>
      </c>
      <c r="J106" s="33">
        <f t="shared" si="38"/>
        <v>189848262.48237363</v>
      </c>
      <c r="K106" s="33">
        <f t="shared" si="26"/>
        <v>148443936.4460071</v>
      </c>
      <c r="L106" s="33">
        <f t="shared" si="39"/>
        <v>148443936.4460071</v>
      </c>
      <c r="M106" s="33">
        <f t="shared" si="24"/>
        <v>40662851.672830716</v>
      </c>
      <c r="N106" s="33">
        <f t="shared" si="21"/>
        <v>13374798.673785241</v>
      </c>
      <c r="O106" s="33">
        <f t="shared" si="28"/>
        <v>24813198.807344195</v>
      </c>
      <c r="P106" s="33">
        <f t="shared" si="22"/>
        <v>78850849.153960153</v>
      </c>
      <c r="Q106" s="33">
        <v>47000000</v>
      </c>
      <c r="R106" s="33">
        <f>P106/POWER(1+$B$12,16)+Q106</f>
        <v>100115898.01786923</v>
      </c>
      <c r="S106" s="34">
        <f t="shared" si="15"/>
        <v>102.1144784426132</v>
      </c>
      <c r="T106" s="33">
        <f t="shared" si="23"/>
        <v>1698253327.6150868</v>
      </c>
      <c r="U106" s="42">
        <f t="shared" si="33"/>
        <v>6952737396.2461538</v>
      </c>
      <c r="V106" s="42">
        <f t="shared" si="34"/>
        <v>700000000</v>
      </c>
      <c r="W106" s="42">
        <v>8000000</v>
      </c>
      <c r="X106" s="42">
        <v>0</v>
      </c>
      <c r="Y106" s="33">
        <f t="shared" si="35"/>
        <v>11542478384.390022</v>
      </c>
    </row>
    <row r="107" spans="1:27">
      <c r="A107" s="14">
        <v>18</v>
      </c>
      <c r="B107" s="14">
        <v>76</v>
      </c>
      <c r="C107" s="72">
        <f t="shared" si="25"/>
        <v>3033607455.2519946</v>
      </c>
      <c r="D107" s="42">
        <f t="shared" si="29"/>
        <v>1459644148.4453156</v>
      </c>
      <c r="E107" s="50">
        <f t="shared" si="30"/>
        <v>1079472708.4613929</v>
      </c>
      <c r="F107" s="50">
        <f t="shared" si="31"/>
        <v>173486685.28843811</v>
      </c>
      <c r="G107" s="42">
        <f t="shared" si="32"/>
        <v>321003913.05684769</v>
      </c>
      <c r="H107" s="33">
        <f t="shared" si="36"/>
        <v>139254509.29391989</v>
      </c>
      <c r="I107" s="48">
        <f t="shared" si="37"/>
        <v>541547799.48061204</v>
      </c>
      <c r="J107" s="33">
        <f t="shared" si="38"/>
        <v>192695986.41960922</v>
      </c>
      <c r="K107" s="33">
        <f t="shared" si="26"/>
        <v>151412815.17492726</v>
      </c>
      <c r="L107" s="33">
        <f t="shared" si="39"/>
        <v>151412815.17492726</v>
      </c>
      <c r="M107" s="33">
        <f t="shared" si="24"/>
        <v>41272794.447923169</v>
      </c>
      <c r="N107" s="33">
        <f t="shared" si="21"/>
        <v>13642294.647260947</v>
      </c>
      <c r="O107" s="33">
        <f t="shared" si="28"/>
        <v>25433528.777527798</v>
      </c>
      <c r="P107" s="33">
        <f t="shared" si="22"/>
        <v>80348617.872711912</v>
      </c>
      <c r="Q107" s="33">
        <v>47000000</v>
      </c>
      <c r="R107" s="33">
        <f>P107/POWER(1+$B$12,17)+Q107</f>
        <v>99804714.508720934</v>
      </c>
      <c r="S107" s="34">
        <f t="shared" si="15"/>
        <v>101.7970828804124</v>
      </c>
      <c r="T107" s="33">
        <f t="shared" si="23"/>
        <v>1798058042.1238077</v>
      </c>
      <c r="U107" s="42">
        <f t="shared" si="33"/>
        <v>7995648005.6830759</v>
      </c>
      <c r="V107" s="42">
        <f t="shared" si="34"/>
        <v>700000000</v>
      </c>
      <c r="W107" s="42">
        <v>8000000</v>
      </c>
      <c r="X107" s="42">
        <v>0</v>
      </c>
      <c r="Y107" s="33">
        <f t="shared" si="35"/>
        <v>12913579386.479067</v>
      </c>
    </row>
    <row r="108" spans="1:27">
      <c r="A108" s="14">
        <v>19</v>
      </c>
      <c r="B108" s="14">
        <v>77</v>
      </c>
      <c r="C108" s="72">
        <f t="shared" si="25"/>
        <v>3382991807.5460348</v>
      </c>
      <c r="D108" s="42">
        <f t="shared" si="29"/>
        <v>1627753184.6033874</v>
      </c>
      <c r="E108" s="50">
        <f t="shared" si="30"/>
        <v>1203796925.9576042</v>
      </c>
      <c r="F108" s="50">
        <f t="shared" si="31"/>
        <v>193467363.10032928</v>
      </c>
      <c r="G108" s="42">
        <f t="shared" si="32"/>
        <v>357974333.88471419</v>
      </c>
      <c r="H108" s="33">
        <f t="shared" si="36"/>
        <v>141343326.93332869</v>
      </c>
      <c r="I108" s="48">
        <f t="shared" si="37"/>
        <v>549671016.47282124</v>
      </c>
      <c r="J108" s="33">
        <f t="shared" si="38"/>
        <v>195586426.21590334</v>
      </c>
      <c r="K108" s="33">
        <f t="shared" si="26"/>
        <v>154441071.47842583</v>
      </c>
      <c r="L108" s="33">
        <f t="shared" si="39"/>
        <v>154441071.47842583</v>
      </c>
      <c r="M108" s="33">
        <f t="shared" si="24"/>
        <v>41891886.364642009</v>
      </c>
      <c r="N108" s="33">
        <f t="shared" si="21"/>
        <v>13915140.540206168</v>
      </c>
      <c r="O108" s="33">
        <f t="shared" si="28"/>
        <v>26069366.996965989</v>
      </c>
      <c r="P108" s="33">
        <f t="shared" si="22"/>
        <v>81876393.901814163</v>
      </c>
      <c r="Q108" s="33">
        <v>48000000</v>
      </c>
      <c r="R108" s="33">
        <f>P108/POWER(1+$B$12,18)+Q108</f>
        <v>100496352.54962337</v>
      </c>
      <c r="S108" s="34">
        <f t="shared" si="15"/>
        <v>102.50252786183999</v>
      </c>
      <c r="T108" s="33">
        <f t="shared" si="23"/>
        <v>1898554394.6734309</v>
      </c>
      <c r="U108" s="42">
        <f t="shared" si="33"/>
        <v>9194995206.5355358</v>
      </c>
      <c r="V108" s="42">
        <f t="shared" si="34"/>
        <v>700000000</v>
      </c>
      <c r="W108" s="42">
        <v>8000000</v>
      </c>
      <c r="X108" s="42">
        <v>0</v>
      </c>
      <c r="Y108" s="33">
        <f t="shared" si="35"/>
        <v>14481469926.660477</v>
      </c>
    </row>
    <row r="109" spans="1:27">
      <c r="A109" s="14">
        <v>20</v>
      </c>
      <c r="B109" s="14">
        <v>78</v>
      </c>
      <c r="C109" s="72">
        <f t="shared" si="25"/>
        <v>3778879217.1304116</v>
      </c>
      <c r="D109" s="42">
        <f t="shared" si="29"/>
        <v>1818237533.474098</v>
      </c>
      <c r="E109" s="50">
        <f t="shared" si="30"/>
        <v>1344668696.8025613</v>
      </c>
      <c r="F109" s="50">
        <f t="shared" si="31"/>
        <v>216107469.12898305</v>
      </c>
      <c r="G109" s="42">
        <f t="shared" si="32"/>
        <v>399865517.72476959</v>
      </c>
      <c r="H109" s="33">
        <f t="shared" si="36"/>
        <v>143463476.83732861</v>
      </c>
      <c r="I109" s="48">
        <f t="shared" si="37"/>
        <v>557916081.71991348</v>
      </c>
      <c r="J109" s="33">
        <f t="shared" si="38"/>
        <v>198520222.60914189</v>
      </c>
      <c r="K109" s="33">
        <f t="shared" si="26"/>
        <v>157529892.90799436</v>
      </c>
      <c r="L109" s="33">
        <f t="shared" si="39"/>
        <v>157529892.90799436</v>
      </c>
      <c r="M109" s="33">
        <f t="shared" si="24"/>
        <v>42520264.660111643</v>
      </c>
      <c r="N109" s="33">
        <f t="shared" si="21"/>
        <v>14193443.351010293</v>
      </c>
      <c r="O109" s="33">
        <f t="shared" si="28"/>
        <v>26721101.171890136</v>
      </c>
      <c r="P109" s="33">
        <f t="shared" si="22"/>
        <v>83434809.183012068</v>
      </c>
      <c r="Q109" s="33">
        <v>48000000</v>
      </c>
      <c r="R109" s="33">
        <f>P109/POWER(1+$B$12,19)+Q109</f>
        <v>100190785.65904745</v>
      </c>
      <c r="S109" s="34">
        <f t="shared" si="15"/>
        <v>102.19086104090292</v>
      </c>
      <c r="T109" s="33">
        <f t="shared" si="23"/>
        <v>1998745180.3324783</v>
      </c>
      <c r="U109" s="42">
        <f t="shared" si="33"/>
        <v>10574244487.515865</v>
      </c>
      <c r="V109" s="42">
        <f t="shared" si="34"/>
        <v>700000000</v>
      </c>
      <c r="W109" s="42">
        <v>8000000</v>
      </c>
      <c r="X109" s="42">
        <v>0</v>
      </c>
      <c r="Y109" s="33">
        <f t="shared" si="35"/>
        <v>16276083271.628651</v>
      </c>
    </row>
    <row r="110" spans="1:27">
      <c r="A110" s="14">
        <v>21</v>
      </c>
      <c r="B110" s="14">
        <v>79</v>
      </c>
      <c r="C110" s="72">
        <f t="shared" si="25"/>
        <v>4227459240.930469</v>
      </c>
      <c r="D110" s="42">
        <f t="shared" si="29"/>
        <v>2034075349.1795001</v>
      </c>
      <c r="E110" s="50">
        <f t="shared" si="30"/>
        <v>1504290500.346982</v>
      </c>
      <c r="F110" s="50">
        <f t="shared" si="31"/>
        <v>241760973.2700507</v>
      </c>
      <c r="G110" s="42">
        <f t="shared" si="32"/>
        <v>447332418.13393641</v>
      </c>
      <c r="H110" s="33">
        <f t="shared" si="36"/>
        <v>145615428.98988852</v>
      </c>
      <c r="I110" s="48">
        <f t="shared" si="37"/>
        <v>566284822.94571221</v>
      </c>
      <c r="J110" s="33">
        <f t="shared" si="38"/>
        <v>201498025.94827899</v>
      </c>
      <c r="K110" s="33">
        <f t="shared" si="26"/>
        <v>160680490.76615426</v>
      </c>
      <c r="L110" s="33">
        <f t="shared" si="39"/>
        <v>160680490.76615426</v>
      </c>
      <c r="M110" s="33">
        <f>(H110+I110+J110)*(D$27*(1-5.5%))</f>
        <v>43158068.630013317</v>
      </c>
      <c r="N110" s="33">
        <f t="shared" si="21"/>
        <v>14477312.218030499</v>
      </c>
      <c r="O110" s="33">
        <f t="shared" si="28"/>
        <v>27389128.701187387</v>
      </c>
      <c r="P110" s="33">
        <f t="shared" si="22"/>
        <v>85024509.549231201</v>
      </c>
      <c r="Q110" s="33">
        <v>48000000</v>
      </c>
      <c r="R110" s="33">
        <f>P110/POWER(1+$B$12,20)+Q110</f>
        <v>99887987.608718961</v>
      </c>
      <c r="S110" s="34">
        <f t="shared" si="15"/>
        <v>101.8820183336516</v>
      </c>
      <c r="T110" s="33">
        <f t="shared" si="23"/>
        <v>2098633167.9411972</v>
      </c>
      <c r="U110" s="42">
        <f t="shared" si="33"/>
        <v>12160381160.643244</v>
      </c>
      <c r="V110" s="42">
        <f t="shared" si="34"/>
        <v>700000000</v>
      </c>
      <c r="W110" s="42">
        <v>8000000</v>
      </c>
      <c r="X110" s="42">
        <v>0</v>
      </c>
      <c r="Y110" s="33">
        <f t="shared" si="35"/>
        <v>18330599660.989902</v>
      </c>
    </row>
    <row r="111" spans="1:27">
      <c r="A111" s="14">
        <v>22</v>
      </c>
      <c r="B111" s="14">
        <v>80</v>
      </c>
      <c r="C111" s="72">
        <f t="shared" si="25"/>
        <v>4735745265.8983145</v>
      </c>
      <c r="D111" s="42">
        <f t="shared" si="29"/>
        <v>2278641178.1552916</v>
      </c>
      <c r="E111" s="50">
        <f t="shared" si="30"/>
        <v>1685157965.9431653</v>
      </c>
      <c r="F111" s="50">
        <f t="shared" si="31"/>
        <v>270828958.81229442</v>
      </c>
      <c r="G111" s="42">
        <f t="shared" si="32"/>
        <v>501117162.98756325</v>
      </c>
      <c r="H111" s="33">
        <f t="shared" si="36"/>
        <v>147799660.42473686</v>
      </c>
      <c r="I111" s="48">
        <f t="shared" si="37"/>
        <v>574779095.28989792</v>
      </c>
      <c r="J111" s="33">
        <f t="shared" si="38"/>
        <v>204520496.33750317</v>
      </c>
      <c r="K111" s="33">
        <f t="shared" si="26"/>
        <v>163894100.58147734</v>
      </c>
      <c r="L111" s="33">
        <f t="shared" si="39"/>
        <v>163894100.58147734</v>
      </c>
      <c r="M111" s="33">
        <f t="shared" si="24"/>
        <v>43805439.659463517</v>
      </c>
      <c r="N111" s="33">
        <f t="shared" si="21"/>
        <v>14766858.46239111</v>
      </c>
      <c r="O111" s="33">
        <f t="shared" si="28"/>
        <v>28073856.918717068</v>
      </c>
      <c r="P111" s="33">
        <f t="shared" si="22"/>
        <v>86646155.04057169</v>
      </c>
      <c r="Q111" s="33">
        <v>48000000</v>
      </c>
      <c r="R111" s="33">
        <f>P111/POWER(1+$B$12,21)+Q111</f>
        <v>99587932.421172768</v>
      </c>
      <c r="S111" s="34">
        <f t="shared" si="15"/>
        <v>101.57597324404144</v>
      </c>
      <c r="T111" s="33">
        <f t="shared" si="23"/>
        <v>2198221100.36237</v>
      </c>
      <c r="U111" s="42">
        <f t="shared" si="33"/>
        <v>13984438334.739729</v>
      </c>
      <c r="V111" s="42">
        <f t="shared" si="34"/>
        <v>700000000</v>
      </c>
      <c r="W111" s="42">
        <v>8000000</v>
      </c>
      <c r="X111" s="42">
        <v>0</v>
      </c>
      <c r="Y111" s="33">
        <f t="shared" si="35"/>
        <v>20683071053.853134</v>
      </c>
    </row>
    <row r="112" spans="1:27">
      <c r="A112" s="14">
        <v>23</v>
      </c>
      <c r="B112" s="14">
        <v>81</v>
      </c>
      <c r="C112" s="72">
        <f t="shared" si="25"/>
        <v>5310551060.789381</v>
      </c>
      <c r="D112" s="42">
        <f t="shared" si="29"/>
        <v>2555213518.9677606</v>
      </c>
      <c r="E112" s="50">
        <f t="shared" si="30"/>
        <v>1889695691.2102005</v>
      </c>
      <c r="F112" s="50">
        <f t="shared" si="31"/>
        <v>303701093.23021078</v>
      </c>
      <c r="G112" s="42">
        <f t="shared" si="32"/>
        <v>561940757.38120794</v>
      </c>
      <c r="H112" s="33">
        <f t="shared" si="36"/>
        <v>150016655.33110791</v>
      </c>
      <c r="I112" s="48">
        <f t="shared" si="37"/>
        <v>583400781.71924639</v>
      </c>
      <c r="J112" s="33">
        <f t="shared" si="38"/>
        <v>207588303.78256571</v>
      </c>
      <c r="K112" s="33">
        <f t="shared" si="26"/>
        <v>167171982.5931069</v>
      </c>
      <c r="L112" s="33">
        <f t="shared" si="39"/>
        <v>167171982.5931069</v>
      </c>
      <c r="M112" s="33">
        <f t="shared" si="24"/>
        <v>44462521.254355468</v>
      </c>
      <c r="N112" s="33">
        <f t="shared" si="21"/>
        <v>15062195.631638933</v>
      </c>
      <c r="O112" s="33">
        <f t="shared" si="28"/>
        <v>28775703.341684993</v>
      </c>
      <c r="P112" s="33">
        <f t="shared" si="22"/>
        <v>88300420.227679402</v>
      </c>
      <c r="Q112" s="33">
        <v>49000000</v>
      </c>
      <c r="R112" s="33">
        <f>P112/POWER(1+$B$12,22)+Q112</f>
        <v>100290594.36733073</v>
      </c>
      <c r="S112" s="34">
        <f t="shared" si="15"/>
        <v>102.29266219728427</v>
      </c>
      <c r="T112" s="33">
        <f t="shared" si="23"/>
        <v>2298511694.7297006</v>
      </c>
      <c r="U112" s="42">
        <f t="shared" si="33"/>
        <v>16082104084.950687</v>
      </c>
      <c r="V112" s="42">
        <f t="shared" si="34"/>
        <v>700000000</v>
      </c>
      <c r="W112" s="42">
        <v>8000000</v>
      </c>
      <c r="X112" s="42">
        <v>0</v>
      </c>
      <c r="Y112" s="33">
        <f t="shared" si="35"/>
        <v>23376004851.759201</v>
      </c>
    </row>
    <row r="113" spans="1:25">
      <c r="A113" s="14">
        <v>24</v>
      </c>
      <c r="B113" s="14">
        <v>82</v>
      </c>
      <c r="C113" s="72">
        <f t="shared" si="25"/>
        <v>5961863506.9804487</v>
      </c>
      <c r="D113" s="42">
        <f t="shared" si="29"/>
        <v>2868597638.3423705</v>
      </c>
      <c r="E113" s="50">
        <f t="shared" si="30"/>
        <v>2121457387.7102787</v>
      </c>
      <c r="F113" s="50">
        <f t="shared" si="31"/>
        <v>340948508.7391519</v>
      </c>
      <c r="G113" s="42">
        <f t="shared" si="32"/>
        <v>630859972.18864691</v>
      </c>
      <c r="H113" s="33">
        <f t="shared" si="36"/>
        <v>152266905.16107452</v>
      </c>
      <c r="I113" s="48">
        <f t="shared" si="37"/>
        <v>592151793.4450351</v>
      </c>
      <c r="J113" s="33">
        <f t="shared" si="38"/>
        <v>210702128.33930418</v>
      </c>
      <c r="K113" s="33">
        <f t="shared" si="26"/>
        <v>170515422.24496907</v>
      </c>
      <c r="L113" s="33">
        <f t="shared" si="39"/>
        <v>170515422.24496907</v>
      </c>
      <c r="M113" s="33">
        <f t="shared" si="24"/>
        <v>45129459.073170803</v>
      </c>
      <c r="N113" s="33">
        <f t="shared" si="21"/>
        <v>15363439.544271715</v>
      </c>
      <c r="O113" s="33">
        <f t="shared" si="28"/>
        <v>29495095.925227117</v>
      </c>
      <c r="P113" s="33">
        <f t="shared" si="22"/>
        <v>89987994.542669639</v>
      </c>
      <c r="Q113" s="33">
        <v>49000000</v>
      </c>
      <c r="R113" s="33">
        <f>P113/POWER(1+$B$12,23)+Q113</f>
        <v>99995947.964102939</v>
      </c>
      <c r="S113" s="34">
        <f t="shared" si="15"/>
        <v>101.99213386575767</v>
      </c>
      <c r="T113" s="33">
        <f t="shared" si="23"/>
        <v>2398507642.6938033</v>
      </c>
      <c r="U113" s="42">
        <f t="shared" si="33"/>
        <v>18494419697.693291</v>
      </c>
      <c r="V113" s="42">
        <f t="shared" si="34"/>
        <v>700000000</v>
      </c>
      <c r="W113" s="42">
        <v>8000000</v>
      </c>
      <c r="X113" s="42">
        <v>0</v>
      </c>
      <c r="Y113" s="33">
        <f t="shared" si="35"/>
        <v>26460434876.109093</v>
      </c>
    </row>
    <row r="114" spans="1:25">
      <c r="A114" s="14">
        <v>25</v>
      </c>
      <c r="B114" s="14">
        <v>83</v>
      </c>
      <c r="C114" s="72">
        <f t="shared" si="25"/>
        <v>6698732539.7595453</v>
      </c>
      <c r="D114" s="42">
        <f t="shared" si="29"/>
        <v>3223147984.0057402</v>
      </c>
      <c r="E114" s="50">
        <f t="shared" si="30"/>
        <v>2383663366.0145168</v>
      </c>
      <c r="F114" s="50">
        <f t="shared" si="31"/>
        <v>383088755.2523331</v>
      </c>
      <c r="G114" s="42">
        <f t="shared" si="32"/>
        <v>708832434.48695576</v>
      </c>
      <c r="H114" s="33">
        <f t="shared" si="36"/>
        <v>154550908.73849064</v>
      </c>
      <c r="I114" s="48">
        <f t="shared" si="37"/>
        <v>601034070.34671068</v>
      </c>
      <c r="J114" s="33">
        <f t="shared" si="38"/>
        <v>213862660.26439372</v>
      </c>
      <c r="K114" s="33">
        <f t="shared" si="26"/>
        <v>173925730.68986845</v>
      </c>
      <c r="L114" s="33">
        <f t="shared" si="39"/>
        <v>173925730.68986845</v>
      </c>
      <c r="M114" s="33">
        <f t="shared" si="24"/>
        <v>45806400.959268361</v>
      </c>
      <c r="N114" s="33">
        <f t="shared" si="21"/>
        <v>15670708.335157147</v>
      </c>
      <c r="O114" s="33">
        <f t="shared" si="28"/>
        <v>30232473.323357791</v>
      </c>
      <c r="P114" s="33">
        <f t="shared" si="22"/>
        <v>91709582.617783308</v>
      </c>
      <c r="Q114" s="33">
        <v>50000000</v>
      </c>
      <c r="R114" s="33">
        <f>P114/POWER(1+$B$12,24)+Q114</f>
        <v>100703967.9720124</v>
      </c>
      <c r="S114" s="34">
        <f t="shared" si="15"/>
        <v>102.71428784195938</v>
      </c>
      <c r="T114" s="33">
        <f t="shared" si="23"/>
        <v>2499211610.6658158</v>
      </c>
      <c r="U114" s="42">
        <f t="shared" si="33"/>
        <v>21268582652.347282</v>
      </c>
      <c r="V114" s="42">
        <f t="shared" si="34"/>
        <v>700000000</v>
      </c>
      <c r="W114" s="42">
        <v>8000000</v>
      </c>
      <c r="X114" s="42">
        <v>0</v>
      </c>
      <c r="Y114" s="33">
        <f t="shared" si="35"/>
        <v>29992614292.836159</v>
      </c>
    </row>
    <row r="115" spans="1:25">
      <c r="A115" s="24" t="s">
        <v>112</v>
      </c>
      <c r="P115" s="49">
        <f>SUM(P90:P114)</f>
        <v>1771289972.0974305</v>
      </c>
      <c r="Q115" s="49"/>
      <c r="R115" s="49">
        <f>SUM(R90:R114)</f>
        <v>2499211610.6658158</v>
      </c>
      <c r="T115" s="36">
        <f>T114</f>
        <v>2499211610.6658158</v>
      </c>
      <c r="U115" s="36"/>
    </row>
  </sheetData>
  <mergeCells count="3">
    <mergeCell ref="A1:T1"/>
    <mergeCell ref="A45:T45"/>
    <mergeCell ref="A81:T81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opLeftCell="A10" zoomScaleNormal="100" workbookViewId="0">
      <selection activeCell="A27" sqref="A27"/>
    </sheetView>
  </sheetViews>
  <sheetFormatPr defaultColWidth="8.7109375" defaultRowHeight="15"/>
  <cols>
    <col min="1" max="1" width="25" customWidth="1"/>
    <col min="2" max="9" width="14" customWidth="1"/>
  </cols>
  <sheetData>
    <row r="1" spans="1:10" ht="18">
      <c r="A1" s="130" t="s">
        <v>42</v>
      </c>
      <c r="B1" s="130"/>
      <c r="C1" s="130"/>
      <c r="D1" s="130"/>
      <c r="E1" s="130"/>
      <c r="F1" s="130"/>
      <c r="G1" s="130"/>
      <c r="H1" s="130"/>
      <c r="I1" s="130"/>
      <c r="J1" s="130"/>
    </row>
    <row r="3" spans="1:10">
      <c r="A3" s="1" t="s">
        <v>43</v>
      </c>
    </row>
    <row r="4" spans="1:10">
      <c r="A4" s="2" t="s">
        <v>44</v>
      </c>
      <c r="B4" s="2" t="s">
        <v>45</v>
      </c>
      <c r="C4" s="5" t="s">
        <v>46</v>
      </c>
      <c r="D4" s="2" t="s">
        <v>39</v>
      </c>
      <c r="E4" s="2" t="s">
        <v>47</v>
      </c>
    </row>
    <row r="5" spans="1:10">
      <c r="A5" s="3" t="s">
        <v>48</v>
      </c>
      <c r="B5" s="4">
        <v>12000000</v>
      </c>
      <c r="C5" s="4">
        <v>8000000</v>
      </c>
      <c r="D5" s="4">
        <f>'연금 시뮬레이션'!D39</f>
        <v>13680000</v>
      </c>
      <c r="E5" s="4">
        <f>B5+C5+D5</f>
        <v>33680000</v>
      </c>
    </row>
    <row r="6" spans="1:10">
      <c r="A6" s="3" t="s">
        <v>49</v>
      </c>
      <c r="B6" s="4">
        <v>12000000</v>
      </c>
      <c r="C6" s="4">
        <v>8000000</v>
      </c>
      <c r="D6" s="4">
        <v>0</v>
      </c>
      <c r="E6" s="4">
        <f>B6+C6+D6</f>
        <v>20000000</v>
      </c>
    </row>
    <row r="7" spans="1:10">
      <c r="A7" s="3" t="s">
        <v>50</v>
      </c>
      <c r="B7" s="4">
        <v>12000000</v>
      </c>
      <c r="C7" s="4">
        <v>8000000</v>
      </c>
      <c r="D7" s="4">
        <f>'연금 시뮬레이션'!D40</f>
        <v>18000000</v>
      </c>
      <c r="E7" s="4">
        <f>B7+C7+D7</f>
        <v>38000000</v>
      </c>
    </row>
    <row r="10" spans="1:10">
      <c r="A10" s="1" t="s">
        <v>51</v>
      </c>
    </row>
    <row r="11" spans="1:10">
      <c r="A11" s="2" t="s">
        <v>44</v>
      </c>
      <c r="B11" s="2" t="s">
        <v>52</v>
      </c>
      <c r="C11" s="2" t="s">
        <v>53</v>
      </c>
      <c r="D11" s="2" t="s">
        <v>54</v>
      </c>
      <c r="E11" s="5" t="s">
        <v>46</v>
      </c>
      <c r="F11" s="2" t="s">
        <v>22</v>
      </c>
      <c r="G11" s="5" t="s">
        <v>55</v>
      </c>
      <c r="H11" s="2" t="s">
        <v>56</v>
      </c>
      <c r="I11" s="2" t="s">
        <v>57</v>
      </c>
    </row>
    <row r="12" spans="1:10">
      <c r="A12" t="str">
        <f t="shared" ref="A12:B14" si="0">A5</f>
        <v>시나리오1 (59세 조기)</v>
      </c>
      <c r="B12" s="4">
        <f t="shared" si="0"/>
        <v>12000000</v>
      </c>
      <c r="C12" s="4">
        <f>D5</f>
        <v>13680000</v>
      </c>
      <c r="D12" s="4">
        <f>B12+C12</f>
        <v>25680000</v>
      </c>
      <c r="E12" s="4">
        <f>C5</f>
        <v>8000000</v>
      </c>
      <c r="F12" s="4">
        <f>IF(D12&lt;=12000000,D12*0.055,IF(D12&lt;=14000000,D12*0.06,IF(D12&lt;=50000000,D12*0.15,D12*0.24)))</f>
        <v>3852000</v>
      </c>
      <c r="G12" s="4">
        <f>E12*0.099</f>
        <v>792000</v>
      </c>
      <c r="H12" s="4">
        <f>F12+G12</f>
        <v>4644000</v>
      </c>
      <c r="I12" s="6">
        <f>H12/E5</f>
        <v>0.13788598574821853</v>
      </c>
    </row>
    <row r="13" spans="1:10">
      <c r="A13" t="str">
        <f t="shared" si="0"/>
        <v>시나리오2-1 (59~62세)</v>
      </c>
      <c r="B13" s="4">
        <f t="shared" si="0"/>
        <v>12000000</v>
      </c>
      <c r="C13" s="4">
        <f>D6</f>
        <v>0</v>
      </c>
      <c r="D13" s="4">
        <f>B13+C13</f>
        <v>12000000</v>
      </c>
      <c r="E13" s="4">
        <f>C6</f>
        <v>8000000</v>
      </c>
      <c r="F13" s="4">
        <f>IF(D13&lt;=12000000,D13*0.055,IF(D13&lt;=14000000,D13*0.06,IF(D13&lt;=50000000,D13*0.15,D13*0.24)))</f>
        <v>660000</v>
      </c>
      <c r="G13" s="4">
        <f>E13*0.099</f>
        <v>792000</v>
      </c>
      <c r="H13" s="4">
        <f>F13+G13</f>
        <v>1452000</v>
      </c>
      <c r="I13" s="6">
        <f>H13/E6</f>
        <v>7.2599999999999998E-2</v>
      </c>
    </row>
    <row r="14" spans="1:10">
      <c r="A14" t="str">
        <f t="shared" si="0"/>
        <v>시나리오2-2 (63세~)</v>
      </c>
      <c r="B14" s="4">
        <f t="shared" si="0"/>
        <v>12000000</v>
      </c>
      <c r="C14" s="4">
        <f>D7</f>
        <v>18000000</v>
      </c>
      <c r="D14" s="4">
        <f>B14+C14</f>
        <v>30000000</v>
      </c>
      <c r="E14" s="4">
        <f>C7</f>
        <v>8000000</v>
      </c>
      <c r="F14" s="4">
        <f>IF(D14&lt;=12000000,D14*0.055,IF(D14&lt;=14000000,D14*0.06,IF(D14&lt;=50000000,D14*0.15,D14*0.24)))</f>
        <v>4500000</v>
      </c>
      <c r="G14" s="4">
        <f>E14*0.099</f>
        <v>792000</v>
      </c>
      <c r="H14" s="4">
        <f>F14+G14</f>
        <v>5292000</v>
      </c>
      <c r="I14" s="6">
        <f>H14/E7</f>
        <v>0.13926315789473684</v>
      </c>
    </row>
    <row r="17" spans="1:9">
      <c r="A17" s="1" t="s">
        <v>58</v>
      </c>
    </row>
    <row r="18" spans="1:9">
      <c r="A18" s="2" t="s">
        <v>59</v>
      </c>
      <c r="B18" s="2" t="s">
        <v>9</v>
      </c>
    </row>
    <row r="19" spans="1:9">
      <c r="A19" s="3" t="s">
        <v>60</v>
      </c>
      <c r="B19" s="4">
        <f>'연금 시뮬레이션'!B17</f>
        <v>460000000</v>
      </c>
    </row>
    <row r="20" spans="1:9">
      <c r="A20" s="3" t="s">
        <v>61</v>
      </c>
      <c r="B20" s="4">
        <f>'연금 시뮬레이션'!B18</f>
        <v>200000000</v>
      </c>
    </row>
    <row r="21" spans="1:9">
      <c r="A21" s="3" t="s">
        <v>62</v>
      </c>
      <c r="B21" s="4">
        <f>B19-B20</f>
        <v>260000000</v>
      </c>
    </row>
    <row r="24" spans="1:9">
      <c r="A24" s="2" t="s">
        <v>44</v>
      </c>
      <c r="B24" s="2" t="s">
        <v>63</v>
      </c>
      <c r="C24" s="2" t="s">
        <v>64</v>
      </c>
      <c r="D24" s="2" t="s">
        <v>65</v>
      </c>
      <c r="E24" s="2" t="s">
        <v>66</v>
      </c>
      <c r="F24" s="2" t="s">
        <v>67</v>
      </c>
      <c r="G24" s="2" t="s">
        <v>68</v>
      </c>
    </row>
    <row r="25" spans="1:9">
      <c r="A25" t="str">
        <f>A12</f>
        <v>시나리오1 (59세 조기)</v>
      </c>
      <c r="B25" s="4">
        <f>D12</f>
        <v>25680000</v>
      </c>
      <c r="C25" s="4">
        <f>MAX(0,(D12-3360000)*0.0699/12)</f>
        <v>130014</v>
      </c>
      <c r="D25" s="4">
        <f>IF($B$21&lt;=50000000,0,IF($B$21&lt;=90000000,($B$21-50000000)*0.0015/12,IF($B$21&lt;=180000000,($B$21-90000000)*0.0035/12+50000/12,IF($B$21&lt;=300000000,($B$21-180000000)*0.007/12+315000/12,IF($B$21&lt;=600000000,($B$21-300000000)*0.011/12+1015000/12,($B$21-600000000)*0.02/12+3765000/12)))))</f>
        <v>72916.666666666657</v>
      </c>
      <c r="E25" s="4">
        <v>10990</v>
      </c>
      <c r="F25" s="4">
        <f>C25+D25+E25</f>
        <v>213920.66666666666</v>
      </c>
      <c r="G25" s="4">
        <f>F25*12</f>
        <v>2567048</v>
      </c>
    </row>
    <row r="26" spans="1:9">
      <c r="A26" t="str">
        <f>A13</f>
        <v>시나리오2-1 (59~62세)</v>
      </c>
      <c r="B26" s="4">
        <f>D13</f>
        <v>12000000</v>
      </c>
      <c r="C26" s="4">
        <f>MAX(0,(D13-3360000)*0.0699/12)</f>
        <v>50328</v>
      </c>
      <c r="D26" s="4">
        <f>IF($B$21&lt;=50000000,0,IF($B$21&lt;=90000000,($B$21-50000000)*0.0015/12,IF($B$21&lt;=180000000,($B$21-90000000)*0.0035/12+50000/12,IF($B$21&lt;=300000000,($B$21-180000000)*0.007/12+315000/12,IF($B$21&lt;=600000000,($B$21-300000000)*0.011/12+1015000/12,($B$21-600000000)*0.02/12+3765000/12)))))</f>
        <v>72916.666666666657</v>
      </c>
      <c r="E26" s="4">
        <v>10990</v>
      </c>
      <c r="F26" s="4">
        <f>C26+D26+E26</f>
        <v>134234.66666666666</v>
      </c>
      <c r="G26" s="4">
        <f>F26*12</f>
        <v>1610816</v>
      </c>
    </row>
    <row r="27" spans="1:9">
      <c r="A27" t="str">
        <f>A14</f>
        <v>시나리오2-2 (63세~)</v>
      </c>
      <c r="B27" s="4">
        <f>D14</f>
        <v>30000000</v>
      </c>
      <c r="C27" s="4">
        <f>MAX(0,(D14-3360000)*0.0699/12)</f>
        <v>155178</v>
      </c>
      <c r="D27" s="4">
        <f>IF($B$21&lt;=50000000,0,IF($B$21&lt;=90000000,($B$21-50000000)*0.0015/12,IF($B$21&lt;=180000000,($B$21-90000000)*0.0035/12+50000/12,IF($B$21&lt;=300000000,($B$21-180000000)*0.007/12+315000/12,IF($B$21&lt;=600000000,($B$21-300000000)*0.011/12+1015000/12,($B$21-600000000)*0.02/12+3765000/12)))))</f>
        <v>72916.666666666657</v>
      </c>
      <c r="E27" s="4">
        <v>10990</v>
      </c>
      <c r="F27" s="4">
        <f>C27+D27+E27</f>
        <v>239084.66666666666</v>
      </c>
      <c r="G27" s="4">
        <f>F27*12</f>
        <v>2869016</v>
      </c>
    </row>
    <row r="30" spans="1:9">
      <c r="A30" s="7" t="s">
        <v>69</v>
      </c>
    </row>
    <row r="31" spans="1:9">
      <c r="A31" s="8" t="s">
        <v>44</v>
      </c>
      <c r="B31" s="8" t="s">
        <v>70</v>
      </c>
      <c r="C31" s="8" t="s">
        <v>71</v>
      </c>
      <c r="D31" s="8" t="s">
        <v>72</v>
      </c>
      <c r="E31" s="8" t="s">
        <v>73</v>
      </c>
      <c r="F31" s="8" t="s">
        <v>74</v>
      </c>
      <c r="G31" s="8" t="s">
        <v>75</v>
      </c>
      <c r="H31" s="8" t="s">
        <v>76</v>
      </c>
      <c r="I31" s="8" t="s">
        <v>77</v>
      </c>
    </row>
    <row r="32" spans="1:9">
      <c r="A32" t="str">
        <f>A5</f>
        <v>시나리오1 (59세 조기)</v>
      </c>
      <c r="B32" s="4">
        <f>E5</f>
        <v>33680000</v>
      </c>
      <c r="C32" s="4">
        <f>H12</f>
        <v>4644000</v>
      </c>
      <c r="D32" s="4">
        <f>G25</f>
        <v>2567048</v>
      </c>
      <c r="E32" s="4">
        <f>'연금 시뮬레이션'!B20</f>
        <v>8000000</v>
      </c>
      <c r="F32" s="4">
        <f>C32+D32+E32</f>
        <v>15211048</v>
      </c>
      <c r="G32" s="4">
        <f>B32-F32</f>
        <v>18468952</v>
      </c>
      <c r="H32" s="4">
        <f>G32/12</f>
        <v>1539079.3333333333</v>
      </c>
      <c r="I32" s="6">
        <f>F32/B32</f>
        <v>0.45163444180522566</v>
      </c>
    </row>
    <row r="33" spans="1:9">
      <c r="A33" t="str">
        <f>A6</f>
        <v>시나리오2-1 (59~62세)</v>
      </c>
      <c r="B33" s="4">
        <f>E6</f>
        <v>20000000</v>
      </c>
      <c r="C33" s="4">
        <f>H13</f>
        <v>1452000</v>
      </c>
      <c r="D33" s="4">
        <f>G26</f>
        <v>1610816</v>
      </c>
      <c r="E33" s="4">
        <f>'연금 시뮬레이션'!B20</f>
        <v>8000000</v>
      </c>
      <c r="F33" s="4">
        <f>C33+D33+E33</f>
        <v>11062816</v>
      </c>
      <c r="G33" s="4">
        <f>B33-F33</f>
        <v>8937184</v>
      </c>
      <c r="H33" s="4">
        <f>G33/12</f>
        <v>744765.33333333337</v>
      </c>
      <c r="I33" s="6">
        <f>F33/B33</f>
        <v>0.55314079999999999</v>
      </c>
    </row>
    <row r="34" spans="1:9">
      <c r="A34" t="str">
        <f>A7</f>
        <v>시나리오2-2 (63세~)</v>
      </c>
      <c r="B34" s="4">
        <f>E7</f>
        <v>38000000</v>
      </c>
      <c r="C34" s="4">
        <f>H14</f>
        <v>5292000</v>
      </c>
      <c r="D34" s="4">
        <f>G27</f>
        <v>2869016</v>
      </c>
      <c r="E34" s="4">
        <f>'연금 시뮬레이션'!B20</f>
        <v>8000000</v>
      </c>
      <c r="F34" s="4">
        <f>C34+D34+E34</f>
        <v>16161016</v>
      </c>
      <c r="G34" s="4">
        <f>B34-F34</f>
        <v>21838984</v>
      </c>
      <c r="H34" s="4">
        <f>G34/12</f>
        <v>1819915.3333333333</v>
      </c>
      <c r="I34" s="6">
        <f>F34/B34</f>
        <v>0.42528989473684209</v>
      </c>
    </row>
    <row r="37" spans="1:9">
      <c r="A37" s="1" t="s">
        <v>78</v>
      </c>
    </row>
    <row r="38" spans="1:9">
      <c r="A38" s="2" t="s">
        <v>1</v>
      </c>
      <c r="B38" s="2" t="s">
        <v>9</v>
      </c>
      <c r="C38" s="2" t="s">
        <v>79</v>
      </c>
      <c r="D38" s="2" t="s">
        <v>3</v>
      </c>
    </row>
    <row r="39" spans="1:9">
      <c r="A39" s="3" t="s">
        <v>80</v>
      </c>
      <c r="B39" s="4">
        <v>4000000</v>
      </c>
      <c r="C39" s="4">
        <f>B39*0.099</f>
        <v>396000</v>
      </c>
      <c r="D39" s="3" t="s">
        <v>81</v>
      </c>
    </row>
    <row r="40" spans="1:9">
      <c r="A40" s="3" t="s">
        <v>82</v>
      </c>
      <c r="B40" s="3" t="s">
        <v>83</v>
      </c>
      <c r="C40" s="3" t="s">
        <v>84</v>
      </c>
      <c r="D40" s="3" t="s">
        <v>85</v>
      </c>
    </row>
    <row r="42" spans="1:9">
      <c r="A42" s="131" t="s">
        <v>86</v>
      </c>
      <c r="B42" s="131"/>
      <c r="C42" s="131"/>
      <c r="D42" s="131"/>
    </row>
    <row r="43" spans="1:9">
      <c r="A43" t="s">
        <v>87</v>
      </c>
    </row>
    <row r="44" spans="1:9">
      <c r="A44" t="s">
        <v>88</v>
      </c>
    </row>
    <row r="45" spans="1:9">
      <c r="A45" t="s">
        <v>89</v>
      </c>
    </row>
    <row r="46" spans="1:9">
      <c r="A46" s="3" t="s">
        <v>90</v>
      </c>
    </row>
  </sheetData>
  <mergeCells count="2">
    <mergeCell ref="A1:J1"/>
    <mergeCell ref="A42:D42"/>
  </mergeCells>
  <phoneticPr fontId="1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연금시뮬레이션(260607)</vt:lpstr>
      <vt:lpstr>연금 시뮬레이션 (3)</vt:lpstr>
      <vt:lpstr>연금 시뮬레이션</vt:lpstr>
      <vt:lpstr>세금 및 건보료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노광래</cp:lastModifiedBy>
  <cp:revision>0</cp:revision>
  <dcterms:created xsi:type="dcterms:W3CDTF">2025-12-27T10:08:56Z</dcterms:created>
  <dcterms:modified xsi:type="dcterms:W3CDTF">2026-06-07T07:49:40Z</dcterms:modified>
  <dc:language>en-US</dc:language>
</cp:coreProperties>
</file>