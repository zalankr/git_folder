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ilpus\Desktop\git_folder\"/>
    </mc:Choice>
  </mc:AlternateContent>
  <xr:revisionPtr revIDLastSave="0" documentId="13_ncr:1_{BEFD5F43-101E-4399-9770-D6E88FC9EBE5}" xr6:coauthVersionLast="36" xr6:coauthVersionMax="36" xr10:uidLastSave="{00000000-0000-0000-0000-000000000000}"/>
  <bookViews>
    <workbookView xWindow="0" yWindow="0" windowWidth="16380" windowHeight="8190" tabRatio="500" xr2:uid="{00000000-000D-0000-FFFF-FFFF00000000}"/>
  </bookViews>
  <sheets>
    <sheet name="연금 시뮬레이션" sheetId="1" r:id="rId1"/>
    <sheet name="세금 및 건보료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93" i="1" l="1"/>
  <c r="S90" i="1"/>
  <c r="P90" i="1"/>
  <c r="C89" i="1"/>
  <c r="X84" i="1"/>
  <c r="N96" i="1" l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95" i="1"/>
  <c r="N94" i="1"/>
  <c r="K103" i="1" l="1"/>
  <c r="K104" i="1"/>
  <c r="K105" i="1"/>
  <c r="K106" i="1" s="1"/>
  <c r="K107" i="1" s="1"/>
  <c r="K108" i="1" s="1"/>
  <c r="K109" i="1" s="1"/>
  <c r="K110" i="1" s="1"/>
  <c r="K111" i="1" s="1"/>
  <c r="K112" i="1" s="1"/>
  <c r="K113" i="1" s="1"/>
  <c r="K114" i="1" s="1"/>
  <c r="K91" i="1"/>
  <c r="K92" i="1"/>
  <c r="K93" i="1"/>
  <c r="K94" i="1" s="1"/>
  <c r="K95" i="1" s="1"/>
  <c r="K96" i="1" s="1"/>
  <c r="K97" i="1" s="1"/>
  <c r="K98" i="1" s="1"/>
  <c r="K99" i="1" s="1"/>
  <c r="K100" i="1" s="1"/>
  <c r="K101" i="1" s="1"/>
  <c r="K102" i="1" s="1"/>
  <c r="C26" i="1"/>
  <c r="C31" i="1"/>
  <c r="C32" i="1"/>
  <c r="I90" i="1"/>
  <c r="I91" i="1" s="1"/>
  <c r="I92" i="1" s="1"/>
  <c r="I93" i="1" s="1"/>
  <c r="I94" i="1" s="1"/>
  <c r="I95" i="1" s="1"/>
  <c r="I96" i="1" s="1"/>
  <c r="I97" i="1" s="1"/>
  <c r="I98" i="1" s="1"/>
  <c r="I99" i="1" s="1"/>
  <c r="I100" i="1" s="1"/>
  <c r="I101" i="1" s="1"/>
  <c r="I102" i="1" s="1"/>
  <c r="I103" i="1" s="1"/>
  <c r="I104" i="1" s="1"/>
  <c r="I105" i="1" s="1"/>
  <c r="I106" i="1" s="1"/>
  <c r="I107" i="1" s="1"/>
  <c r="I108" i="1" s="1"/>
  <c r="I109" i="1" s="1"/>
  <c r="I110" i="1" s="1"/>
  <c r="I111" i="1" s="1"/>
  <c r="I112" i="1" s="1"/>
  <c r="I113" i="1" s="1"/>
  <c r="I114" i="1" s="1"/>
  <c r="G87" i="1"/>
  <c r="F87" i="1"/>
  <c r="E87" i="1"/>
  <c r="Z84" i="1"/>
  <c r="G85" i="1"/>
  <c r="G86" i="1" s="1"/>
  <c r="V102" i="1"/>
  <c r="V103" i="1" s="1"/>
  <c r="V99" i="1" s="1"/>
  <c r="V100" i="1"/>
  <c r="T86" i="1"/>
  <c r="T87" i="1" s="1"/>
  <c r="T88" i="1" s="1"/>
  <c r="T89" i="1" s="1"/>
  <c r="Z83" i="1"/>
  <c r="U88" i="1"/>
  <c r="U89" i="1" s="1"/>
  <c r="F20" i="1"/>
  <c r="D20" i="1"/>
  <c r="I80" i="1"/>
  <c r="E84" i="1"/>
  <c r="E85" i="1" s="1"/>
  <c r="E86" i="1" s="1"/>
  <c r="D84" i="1"/>
  <c r="D85" i="1" s="1"/>
  <c r="D86" i="1" s="1"/>
  <c r="D87" i="1" s="1"/>
  <c r="G84" i="1"/>
  <c r="F84" i="1"/>
  <c r="F85" i="1" s="1"/>
  <c r="F86" i="1" s="1"/>
  <c r="H84" i="1"/>
  <c r="H85" i="1" s="1"/>
  <c r="H86" i="1" s="1"/>
  <c r="H87" i="1" s="1"/>
  <c r="H88" i="1" s="1"/>
  <c r="H89" i="1" s="1"/>
  <c r="H90" i="1" s="1"/>
  <c r="H91" i="1" s="1"/>
  <c r="C83" i="1"/>
  <c r="X83" i="1" s="1"/>
  <c r="K85" i="1"/>
  <c r="K86" i="1" s="1"/>
  <c r="K87" i="1" s="1"/>
  <c r="K88" i="1" s="1"/>
  <c r="K89" i="1" s="1"/>
  <c r="K90" i="1" s="1"/>
  <c r="C13" i="1"/>
  <c r="C28" i="1"/>
  <c r="C27" i="1"/>
  <c r="I84" i="1" s="1"/>
  <c r="I85" i="1" s="1"/>
  <c r="I86" i="1" s="1"/>
  <c r="I87" i="1" s="1"/>
  <c r="I88" i="1" s="1"/>
  <c r="I89" i="1" s="1"/>
  <c r="C39" i="2"/>
  <c r="A34" i="2"/>
  <c r="B33" i="2"/>
  <c r="A33" i="2"/>
  <c r="A32" i="2"/>
  <c r="A26" i="2"/>
  <c r="A25" i="2"/>
  <c r="B20" i="2"/>
  <c r="B19" i="2"/>
  <c r="E14" i="2"/>
  <c r="G14" i="2" s="1"/>
  <c r="B14" i="2"/>
  <c r="A14" i="2"/>
  <c r="A27" i="2" s="1"/>
  <c r="G13" i="2"/>
  <c r="E13" i="2"/>
  <c r="C13" i="2"/>
  <c r="B13" i="2"/>
  <c r="D13" i="2" s="1"/>
  <c r="A13" i="2"/>
  <c r="G12" i="2"/>
  <c r="E12" i="2"/>
  <c r="B12" i="2"/>
  <c r="A12" i="2"/>
  <c r="E6" i="2"/>
  <c r="M55" i="1"/>
  <c r="L55" i="1"/>
  <c r="M56" i="1"/>
  <c r="J55" i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J72" i="1" s="1"/>
  <c r="J73" i="1" s="1"/>
  <c r="J74" i="1" s="1"/>
  <c r="J75" i="1" s="1"/>
  <c r="J76" i="1" s="1"/>
  <c r="J77" i="1" s="1"/>
  <c r="J78" i="1" s="1"/>
  <c r="I55" i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H55" i="1"/>
  <c r="M54" i="1"/>
  <c r="L54" i="1"/>
  <c r="D40" i="1"/>
  <c r="D39" i="1"/>
  <c r="N55" i="1" s="1"/>
  <c r="B21" i="1"/>
  <c r="B20" i="1"/>
  <c r="H92" i="1" l="1"/>
  <c r="T90" i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F88" i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B31" i="1"/>
  <c r="M90" i="1"/>
  <c r="B27" i="1"/>
  <c r="B26" i="1"/>
  <c r="G88" i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Z89" i="1"/>
  <c r="C85" i="1"/>
  <c r="E88" i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C86" i="1"/>
  <c r="X86" i="1" s="1"/>
  <c r="D88" i="1"/>
  <c r="D89" i="1" s="1"/>
  <c r="B32" i="1"/>
  <c r="B33" i="1" s="1"/>
  <c r="C84" i="1"/>
  <c r="J84" i="1"/>
  <c r="N58" i="1"/>
  <c r="N60" i="1"/>
  <c r="L56" i="1"/>
  <c r="H56" i="1"/>
  <c r="L57" i="1" s="1"/>
  <c r="D7" i="2"/>
  <c r="C14" i="2" s="1"/>
  <c r="D14" i="2" s="1"/>
  <c r="O55" i="1"/>
  <c r="P55" i="1" s="1"/>
  <c r="N64" i="1"/>
  <c r="N67" i="1"/>
  <c r="B21" i="2"/>
  <c r="D26" i="2" s="1"/>
  <c r="E33" i="2"/>
  <c r="E34" i="2"/>
  <c r="E32" i="2"/>
  <c r="N61" i="1"/>
  <c r="N68" i="1"/>
  <c r="N75" i="1"/>
  <c r="N69" i="1"/>
  <c r="D5" i="2"/>
  <c r="N76" i="1"/>
  <c r="N78" i="1"/>
  <c r="N72" i="1"/>
  <c r="N66" i="1"/>
  <c r="N77" i="1"/>
  <c r="N70" i="1"/>
  <c r="N63" i="1"/>
  <c r="N57" i="1"/>
  <c r="N65" i="1"/>
  <c r="N74" i="1"/>
  <c r="N71" i="1"/>
  <c r="N56" i="1"/>
  <c r="O56" i="1" s="1"/>
  <c r="P56" i="1" s="1"/>
  <c r="N73" i="1"/>
  <c r="N62" i="1"/>
  <c r="N54" i="1"/>
  <c r="O54" i="1" s="1"/>
  <c r="N59" i="1"/>
  <c r="C26" i="2"/>
  <c r="F13" i="2"/>
  <c r="H13" i="2" s="1"/>
  <c r="B26" i="2"/>
  <c r="H93" i="1" l="1"/>
  <c r="M91" i="1"/>
  <c r="J85" i="1"/>
  <c r="C88" i="1"/>
  <c r="X88" i="1" s="1"/>
  <c r="D90" i="1"/>
  <c r="D91" i="1" s="1"/>
  <c r="C87" i="1"/>
  <c r="X87" i="1" s="1"/>
  <c r="H57" i="1"/>
  <c r="H58" i="1" s="1"/>
  <c r="E7" i="2"/>
  <c r="B34" i="2" s="1"/>
  <c r="M57" i="1"/>
  <c r="O57" i="1" s="1"/>
  <c r="P57" i="1" s="1"/>
  <c r="D27" i="2"/>
  <c r="D25" i="2"/>
  <c r="F26" i="2"/>
  <c r="G26" i="2" s="1"/>
  <c r="D33" i="2" s="1"/>
  <c r="P54" i="1"/>
  <c r="R56" i="1" s="1"/>
  <c r="C33" i="2"/>
  <c r="I13" i="2"/>
  <c r="C27" i="2"/>
  <c r="B27" i="2"/>
  <c r="F14" i="2"/>
  <c r="H14" i="2" s="1"/>
  <c r="C12" i="2"/>
  <c r="D12" i="2" s="1"/>
  <c r="E5" i="2"/>
  <c r="B32" i="2" s="1"/>
  <c r="L58" i="1"/>
  <c r="H94" i="1" l="1"/>
  <c r="M92" i="1"/>
  <c r="J86" i="1"/>
  <c r="X85" i="1"/>
  <c r="C90" i="1"/>
  <c r="M58" i="1"/>
  <c r="O58" i="1" s="1"/>
  <c r="P58" i="1" s="1"/>
  <c r="R58" i="1" s="1"/>
  <c r="R57" i="1"/>
  <c r="F33" i="2"/>
  <c r="I33" i="2" s="1"/>
  <c r="F27" i="2"/>
  <c r="G27" i="2" s="1"/>
  <c r="D34" i="2" s="1"/>
  <c r="L59" i="1"/>
  <c r="H59" i="1"/>
  <c r="C25" i="2"/>
  <c r="F25" i="2" s="1"/>
  <c r="G25" i="2" s="1"/>
  <c r="D32" i="2" s="1"/>
  <c r="B25" i="2"/>
  <c r="F12" i="2"/>
  <c r="H12" i="2" s="1"/>
  <c r="R54" i="1"/>
  <c r="S54" i="1"/>
  <c r="S55" i="1" s="1"/>
  <c r="S56" i="1" s="1"/>
  <c r="S57" i="1" s="1"/>
  <c r="R55" i="1"/>
  <c r="C34" i="2"/>
  <c r="I14" i="2"/>
  <c r="H95" i="1" l="1"/>
  <c r="J87" i="1"/>
  <c r="M93" i="1"/>
  <c r="C91" i="1"/>
  <c r="D92" i="1"/>
  <c r="S58" i="1"/>
  <c r="M59" i="1"/>
  <c r="O59" i="1" s="1"/>
  <c r="P59" i="1" s="1"/>
  <c r="R59" i="1" s="1"/>
  <c r="F34" i="2"/>
  <c r="G34" i="2" s="1"/>
  <c r="H34" i="2" s="1"/>
  <c r="G33" i="2"/>
  <c r="H33" i="2" s="1"/>
  <c r="C32" i="2"/>
  <c r="F32" i="2" s="1"/>
  <c r="I12" i="2"/>
  <c r="H60" i="1"/>
  <c r="L60" i="1"/>
  <c r="H96" i="1" l="1"/>
  <c r="M94" i="1"/>
  <c r="J88" i="1"/>
  <c r="C92" i="1"/>
  <c r="D93" i="1"/>
  <c r="M60" i="1"/>
  <c r="O60" i="1" s="1"/>
  <c r="P60" i="1" s="1"/>
  <c r="S59" i="1"/>
  <c r="I34" i="2"/>
  <c r="L61" i="1"/>
  <c r="H61" i="1"/>
  <c r="I32" i="2"/>
  <c r="G32" i="2"/>
  <c r="H32" i="2" s="1"/>
  <c r="H97" i="1" l="1"/>
  <c r="M95" i="1"/>
  <c r="J89" i="1"/>
  <c r="D94" i="1"/>
  <c r="C93" i="1"/>
  <c r="M61" i="1"/>
  <c r="O61" i="1" s="1"/>
  <c r="P61" i="1" s="1"/>
  <c r="R61" i="1" s="1"/>
  <c r="R60" i="1"/>
  <c r="S60" i="1"/>
  <c r="L62" i="1"/>
  <c r="H62" i="1"/>
  <c r="H98" i="1" l="1"/>
  <c r="J90" i="1"/>
  <c r="X89" i="1"/>
  <c r="M96" i="1"/>
  <c r="B28" i="1"/>
  <c r="B29" i="1" s="1"/>
  <c r="C94" i="1"/>
  <c r="D95" i="1"/>
  <c r="D96" i="1" s="1"/>
  <c r="S61" i="1"/>
  <c r="M62" i="1"/>
  <c r="O62" i="1" s="1"/>
  <c r="P62" i="1" s="1"/>
  <c r="H63" i="1"/>
  <c r="L63" i="1"/>
  <c r="O90" i="1" l="1"/>
  <c r="J91" i="1"/>
  <c r="L90" i="1"/>
  <c r="H99" i="1"/>
  <c r="M97" i="1"/>
  <c r="C95" i="1"/>
  <c r="S62" i="1"/>
  <c r="M63" i="1"/>
  <c r="O63" i="1" s="1"/>
  <c r="P63" i="1" s="1"/>
  <c r="R63" i="1" s="1"/>
  <c r="R62" i="1"/>
  <c r="L64" i="1"/>
  <c r="H64" i="1"/>
  <c r="H100" i="1" l="1"/>
  <c r="J92" i="1"/>
  <c r="L91" i="1"/>
  <c r="O91" i="1" s="1"/>
  <c r="P91" i="1" s="1"/>
  <c r="M98" i="1"/>
  <c r="R91" i="1"/>
  <c r="R90" i="1"/>
  <c r="S91" i="1"/>
  <c r="D97" i="1"/>
  <c r="C96" i="1"/>
  <c r="M64" i="1"/>
  <c r="O64" i="1" s="1"/>
  <c r="P64" i="1" s="1"/>
  <c r="S63" i="1"/>
  <c r="L65" i="1"/>
  <c r="H65" i="1"/>
  <c r="J93" i="1" l="1"/>
  <c r="L92" i="1"/>
  <c r="O92" i="1" s="1"/>
  <c r="P92" i="1" s="1"/>
  <c r="R92" i="1" s="1"/>
  <c r="H101" i="1"/>
  <c r="M99" i="1"/>
  <c r="D98" i="1"/>
  <c r="C97" i="1"/>
  <c r="M65" i="1"/>
  <c r="O65" i="1" s="1"/>
  <c r="P65" i="1" s="1"/>
  <c r="R65" i="1" s="1"/>
  <c r="H66" i="1"/>
  <c r="L66" i="1"/>
  <c r="R64" i="1"/>
  <c r="S64" i="1"/>
  <c r="S92" i="1" l="1"/>
  <c r="H102" i="1"/>
  <c r="J94" i="1"/>
  <c r="L93" i="1"/>
  <c r="O93" i="1" s="1"/>
  <c r="P93" i="1" s="1"/>
  <c r="R93" i="1" s="1"/>
  <c r="M100" i="1"/>
  <c r="D99" i="1"/>
  <c r="C98" i="1"/>
  <c r="S65" i="1"/>
  <c r="M66" i="1"/>
  <c r="O66" i="1"/>
  <c r="P66" i="1" s="1"/>
  <c r="R66" i="1" s="1"/>
  <c r="L67" i="1"/>
  <c r="H67" i="1"/>
  <c r="J95" i="1" l="1"/>
  <c r="L94" i="1"/>
  <c r="O94" i="1" s="1"/>
  <c r="P94" i="1" s="1"/>
  <c r="R94" i="1" s="1"/>
  <c r="H103" i="1"/>
  <c r="M101" i="1"/>
  <c r="D100" i="1"/>
  <c r="D101" i="1" s="1"/>
  <c r="C99" i="1"/>
  <c r="S66" i="1"/>
  <c r="M67" i="1"/>
  <c r="O67" i="1" s="1"/>
  <c r="P67" i="1" s="1"/>
  <c r="H68" i="1"/>
  <c r="L68" i="1"/>
  <c r="H104" i="1" l="1"/>
  <c r="S94" i="1"/>
  <c r="S95" i="1" s="1"/>
  <c r="J96" i="1"/>
  <c r="L95" i="1"/>
  <c r="O95" i="1" s="1"/>
  <c r="P95" i="1" s="1"/>
  <c r="R95" i="1" s="1"/>
  <c r="M102" i="1"/>
  <c r="C100" i="1"/>
  <c r="R67" i="1"/>
  <c r="S67" i="1"/>
  <c r="M68" i="1"/>
  <c r="O68" i="1" s="1"/>
  <c r="P68" i="1" s="1"/>
  <c r="H69" i="1"/>
  <c r="L69" i="1"/>
  <c r="H105" i="1" l="1"/>
  <c r="J97" i="1"/>
  <c r="L96" i="1"/>
  <c r="O96" i="1" s="1"/>
  <c r="P96" i="1" s="1"/>
  <c r="R96" i="1" s="1"/>
  <c r="M103" i="1"/>
  <c r="D102" i="1"/>
  <c r="C101" i="1"/>
  <c r="R68" i="1"/>
  <c r="S68" i="1"/>
  <c r="M69" i="1"/>
  <c r="O69" i="1" s="1"/>
  <c r="P69" i="1" s="1"/>
  <c r="R69" i="1" s="1"/>
  <c r="L70" i="1"/>
  <c r="H70" i="1"/>
  <c r="S96" i="1" l="1"/>
  <c r="H106" i="1"/>
  <c r="J98" i="1"/>
  <c r="L97" i="1"/>
  <c r="O97" i="1" s="1"/>
  <c r="P97" i="1" s="1"/>
  <c r="R97" i="1" s="1"/>
  <c r="M104" i="1"/>
  <c r="C102" i="1"/>
  <c r="D103" i="1"/>
  <c r="M70" i="1"/>
  <c r="O70" i="1" s="1"/>
  <c r="P70" i="1" s="1"/>
  <c r="S69" i="1"/>
  <c r="L71" i="1"/>
  <c r="H71" i="1"/>
  <c r="H107" i="1" l="1"/>
  <c r="S97" i="1"/>
  <c r="S98" i="1" s="1"/>
  <c r="J99" i="1"/>
  <c r="L98" i="1"/>
  <c r="O98" i="1" s="1"/>
  <c r="P98" i="1" s="1"/>
  <c r="R98" i="1" s="1"/>
  <c r="M105" i="1"/>
  <c r="C103" i="1"/>
  <c r="D104" i="1"/>
  <c r="R70" i="1"/>
  <c r="S70" i="1"/>
  <c r="M71" i="1"/>
  <c r="O71" i="1" s="1"/>
  <c r="P71" i="1" s="1"/>
  <c r="R71" i="1" s="1"/>
  <c r="H72" i="1"/>
  <c r="L72" i="1"/>
  <c r="H108" i="1" l="1"/>
  <c r="J100" i="1"/>
  <c r="L99" i="1"/>
  <c r="O99" i="1" s="1"/>
  <c r="P99" i="1" s="1"/>
  <c r="R99" i="1" s="1"/>
  <c r="S99" i="1"/>
  <c r="M106" i="1"/>
  <c r="C104" i="1"/>
  <c r="D105" i="1"/>
  <c r="S71" i="1"/>
  <c r="M72" i="1"/>
  <c r="O72" i="1"/>
  <c r="P72" i="1" s="1"/>
  <c r="R72" i="1" s="1"/>
  <c r="L73" i="1"/>
  <c r="H73" i="1"/>
  <c r="J101" i="1" l="1"/>
  <c r="L100" i="1"/>
  <c r="O100" i="1" s="1"/>
  <c r="P100" i="1" s="1"/>
  <c r="R100" i="1" s="1"/>
  <c r="H109" i="1"/>
  <c r="M107" i="1"/>
  <c r="S100" i="1"/>
  <c r="C105" i="1"/>
  <c r="D106" i="1"/>
  <c r="M73" i="1"/>
  <c r="O73" i="1" s="1"/>
  <c r="P73" i="1" s="1"/>
  <c r="R73" i="1" s="1"/>
  <c r="S72" i="1"/>
  <c r="L74" i="1"/>
  <c r="H74" i="1"/>
  <c r="J102" i="1" l="1"/>
  <c r="L101" i="1"/>
  <c r="O101" i="1" s="1"/>
  <c r="P101" i="1" s="1"/>
  <c r="R101" i="1" s="1"/>
  <c r="H110" i="1"/>
  <c r="S101" i="1"/>
  <c r="M108" i="1"/>
  <c r="C106" i="1"/>
  <c r="D107" i="1"/>
  <c r="M74" i="1"/>
  <c r="O74" i="1" s="1"/>
  <c r="P74" i="1" s="1"/>
  <c r="R74" i="1" s="1"/>
  <c r="S73" i="1"/>
  <c r="H75" i="1"/>
  <c r="L75" i="1"/>
  <c r="H111" i="1" l="1"/>
  <c r="J103" i="1"/>
  <c r="L102" i="1"/>
  <c r="O102" i="1" s="1"/>
  <c r="P102" i="1" s="1"/>
  <c r="R102" i="1" s="1"/>
  <c r="M109" i="1"/>
  <c r="C107" i="1"/>
  <c r="D108" i="1"/>
  <c r="S74" i="1"/>
  <c r="M75" i="1"/>
  <c r="O75" i="1" s="1"/>
  <c r="P75" i="1" s="1"/>
  <c r="H76" i="1"/>
  <c r="L76" i="1"/>
  <c r="S102" i="1" l="1"/>
  <c r="J104" i="1"/>
  <c r="L103" i="1"/>
  <c r="O103" i="1" s="1"/>
  <c r="P103" i="1" s="1"/>
  <c r="R103" i="1" s="1"/>
  <c r="H112" i="1"/>
  <c r="M110" i="1"/>
  <c r="D109" i="1"/>
  <c r="C108" i="1"/>
  <c r="R75" i="1"/>
  <c r="S75" i="1"/>
  <c r="M76" i="1"/>
  <c r="O76" i="1" s="1"/>
  <c r="P76" i="1" s="1"/>
  <c r="R76" i="1" s="1"/>
  <c r="L77" i="1"/>
  <c r="H77" i="1"/>
  <c r="H113" i="1" l="1"/>
  <c r="S103" i="1"/>
  <c r="S104" i="1" s="1"/>
  <c r="J105" i="1"/>
  <c r="L104" i="1"/>
  <c r="O104" i="1" s="1"/>
  <c r="P104" i="1" s="1"/>
  <c r="R104" i="1" s="1"/>
  <c r="M111" i="1"/>
  <c r="C109" i="1"/>
  <c r="D110" i="1"/>
  <c r="M77" i="1"/>
  <c r="O77" i="1" s="1"/>
  <c r="P77" i="1" s="1"/>
  <c r="R77" i="1" s="1"/>
  <c r="S76" i="1"/>
  <c r="L78" i="1"/>
  <c r="H78" i="1"/>
  <c r="J106" i="1" l="1"/>
  <c r="L105" i="1"/>
  <c r="O105" i="1" s="1"/>
  <c r="P105" i="1" s="1"/>
  <c r="R105" i="1" s="1"/>
  <c r="H114" i="1"/>
  <c r="S105" i="1"/>
  <c r="M112" i="1"/>
  <c r="C110" i="1"/>
  <c r="D111" i="1"/>
  <c r="S77" i="1"/>
  <c r="M78" i="1"/>
  <c r="O78" i="1" s="1"/>
  <c r="J107" i="1" l="1"/>
  <c r="L106" i="1"/>
  <c r="O106" i="1" s="1"/>
  <c r="P106" i="1" s="1"/>
  <c r="R106" i="1" s="1"/>
  <c r="M113" i="1"/>
  <c r="D112" i="1"/>
  <c r="C111" i="1"/>
  <c r="P78" i="1"/>
  <c r="R78" i="1" s="1"/>
  <c r="O79" i="1"/>
  <c r="P79" i="1"/>
  <c r="S106" i="1" l="1"/>
  <c r="J108" i="1"/>
  <c r="L107" i="1"/>
  <c r="O107" i="1" s="1"/>
  <c r="P107" i="1" s="1"/>
  <c r="R107" i="1" s="1"/>
  <c r="S107" i="1"/>
  <c r="M114" i="1"/>
  <c r="C112" i="1"/>
  <c r="D113" i="1"/>
  <c r="S78" i="1"/>
  <c r="S79" i="1" s="1"/>
  <c r="J109" i="1" l="1"/>
  <c r="L108" i="1"/>
  <c r="O108" i="1" s="1"/>
  <c r="P108" i="1"/>
  <c r="D114" i="1"/>
  <c r="C114" i="1" s="1"/>
  <c r="C113" i="1"/>
  <c r="J110" i="1" l="1"/>
  <c r="L109" i="1"/>
  <c r="O109" i="1" s="1"/>
  <c r="P109" i="1" s="1"/>
  <c r="R109" i="1" s="1"/>
  <c r="R108" i="1"/>
  <c r="S108" i="1"/>
  <c r="S109" i="1" s="1"/>
  <c r="J111" i="1" l="1"/>
  <c r="L110" i="1"/>
  <c r="O110" i="1" s="1"/>
  <c r="P110" i="1" s="1"/>
  <c r="R110" i="1" s="1"/>
  <c r="S110" i="1"/>
  <c r="J112" i="1" l="1"/>
  <c r="L111" i="1"/>
  <c r="O111" i="1" s="1"/>
  <c r="P111" i="1" s="1"/>
  <c r="R111" i="1" s="1"/>
  <c r="J113" i="1" l="1"/>
  <c r="L112" i="1"/>
  <c r="O112" i="1" s="1"/>
  <c r="P112" i="1" s="1"/>
  <c r="R112" i="1" s="1"/>
  <c r="S111" i="1"/>
  <c r="S112" i="1" s="1"/>
  <c r="J114" i="1" l="1"/>
  <c r="L114" i="1" s="1"/>
  <c r="L113" i="1"/>
  <c r="O113" i="1" s="1"/>
  <c r="P113" i="1"/>
  <c r="O114" i="1"/>
  <c r="P114" i="1" s="1"/>
  <c r="R114" i="1" s="1"/>
  <c r="O115" i="1" l="1"/>
  <c r="R113" i="1"/>
  <c r="S113" i="1"/>
  <c r="S114" i="1" s="1"/>
  <c r="S115" i="1" s="1"/>
  <c r="P115" i="1"/>
</calcChain>
</file>

<file path=xl/sharedStrings.xml><?xml version="1.0" encoding="utf-8"?>
<sst xmlns="http://schemas.openxmlformats.org/spreadsheetml/2006/main" count="179" uniqueCount="146">
  <si>
    <t>■ 기본 정보</t>
  </si>
  <si>
    <t>항목</t>
  </si>
  <si>
    <t>값</t>
  </si>
  <si>
    <t>비고</t>
  </si>
  <si>
    <t>생년월일</t>
  </si>
  <si>
    <t>연금 개시 나이</t>
  </si>
  <si>
    <t>예상 인플레이션</t>
  </si>
  <si>
    <t>연평균 실질 물가상승률</t>
  </si>
  <si>
    <t>■ 주거 조건</t>
  </si>
  <si>
    <t>금액</t>
  </si>
  <si>
    <t>아파트 공시가격</t>
  </si>
  <si>
    <t>주택담보대출</t>
  </si>
  <si>
    <t>대출 이자율</t>
  </si>
  <si>
    <t>연간 대출이자</t>
  </si>
  <si>
    <t>건보료 산정 재산</t>
  </si>
  <si>
    <t>부채 차감 후</t>
  </si>
  <si>
    <t>자산 구분</t>
  </si>
  <si>
    <t>원금</t>
  </si>
  <si>
    <t>연 수익률</t>
  </si>
  <si>
    <t>연 인출률</t>
  </si>
  <si>
    <t>변액유니버셜보험</t>
  </si>
  <si>
    <t>비과세</t>
  </si>
  <si>
    <t>연금소득세</t>
  </si>
  <si>
    <t>퇴직연금</t>
  </si>
  <si>
    <t>사적연금 합계</t>
  </si>
  <si>
    <t>■ 국민연금 정보</t>
  </si>
  <si>
    <t>수령 시기</t>
  </si>
  <si>
    <t>개시 나이</t>
  </si>
  <si>
    <t>월 수령액</t>
  </si>
  <si>
    <t>연 수령액</t>
  </si>
  <si>
    <t>조정률</t>
  </si>
  <si>
    <t>조기수령</t>
  </si>
  <si>
    <t>정상수령</t>
  </si>
  <si>
    <t>연차</t>
  </si>
  <si>
    <t>나이</t>
  </si>
  <si>
    <t>변액보험잔액</t>
  </si>
  <si>
    <t>연금저축잔액</t>
  </si>
  <si>
    <t>퇴직연금잔액</t>
  </si>
  <si>
    <t>사적연금수령</t>
  </si>
  <si>
    <t>국민연금</t>
  </si>
  <si>
    <t>구매력지수</t>
  </si>
  <si>
    <t>누적실질총액</t>
  </si>
  <si>
    <t>세금 및 건강보험료 상세 분석</t>
  </si>
  <si>
    <r>
      <rPr>
        <b/>
        <sz val="11"/>
        <color rgb="FFFF0000"/>
        <rFont val="Noto Sans CJK SC"/>
        <family val="2"/>
      </rPr>
      <t xml:space="preserve">■ 시나리오별 연간 평균 수령액 </t>
    </r>
    <r>
      <rPr>
        <b/>
        <sz val="11"/>
        <color rgb="FFFF0000"/>
        <rFont val="Cambria"/>
        <family val="1"/>
      </rPr>
      <t>(1</t>
    </r>
    <r>
      <rPr>
        <b/>
        <sz val="11"/>
        <color rgb="FFFF0000"/>
        <rFont val="Noto Sans CJK SC"/>
        <family val="2"/>
      </rPr>
      <t>년차 기준</t>
    </r>
    <r>
      <rPr>
        <b/>
        <sz val="11"/>
        <color rgb="FFFF0000"/>
        <rFont val="Cambria"/>
        <family val="1"/>
      </rPr>
      <t>)</t>
    </r>
  </si>
  <si>
    <t>시나리오</t>
  </si>
  <si>
    <t>사적연금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</si>
  <si>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</t>
    </r>
  </si>
  <si>
    <t>총 수령액</t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</si>
  <si>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1 (59</t>
    </r>
    <r>
      <rPr>
        <sz val="11"/>
        <color theme="1"/>
        <rFont val="Noto Sans CJK SC"/>
        <family val="2"/>
      </rPr>
      <t>세 조기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</si>
  <si>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2-1 (59~62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</si>
  <si>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Noto Sans CJK SC"/>
        <family val="2"/>
      </rPr>
      <t>시나리오</t>
    </r>
    <r>
      <rPr>
        <sz val="11"/>
        <color theme="1"/>
        <rFont val="Calibri"/>
        <family val="2"/>
        <charset val="1"/>
      </rPr>
      <t>2-2 (63</t>
    </r>
    <r>
      <rPr>
        <sz val="11"/>
        <color theme="1"/>
        <rFont val="Noto Sans CJK SC"/>
        <family val="2"/>
      </rPr>
      <t>세</t>
    </r>
    <r>
      <rPr>
        <sz val="11"/>
        <color theme="1"/>
        <rFont val="Calibri"/>
        <family val="2"/>
        <charset val="1"/>
      </rPr>
      <t>~)</t>
    </r>
  </si>
  <si>
    <t>■ 세금 상세</t>
  </si>
  <si>
    <t>사적연금소득</t>
  </si>
  <si>
    <t>국민연금소득</t>
  </si>
  <si>
    <t>연금소득합계</t>
  </si>
  <si>
    <r>
      <rPr>
        <b/>
        <sz val="11"/>
        <rFont val="Cambria"/>
        <family val="1"/>
      </rPr>
      <t>ISA</t>
    </r>
    <r>
      <rPr>
        <b/>
        <sz val="11"/>
        <rFont val="Noto Sans CJK SC"/>
        <family val="2"/>
      </rPr>
      <t>배당세</t>
    </r>
  </si>
  <si>
    <t>총세금</t>
  </si>
  <si>
    <t>실효세율</t>
  </si>
  <si>
    <r>
      <rPr>
        <b/>
        <sz val="11"/>
        <color rgb="FFFF0000"/>
        <rFont val="Noto Sans CJK SC"/>
        <family val="2"/>
      </rPr>
      <t xml:space="preserve">■ 건강보험료 </t>
    </r>
    <r>
      <rPr>
        <b/>
        <sz val="11"/>
        <color rgb="FFFF0000"/>
        <rFont val="Cambria"/>
        <family val="1"/>
      </rPr>
      <t>(</t>
    </r>
    <r>
      <rPr>
        <b/>
        <sz val="11"/>
        <color rgb="FFFF0000"/>
        <rFont val="Noto Sans CJK SC"/>
        <family val="2"/>
      </rPr>
      <t>아파트 보유 조건</t>
    </r>
    <r>
      <rPr>
        <b/>
        <sz val="11"/>
        <color rgb="FFFF0000"/>
        <rFont val="Cambria"/>
        <family val="1"/>
      </rPr>
      <t>)</t>
    </r>
  </si>
  <si>
    <t>재산 항목</t>
  </si>
  <si>
    <t>아파트 공시가</t>
  </si>
  <si>
    <t>주담대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</si>
  <si>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건보료 산정</t>
    </r>
    <r>
      <rPr>
        <sz val="11"/>
        <color theme="1"/>
        <rFont val="Calibri"/>
        <family val="2"/>
        <charset val="1"/>
      </rPr>
      <t>)</t>
    </r>
  </si>
  <si>
    <t>연금소득</t>
  </si>
  <si>
    <t>소득보험료</t>
  </si>
  <si>
    <t>재산보험료</t>
  </si>
  <si>
    <t>자동차</t>
  </si>
  <si>
    <t>월건보료</t>
  </si>
  <si>
    <t>연건보료</t>
  </si>
  <si>
    <r>
      <rPr>
        <b/>
        <sz val="11"/>
        <color rgb="FF0000FF"/>
        <rFont val="Noto Sans CJK SC"/>
        <family val="2"/>
      </rPr>
      <t xml:space="preserve">■ 최종 실수령액 </t>
    </r>
    <r>
      <rPr>
        <b/>
        <sz val="11"/>
        <color rgb="FF0000FF"/>
        <rFont val="Cambria"/>
        <family val="1"/>
      </rPr>
      <t>(</t>
    </r>
    <r>
      <rPr>
        <b/>
        <sz val="11"/>
        <color rgb="FF0000FF"/>
        <rFont val="Noto Sans CJK SC"/>
        <family val="2"/>
      </rPr>
      <t>연간</t>
    </r>
    <r>
      <rPr>
        <b/>
        <sz val="11"/>
        <color rgb="FF0000FF"/>
        <rFont val="Cambria"/>
        <family val="1"/>
      </rPr>
      <t>)</t>
    </r>
  </si>
  <si>
    <t>총소득</t>
  </si>
  <si>
    <t>세금</t>
  </si>
  <si>
    <t>건보료</t>
  </si>
  <si>
    <t>대출이자</t>
  </si>
  <si>
    <t>총부담</t>
  </si>
  <si>
    <t>실수령</t>
  </si>
  <si>
    <t>월실수령</t>
  </si>
  <si>
    <t>부담률</t>
  </si>
  <si>
    <t>■ 배우자 과세 및 건보료</t>
  </si>
  <si>
    <r>
      <rPr>
        <b/>
        <sz val="11"/>
        <rFont val="Noto Sans CJK SC"/>
        <family val="2"/>
      </rPr>
      <t>세금</t>
    </r>
    <r>
      <rPr>
        <b/>
        <sz val="11"/>
        <rFont val="Cambria"/>
        <family val="1"/>
      </rPr>
      <t>/</t>
    </r>
    <r>
      <rPr>
        <b/>
        <sz val="11"/>
        <rFont val="Noto Sans CJK SC"/>
        <family val="2"/>
      </rPr>
      <t>건보료</t>
    </r>
  </si>
  <si>
    <r>
      <rPr>
        <sz val="11"/>
        <color theme="1"/>
        <rFont val="Noto Sans CJK SC"/>
        <family val="2"/>
      </rPr>
      <t xml:space="preserve">배우자 </t>
    </r>
    <r>
      <rPr>
        <sz val="11"/>
        <color theme="1"/>
        <rFont val="Calibri"/>
        <family val="2"/>
        <charset val="1"/>
      </rPr>
      <t xml:space="preserve">ISA </t>
    </r>
    <r>
      <rPr>
        <sz val="11"/>
        <color theme="1"/>
        <rFont val="Noto Sans CJK SC"/>
        <family val="2"/>
      </rPr>
      <t>배당</t>
    </r>
  </si>
  <si>
    <r>
      <rPr>
        <sz val="11"/>
        <color theme="1"/>
        <rFont val="Noto Sans CJK SC"/>
        <family val="2"/>
      </rPr>
      <t xml:space="preserve">배당세 </t>
    </r>
    <r>
      <rPr>
        <sz val="11"/>
        <color theme="1"/>
        <rFont val="Calibri"/>
        <family val="2"/>
        <charset val="1"/>
      </rPr>
      <t>9.9%</t>
    </r>
  </si>
  <si>
    <t>배우자 피부양자 여부</t>
  </si>
  <si>
    <t>탈락 가능성 높음</t>
  </si>
  <si>
    <t>별도 건보료 발생</t>
  </si>
  <si>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 xml:space="preserve">억이나 </t>
    </r>
    <r>
      <rPr>
        <sz val="11"/>
        <color theme="1"/>
        <rFont val="Calibri"/>
        <family val="2"/>
        <charset val="1"/>
      </rPr>
      <t>9</t>
    </r>
    <r>
      <rPr>
        <sz val="11"/>
        <color theme="1"/>
        <rFont val="Noto Sans CJK SC"/>
        <family val="2"/>
      </rPr>
      <t>억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Noto Sans CJK SC"/>
        <family val="2"/>
      </rPr>
      <t>대출</t>
    </r>
    <r>
      <rPr>
        <sz val="11"/>
        <color theme="1"/>
        <rFont val="Calibri"/>
        <family val="2"/>
        <charset val="1"/>
      </rPr>
      <t>2</t>
    </r>
    <r>
      <rPr>
        <sz val="11"/>
        <color theme="1"/>
        <rFont val="Noto Sans CJK SC"/>
        <family val="2"/>
      </rPr>
      <t>억도 체크</t>
    </r>
  </si>
  <si>
    <r>
      <rPr>
        <b/>
        <sz val="11"/>
        <color rgb="FFFF0000"/>
        <rFont val="Noto Sans CJK SC"/>
        <family val="2"/>
      </rPr>
      <t>⚠️ 중요</t>
    </r>
    <r>
      <rPr>
        <b/>
        <sz val="11"/>
        <color rgb="FFFF0000"/>
        <rFont val="Cambria"/>
        <family val="1"/>
      </rPr>
      <t xml:space="preserve">: </t>
    </r>
    <r>
      <rPr>
        <b/>
        <sz val="11"/>
        <color rgb="FFFF0000"/>
        <rFont val="Noto Sans CJK SC"/>
        <family val="2"/>
      </rPr>
      <t xml:space="preserve">아파트 공시가 </t>
    </r>
    <r>
      <rPr>
        <b/>
        <sz val="11"/>
        <color rgb="FFFF0000"/>
        <rFont val="Cambria"/>
        <family val="1"/>
      </rPr>
      <t>6</t>
    </r>
    <r>
      <rPr>
        <b/>
        <sz val="11"/>
        <color rgb="FFFF0000"/>
        <rFont val="Noto Sans CJK SC"/>
        <family val="2"/>
      </rPr>
      <t>억원인 경우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</si>
  <si>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 xml:space="preserve">순재산 </t>
    </r>
    <r>
      <rPr>
        <sz val="11"/>
        <color theme="1"/>
        <rFont val="Calibri"/>
        <family val="2"/>
        <charset val="1"/>
      </rPr>
      <t>= 6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- 2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= 4</t>
    </r>
    <r>
      <rPr>
        <sz val="11"/>
        <color theme="1"/>
        <rFont val="Noto Sans CJK SC"/>
        <family val="2"/>
      </rPr>
      <t>억원</t>
    </r>
  </si>
  <si>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CJK SC"/>
        <family val="2"/>
      </rPr>
      <t>피부양자 기준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Noto Sans CJK SC"/>
        <family val="2"/>
      </rPr>
      <t xml:space="preserve">재산 </t>
    </r>
    <r>
      <rPr>
        <sz val="11"/>
        <color theme="1"/>
        <rFont val="Calibri"/>
        <family val="2"/>
        <charset val="1"/>
      </rPr>
      <t>5.4</t>
    </r>
    <r>
      <rPr>
        <sz val="11"/>
        <color theme="1"/>
        <rFont val="Noto Sans CJK SC"/>
        <family val="2"/>
      </rPr>
      <t>억원 이하</t>
    </r>
  </si>
  <si>
    <r>
      <rPr>
        <sz val="11"/>
        <color theme="1"/>
        <rFont val="Calibri"/>
        <family val="2"/>
        <charset val="1"/>
      </rPr>
      <t>→ 4</t>
    </r>
    <r>
      <rPr>
        <sz val="11"/>
        <color theme="1"/>
        <rFont val="Noto Sans CJK SC"/>
        <family val="2"/>
      </rPr>
      <t xml:space="preserve">억 </t>
    </r>
    <r>
      <rPr>
        <sz val="11"/>
        <color theme="1"/>
        <rFont val="Calibri"/>
        <family val="2"/>
        <charset val="1"/>
      </rPr>
      <t>&lt; 5.4</t>
    </r>
    <r>
      <rPr>
        <sz val="11"/>
        <color theme="1"/>
        <rFont val="Noto Sans CJK SC"/>
        <family val="2"/>
      </rPr>
      <t>억이므로 배우자 피부양자 등록 가능 ✅</t>
    </r>
  </si>
  <si>
    <r>
      <rPr>
        <sz val="11"/>
        <color theme="1"/>
        <rFont val="Noto Sans CJK SC"/>
        <family val="2"/>
      </rPr>
      <t xml:space="preserve">→ 배우자 건보료 </t>
    </r>
    <r>
      <rPr>
        <sz val="11"/>
        <color theme="1"/>
        <rFont val="Calibri"/>
        <family val="2"/>
        <charset val="1"/>
      </rPr>
      <t>0</t>
    </r>
    <r>
      <rPr>
        <sz val="11"/>
        <color theme="1"/>
        <rFont val="Noto Sans CJK SC"/>
        <family val="2"/>
      </rPr>
      <t xml:space="preserve">원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Noto Sans CJK SC"/>
        <family val="2"/>
      </rPr>
      <t>단</t>
    </r>
    <r>
      <rPr>
        <sz val="11"/>
        <color theme="1"/>
        <rFont val="Calibri"/>
        <family val="2"/>
        <charset val="1"/>
      </rPr>
      <t xml:space="preserve">, ISA </t>
    </r>
    <r>
      <rPr>
        <sz val="11"/>
        <color theme="1"/>
        <rFont val="Noto Sans CJK SC"/>
        <family val="2"/>
      </rPr>
      <t>배당세는 별도</t>
    </r>
    <r>
      <rPr>
        <sz val="11"/>
        <color theme="1"/>
        <rFont val="Calibri"/>
        <family val="2"/>
        <charset val="1"/>
      </rPr>
      <t>)</t>
    </r>
  </si>
  <si>
    <t>경제활동</t>
    <phoneticPr fontId="11" type="noConversion"/>
  </si>
  <si>
    <t>58세까지</t>
    <phoneticPr fontId="11" type="noConversion"/>
  </si>
  <si>
    <t>종합 연금 수령 시뮬레이션 (만 59세 개시, 아파트 보유)</t>
  </si>
  <si>
    <t>1973년생</t>
  </si>
  <si>
    <t>현재 만 52세</t>
  </si>
  <si>
    <t>만 59세</t>
  </si>
  <si>
    <t>2032년 시작</t>
  </si>
  <si>
    <t>2억원</t>
  </si>
  <si>
    <t>연 4%</t>
  </si>
  <si>
    <t>30년 상환 가정</t>
  </si>
  <si>
    <t>■ 자산 원금 및 운용 방식 (만 59세 개시일 기준)</t>
  </si>
  <si>
    <t>연금저축+IRP</t>
  </si>
  <si>
    <t>3억원</t>
  </si>
  <si>
    <t>ISA 배당주 (본인)</t>
  </si>
  <si>
    <t>분리과세 9.9%</t>
  </si>
  <si>
    <t>ISA 배당주 (배우자)</t>
  </si>
  <si>
    <t>ISA 합계</t>
  </si>
  <si>
    <t>총 2억원</t>
  </si>
  <si>
    <t>■ 시나리오 1: 59세 조기 국민연금 - 연도별 상세</t>
  </si>
  <si>
    <t>ISA배당</t>
  </si>
  <si>
    <t>총수령액(명목)</t>
  </si>
  <si>
    <t>총수령액(실질)</t>
  </si>
  <si>
    <t>25년 합계</t>
  </si>
  <si>
    <t>■ 시나리오 2: 63세 정상 국민연금 - 연도별 상세</t>
  </si>
  <si>
    <t>연금 인출율</t>
    <phoneticPr fontId="11" type="noConversion"/>
  </si>
  <si>
    <t>ISA 배당률</t>
    <phoneticPr fontId="11" type="noConversion"/>
  </si>
  <si>
    <t>ISA 수익률</t>
    <phoneticPr fontId="11" type="noConversion"/>
  </si>
  <si>
    <t>KRQT</t>
    <phoneticPr fontId="11" type="noConversion"/>
  </si>
  <si>
    <t>투자 총액</t>
    <phoneticPr fontId="11" type="noConversion"/>
  </si>
  <si>
    <t>ISA</t>
    <phoneticPr fontId="11" type="noConversion"/>
  </si>
  <si>
    <t>Crypto</t>
    <phoneticPr fontId="11" type="noConversion"/>
  </si>
  <si>
    <t>연금운용 연수익율</t>
    <phoneticPr fontId="11" type="noConversion"/>
  </si>
  <si>
    <t>KR</t>
    <phoneticPr fontId="11" type="noConversion"/>
  </si>
  <si>
    <t>KR 수익</t>
    <phoneticPr fontId="11" type="noConversion"/>
  </si>
  <si>
    <t>US수익</t>
    <phoneticPr fontId="11" type="noConversion"/>
  </si>
  <si>
    <t>Global</t>
    <phoneticPr fontId="11" type="noConversion"/>
  </si>
  <si>
    <t>Alternative</t>
    <phoneticPr fontId="11" type="noConversion"/>
  </si>
  <si>
    <t>공격투자총액</t>
    <phoneticPr fontId="11" type="noConversion"/>
  </si>
  <si>
    <t>윤저축</t>
    <phoneticPr fontId="11" type="noConversion"/>
  </si>
  <si>
    <t>내 계좌에서</t>
    <phoneticPr fontId="11" type="noConversion"/>
  </si>
  <si>
    <t>윤숙 계좌에서</t>
    <phoneticPr fontId="11" type="noConversion"/>
  </si>
  <si>
    <t>자산합계</t>
    <phoneticPr fontId="11" type="noConversion"/>
  </si>
  <si>
    <t>주택금액</t>
    <phoneticPr fontId="11" type="noConversion"/>
  </si>
  <si>
    <t>부채상환금</t>
    <phoneticPr fontId="11" type="noConversion"/>
  </si>
  <si>
    <t>아이들 증여</t>
    <phoneticPr fontId="11" type="noConversion"/>
  </si>
  <si>
    <t>주택가격</t>
    <phoneticPr fontId="11" type="noConversion"/>
  </si>
  <si>
    <t>청약저축</t>
    <phoneticPr fontId="11" type="noConversion"/>
  </si>
  <si>
    <t>KR투자금</t>
    <phoneticPr fontId="11" type="noConversion"/>
  </si>
  <si>
    <t>CR투자금</t>
    <phoneticPr fontId="11" type="noConversion"/>
  </si>
  <si>
    <t>US투자금</t>
    <phoneticPr fontId="11" type="noConversion"/>
  </si>
  <si>
    <t>6억원(6.5억원)</t>
    <phoneticPr fontId="11" type="noConversion"/>
  </si>
  <si>
    <t>아이들</t>
    <phoneticPr fontId="11" type="noConversion"/>
  </si>
  <si>
    <t>부부 각각 1억씩</t>
    <phoneticPr fontId="11" type="noConversion"/>
  </si>
  <si>
    <t>증여세 1000만원</t>
    <phoneticPr fontId="11" type="noConversion"/>
  </si>
  <si>
    <t>전세자금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</si>
</sst>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.0"/>
    <numFmt numFmtId="177" formatCode="0.0%"/>
  </numFmts>
  <fonts count="20">
    <font>
      <sz val="11"/>
      <color theme="1"/>
      <name val="Calibri"/>
      <family val="2"/>
      <charset val="1"/>
    </font>
    <font>
      <sz val="10"/>
      <name val="Arial"/>
    </font>
    <font>
      <b/>
      <sz val="14"/>
      <color rgb="FFFFFFFF"/>
      <name val="Noto Sans CJK SC"/>
      <family val="2"/>
    </font>
    <font>
      <b/>
      <sz val="11"/>
      <color rgb="FFFF0000"/>
      <name val="Noto Sans CJK SC"/>
      <family val="2"/>
    </font>
    <font>
      <b/>
      <sz val="11"/>
      <name val="Noto Sans CJK SC"/>
      <family val="2"/>
    </font>
    <font>
      <sz val="11"/>
      <color theme="1"/>
      <name val="Noto Sans CJK SC"/>
      <family val="2"/>
    </font>
    <font>
      <b/>
      <sz val="11"/>
      <color rgb="FFFF0000"/>
      <name val="Cambria"/>
      <family val="1"/>
    </font>
    <font>
      <b/>
      <sz val="11"/>
      <name val="Cambria"/>
      <family val="1"/>
    </font>
    <font>
      <b/>
      <sz val="11"/>
      <color rgb="FFFFFFFF"/>
      <name val="Noto Sans CJK SC"/>
      <family val="2"/>
    </font>
    <font>
      <b/>
      <sz val="11"/>
      <color rgb="FF0000FF"/>
      <name val="Noto Sans CJK SC"/>
      <family val="2"/>
    </font>
    <font>
      <b/>
      <sz val="11"/>
      <color rgb="FF0000FF"/>
      <name val="Cambria"/>
      <family val="1"/>
    </font>
    <font>
      <sz val="8"/>
      <name val="돋움"/>
      <family val="3"/>
      <charset val="129"/>
    </font>
    <font>
      <sz val="10"/>
      <name val="Noto Sans KR"/>
      <family val="3"/>
      <charset val="129"/>
    </font>
    <font>
      <b/>
      <sz val="10"/>
      <color rgb="FFFFFFFF"/>
      <name val="Noto Sans KR"/>
      <family val="3"/>
      <charset val="129"/>
    </font>
    <font>
      <sz val="10"/>
      <color theme="1"/>
      <name val="Noto Sans KR"/>
      <family val="3"/>
      <charset val="129"/>
    </font>
    <font>
      <b/>
      <sz val="10"/>
      <color rgb="FFFF0000"/>
      <name val="Noto Sans KR"/>
      <family val="3"/>
      <charset val="129"/>
    </font>
    <font>
      <b/>
      <sz val="10"/>
      <name val="Noto Sans KR"/>
      <family val="3"/>
      <charset val="129"/>
    </font>
    <font>
      <b/>
      <sz val="10"/>
      <color theme="1"/>
      <name val="Noto Sans KR"/>
      <family val="3"/>
      <charset val="129"/>
    </font>
    <font>
      <b/>
      <sz val="10"/>
      <color theme="0"/>
      <name val="Noto Sans KR"/>
      <family val="3"/>
      <charset val="129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3D3D3"/>
        <bgColor rgb="FFC0C0C0"/>
      </patternFill>
    </fill>
    <fill>
      <patternFill patternType="solid">
        <fgColor rgb="FF0070C0"/>
        <bgColor rgb="FF008080"/>
      </patternFill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70AD47"/>
        <bgColor rgb="FF33996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1" fillId="0" borderId="0" applyBorder="0" applyAlignment="0" applyProtection="0"/>
  </cellStyleXfs>
  <cellXfs count="95">
    <xf numFmtId="0" fontId="0" fillId="0" borderId="0" xfId="0"/>
    <xf numFmtId="0" fontId="3" fillId="0" borderId="0" xfId="0" applyFont="1"/>
    <xf numFmtId="0" fontId="4" fillId="3" borderId="0" xfId="0" applyFont="1" applyFill="1"/>
    <xf numFmtId="0" fontId="5" fillId="0" borderId="0" xfId="0" applyFont="1"/>
    <xf numFmtId="3" fontId="0" fillId="0" borderId="0" xfId="0" applyNumberFormat="1"/>
    <xf numFmtId="0" fontId="7" fillId="3" borderId="0" xfId="0" applyFont="1" applyFill="1"/>
    <xf numFmtId="177" fontId="0" fillId="0" borderId="0" xfId="0" applyNumberFormat="1"/>
    <xf numFmtId="0" fontId="9" fillId="0" borderId="0" xfId="0" applyFont="1"/>
    <xf numFmtId="0" fontId="8" fillId="7" borderId="0" xfId="0" applyFont="1" applyFill="1"/>
    <xf numFmtId="41" fontId="1" fillId="0" borderId="0" xfId="1"/>
    <xf numFmtId="0" fontId="14" fillId="0" borderId="0" xfId="0" applyFont="1"/>
    <xf numFmtId="0" fontId="15" fillId="0" borderId="0" xfId="0" applyFont="1"/>
    <xf numFmtId="0" fontId="16" fillId="3" borderId="1" xfId="0" applyFont="1" applyFill="1" applyBorder="1" applyAlignment="1">
      <alignment horizontal="center"/>
    </xf>
    <xf numFmtId="0" fontId="16" fillId="3" borderId="0" xfId="0" applyFont="1" applyFill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177" fontId="14" fillId="0" borderId="1" xfId="0" applyNumberFormat="1" applyFont="1" applyBorder="1" applyAlignment="1">
      <alignment horizontal="center"/>
    </xf>
    <xf numFmtId="177" fontId="14" fillId="0" borderId="0" xfId="0" applyNumberFormat="1" applyFont="1" applyAlignment="1">
      <alignment horizontal="right"/>
    </xf>
    <xf numFmtId="0" fontId="14" fillId="0" borderId="1" xfId="0" applyFont="1" applyBorder="1"/>
    <xf numFmtId="3" fontId="17" fillId="0" borderId="1" xfId="0" applyNumberFormat="1" applyFont="1" applyBorder="1"/>
    <xf numFmtId="3" fontId="14" fillId="0" borderId="0" xfId="0" applyNumberFormat="1" applyFont="1"/>
    <xf numFmtId="0" fontId="16" fillId="3" borderId="0" xfId="0" applyFont="1" applyFill="1"/>
    <xf numFmtId="177" fontId="12" fillId="0" borderId="0" xfId="2" applyNumberFormat="1" applyFont="1" applyAlignment="1">
      <alignment horizontal="right"/>
    </xf>
    <xf numFmtId="0" fontId="16" fillId="3" borderId="0" xfId="0" applyFont="1" applyFill="1" applyAlignment="1">
      <alignment horizontal="right"/>
    </xf>
    <xf numFmtId="177" fontId="14" fillId="0" borderId="0" xfId="0" applyNumberFormat="1" applyFont="1"/>
    <xf numFmtId="0" fontId="16" fillId="0" borderId="0" xfId="0" applyFont="1"/>
    <xf numFmtId="3" fontId="16" fillId="0" borderId="0" xfId="0" applyNumberFormat="1" applyFont="1"/>
    <xf numFmtId="9" fontId="14" fillId="0" borderId="0" xfId="0" applyNumberFormat="1" applyFont="1"/>
    <xf numFmtId="0" fontId="18" fillId="10" borderId="1" xfId="0" applyFont="1" applyFill="1" applyBorder="1" applyAlignment="1">
      <alignment horizontal="center"/>
    </xf>
    <xf numFmtId="177" fontId="14" fillId="0" borderId="1" xfId="0" applyNumberFormat="1" applyFont="1" applyBorder="1"/>
    <xf numFmtId="177" fontId="19" fillId="0" borderId="1" xfId="2" applyNumberFormat="1" applyFont="1" applyBorder="1"/>
    <xf numFmtId="0" fontId="13" fillId="5" borderId="1" xfId="0" applyFont="1" applyFill="1" applyBorder="1" applyAlignment="1">
      <alignment horizontal="center" wrapText="1"/>
    </xf>
    <xf numFmtId="0" fontId="14" fillId="0" borderId="1" xfId="0" applyFont="1" applyFill="1" applyBorder="1" applyAlignment="1">
      <alignment horizontal="center" wrapText="1"/>
    </xf>
    <xf numFmtId="0" fontId="14" fillId="8" borderId="1" xfId="0" applyFont="1" applyFill="1" applyBorder="1" applyAlignment="1">
      <alignment horizontal="center" wrapText="1"/>
    </xf>
    <xf numFmtId="3" fontId="14" fillId="0" borderId="1" xfId="0" applyNumberFormat="1" applyFont="1" applyBorder="1"/>
    <xf numFmtId="176" fontId="14" fillId="0" borderId="1" xfId="0" applyNumberFormat="1" applyFont="1" applyBorder="1"/>
    <xf numFmtId="176" fontId="14" fillId="0" borderId="0" xfId="0" applyNumberFormat="1" applyFont="1"/>
    <xf numFmtId="3" fontId="16" fillId="6" borderId="0" xfId="0" applyNumberFormat="1" applyFont="1" applyFill="1"/>
    <xf numFmtId="0" fontId="18" fillId="7" borderId="1" xfId="0" applyFont="1" applyFill="1" applyBorder="1" applyAlignment="1">
      <alignment horizontal="center" wrapText="1"/>
    </xf>
    <xf numFmtId="0" fontId="13" fillId="7" borderId="1" xfId="0" applyFont="1" applyFill="1" applyBorder="1" applyAlignment="1">
      <alignment horizontal="center" wrapText="1"/>
    </xf>
    <xf numFmtId="3" fontId="13" fillId="7" borderId="1" xfId="0" applyNumberFormat="1" applyFont="1" applyFill="1" applyBorder="1" applyAlignment="1">
      <alignment horizontal="center" wrapText="1"/>
    </xf>
    <xf numFmtId="176" fontId="13" fillId="7" borderId="1" xfId="0" applyNumberFormat="1" applyFont="1" applyFill="1" applyBorder="1" applyAlignment="1">
      <alignment horizontal="center" wrapText="1"/>
    </xf>
    <xf numFmtId="0" fontId="14" fillId="0" borderId="3" xfId="0" applyFont="1" applyFill="1" applyBorder="1" applyAlignment="1">
      <alignment horizontal="center" wrapText="1"/>
    </xf>
    <xf numFmtId="3" fontId="14" fillId="0" borderId="1" xfId="0" applyNumberFormat="1" applyFont="1" applyFill="1" applyBorder="1" applyAlignment="1">
      <alignment wrapText="1"/>
    </xf>
    <xf numFmtId="3" fontId="14" fillId="0" borderId="5" xfId="0" applyNumberFormat="1" applyFont="1" applyFill="1" applyBorder="1" applyAlignment="1">
      <alignment wrapText="1"/>
    </xf>
    <xf numFmtId="176" fontId="14" fillId="0" borderId="1" xfId="0" applyNumberFormat="1" applyFont="1" applyFill="1" applyBorder="1" applyAlignment="1">
      <alignment horizontal="center" wrapText="1"/>
    </xf>
    <xf numFmtId="3" fontId="14" fillId="0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wrapText="1"/>
    </xf>
    <xf numFmtId="0" fontId="14" fillId="0" borderId="2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3" fontId="14" fillId="0" borderId="5" xfId="0" applyNumberFormat="1" applyFont="1" applyBorder="1"/>
    <xf numFmtId="0" fontId="16" fillId="6" borderId="0" xfId="0" applyFont="1" applyFill="1"/>
    <xf numFmtId="0" fontId="14" fillId="0" borderId="0" xfId="0" applyFont="1" applyFill="1"/>
    <xf numFmtId="3" fontId="14" fillId="0" borderId="1" xfId="0" applyNumberFormat="1" applyFont="1" applyFill="1" applyBorder="1" applyAlignment="1">
      <alignment horizontal="right" wrapText="1"/>
    </xf>
    <xf numFmtId="0" fontId="14" fillId="9" borderId="1" xfId="0" applyFont="1" applyFill="1" applyBorder="1" applyAlignment="1">
      <alignment horizontal="center" wrapText="1"/>
    </xf>
    <xf numFmtId="0" fontId="14" fillId="9" borderId="3" xfId="0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wrapText="1"/>
    </xf>
    <xf numFmtId="176" fontId="14" fillId="9" borderId="1" xfId="0" applyNumberFormat="1" applyFont="1" applyFill="1" applyBorder="1" applyAlignment="1">
      <alignment horizontal="center" wrapText="1"/>
    </xf>
    <xf numFmtId="3" fontId="14" fillId="9" borderId="5" xfId="0" applyNumberFormat="1" applyFont="1" applyFill="1" applyBorder="1" applyAlignment="1">
      <alignment horizontal="center" wrapText="1"/>
    </xf>
    <xf numFmtId="3" fontId="14" fillId="9" borderId="1" xfId="0" applyNumberFormat="1" applyFont="1" applyFill="1" applyBorder="1" applyAlignment="1">
      <alignment horizontal="right" wrapText="1"/>
    </xf>
    <xf numFmtId="0" fontId="13" fillId="2" borderId="0" xfId="0" applyFont="1" applyFill="1" applyBorder="1" applyAlignment="1">
      <alignment horizontal="center"/>
    </xf>
    <xf numFmtId="0" fontId="13" fillId="4" borderId="0" xfId="0" applyFont="1" applyFill="1" applyBorder="1"/>
    <xf numFmtId="0" fontId="13" fillId="5" borderId="0" xfId="0" applyFont="1" applyFill="1" applyBorder="1" applyAlignment="1">
      <alignment horizontal="center" wrapText="1"/>
    </xf>
    <xf numFmtId="0" fontId="14" fillId="0" borderId="0" xfId="0" applyFont="1" applyFill="1" applyBorder="1" applyAlignment="1">
      <alignment horizontal="center" wrapText="1"/>
    </xf>
    <xf numFmtId="0" fontId="14" fillId="8" borderId="0" xfId="0" applyFont="1" applyFill="1" applyBorder="1" applyAlignment="1">
      <alignment horizontal="center" wrapText="1"/>
    </xf>
    <xf numFmtId="3" fontId="14" fillId="0" borderId="0" xfId="0" applyNumberFormat="1" applyFont="1" applyBorder="1"/>
    <xf numFmtId="0" fontId="13" fillId="7" borderId="0" xfId="0" applyFont="1" applyFill="1" applyBorder="1"/>
    <xf numFmtId="177" fontId="12" fillId="8" borderId="1" xfId="2" applyNumberFormat="1" applyFont="1" applyFill="1" applyBorder="1" applyAlignment="1">
      <alignment horizontal="center"/>
    </xf>
    <xf numFmtId="41" fontId="14" fillId="0" borderId="0" xfId="0" applyNumberFormat="1" applyFont="1"/>
    <xf numFmtId="0" fontId="14" fillId="8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wrapText="1"/>
    </xf>
    <xf numFmtId="0" fontId="14" fillId="11" borderId="3" xfId="0" applyFont="1" applyFill="1" applyBorder="1" applyAlignment="1">
      <alignment horizontal="center" wrapText="1"/>
    </xf>
    <xf numFmtId="3" fontId="14" fillId="11" borderId="1" xfId="0" applyNumberFormat="1" applyFont="1" applyFill="1" applyBorder="1" applyAlignment="1">
      <alignment horizontal="right" wrapText="1"/>
    </xf>
    <xf numFmtId="3" fontId="14" fillId="11" borderId="1" xfId="0" applyNumberFormat="1" applyFont="1" applyFill="1" applyBorder="1" applyAlignment="1">
      <alignment wrapText="1"/>
    </xf>
    <xf numFmtId="3" fontId="14" fillId="11" borderId="5" xfId="0" applyNumberFormat="1" applyFont="1" applyFill="1" applyBorder="1" applyAlignment="1">
      <alignment wrapText="1"/>
    </xf>
    <xf numFmtId="176" fontId="14" fillId="11" borderId="1" xfId="0" applyNumberFormat="1" applyFont="1" applyFill="1" applyBorder="1" applyAlignment="1">
      <alignment horizontal="center" wrapText="1"/>
    </xf>
    <xf numFmtId="3" fontId="14" fillId="11" borderId="5" xfId="0" applyNumberFormat="1" applyFont="1" applyFill="1" applyBorder="1" applyAlignment="1">
      <alignment horizontal="center" wrapText="1"/>
    </xf>
    <xf numFmtId="3" fontId="14" fillId="11" borderId="1" xfId="0" applyNumberFormat="1" applyFont="1" applyFill="1" applyBorder="1"/>
    <xf numFmtId="3" fontId="14" fillId="9" borderId="1" xfId="0" applyNumberFormat="1" applyFont="1" applyFill="1" applyBorder="1"/>
    <xf numFmtId="3" fontId="12" fillId="0" borderId="1" xfId="0" applyNumberFormat="1" applyFont="1" applyFill="1" applyBorder="1" applyAlignment="1">
      <alignment horizontal="right" wrapText="1"/>
    </xf>
    <xf numFmtId="3" fontId="12" fillId="0" borderId="1" xfId="0" applyNumberFormat="1" applyFont="1" applyFill="1" applyBorder="1" applyAlignment="1">
      <alignment wrapText="1"/>
    </xf>
    <xf numFmtId="177" fontId="16" fillId="8" borderId="1" xfId="2" applyNumberFormat="1" applyFont="1" applyFill="1" applyBorder="1" applyAlignment="1">
      <alignment horizontal="center"/>
    </xf>
    <xf numFmtId="3" fontId="17" fillId="0" borderId="1" xfId="0" applyNumberFormat="1" applyFont="1" applyFill="1" applyBorder="1" applyAlignment="1">
      <alignment wrapText="1"/>
    </xf>
    <xf numFmtId="4" fontId="14" fillId="0" borderId="0" xfId="0" applyNumberFormat="1" applyFont="1"/>
    <xf numFmtId="3" fontId="14" fillId="12" borderId="1" xfId="0" applyNumberFormat="1" applyFont="1" applyFill="1" applyBorder="1" applyAlignment="1">
      <alignment wrapText="1"/>
    </xf>
    <xf numFmtId="3" fontId="14" fillId="12" borderId="1" xfId="0" applyNumberFormat="1" applyFont="1" applyFill="1" applyBorder="1" applyAlignment="1">
      <alignment horizontal="right" wrapText="1"/>
    </xf>
    <xf numFmtId="3" fontId="14" fillId="12" borderId="5" xfId="0" applyNumberFormat="1" applyFont="1" applyFill="1" applyBorder="1" applyAlignment="1">
      <alignment horizontal="right" wrapText="1"/>
    </xf>
    <xf numFmtId="3" fontId="12" fillId="11" borderId="5" xfId="0" applyNumberFormat="1" applyFont="1" applyFill="1" applyBorder="1" applyAlignment="1">
      <alignment wrapText="1"/>
    </xf>
    <xf numFmtId="3" fontId="12" fillId="11" borderId="1" xfId="0" applyNumberFormat="1" applyFont="1" applyFill="1" applyBorder="1" applyAlignment="1">
      <alignment wrapText="1"/>
    </xf>
    <xf numFmtId="0" fontId="13" fillId="2" borderId="0" xfId="0" applyFont="1" applyFill="1" applyBorder="1" applyAlignment="1">
      <alignment horizontal="center"/>
    </xf>
    <xf numFmtId="0" fontId="13" fillId="4" borderId="1" xfId="0" applyFont="1" applyFill="1" applyBorder="1"/>
    <xf numFmtId="0" fontId="13" fillId="7" borderId="1" xfId="0" applyFont="1" applyFill="1" applyBorder="1"/>
    <xf numFmtId="0" fontId="2" fillId="2" borderId="0" xfId="0" applyFont="1" applyFill="1" applyBorder="1"/>
    <xf numFmtId="0" fontId="3" fillId="0" borderId="0" xfId="0" applyFont="1" applyBorder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5"/>
  <sheetViews>
    <sheetView tabSelected="1" topLeftCell="B44" zoomScaleNormal="100" workbookViewId="0">
      <selection activeCell="O90" sqref="O90"/>
    </sheetView>
  </sheetViews>
  <sheetFormatPr defaultColWidth="8.7109375" defaultRowHeight="16.5"/>
  <cols>
    <col min="1" max="1" width="10.7109375" style="10" customWidth="1"/>
    <col min="2" max="2" width="13.28515625" style="10" customWidth="1"/>
    <col min="3" max="3" width="14.5703125" style="10" customWidth="1"/>
    <col min="4" max="4" width="15" style="10" customWidth="1"/>
    <col min="5" max="5" width="14.42578125" style="10" customWidth="1"/>
    <col min="6" max="7" width="13.85546875" style="10" customWidth="1"/>
    <col min="8" max="8" width="13.7109375" style="10" customWidth="1"/>
    <col min="9" max="9" width="13" style="10" customWidth="1"/>
    <col min="10" max="10" width="13.7109375" style="10" customWidth="1"/>
    <col min="11" max="11" width="11.28515625" style="10" customWidth="1"/>
    <col min="12" max="13" width="13" style="10" customWidth="1"/>
    <col min="14" max="14" width="14.5703125" style="10" customWidth="1"/>
    <col min="15" max="15" width="15.7109375" style="10" customWidth="1"/>
    <col min="16" max="16" width="15.85546875" style="10" customWidth="1"/>
    <col min="17" max="17" width="10.42578125" style="10" customWidth="1"/>
    <col min="18" max="18" width="10" style="10" customWidth="1"/>
    <col min="19" max="19" width="15.7109375" style="10" customWidth="1"/>
    <col min="20" max="20" width="14.28515625" style="10" customWidth="1"/>
    <col min="21" max="21" width="13.140625" style="10" customWidth="1"/>
    <col min="22" max="22" width="13" style="10" customWidth="1"/>
    <col min="23" max="23" width="11.5703125" style="10" customWidth="1"/>
    <col min="24" max="24" width="15.85546875" style="10" customWidth="1"/>
    <col min="25" max="25" width="13" style="10" customWidth="1"/>
    <col min="26" max="26" width="14.7109375" style="10" customWidth="1"/>
    <col min="27" max="16384" width="8.7109375" style="10"/>
  </cols>
  <sheetData>
    <row r="1" spans="1:20">
      <c r="A1" s="90" t="s">
        <v>93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61"/>
    </row>
    <row r="3" spans="1:20">
      <c r="A3" s="11" t="s">
        <v>0</v>
      </c>
    </row>
    <row r="4" spans="1:20">
      <c r="A4" s="12" t="s">
        <v>1</v>
      </c>
      <c r="B4" s="12" t="s">
        <v>2</v>
      </c>
      <c r="C4" s="13" t="s">
        <v>3</v>
      </c>
    </row>
    <row r="5" spans="1:20">
      <c r="A5" s="14" t="s">
        <v>4</v>
      </c>
      <c r="B5" s="14" t="s">
        <v>94</v>
      </c>
      <c r="C5" s="15" t="s">
        <v>95</v>
      </c>
      <c r="D5" s="15"/>
      <c r="E5" s="15"/>
      <c r="F5" s="15"/>
      <c r="G5" s="15"/>
    </row>
    <row r="6" spans="1:20">
      <c r="A6" s="14" t="s">
        <v>91</v>
      </c>
      <c r="B6" s="14" t="s">
        <v>92</v>
      </c>
      <c r="C6" s="15"/>
      <c r="D6" s="15"/>
      <c r="E6" s="15"/>
      <c r="F6" s="15"/>
      <c r="G6" s="15"/>
    </row>
    <row r="7" spans="1:20">
      <c r="A7" s="14" t="s">
        <v>5</v>
      </c>
      <c r="B7" s="14" t="s">
        <v>96</v>
      </c>
      <c r="C7" s="15" t="s">
        <v>97</v>
      </c>
      <c r="D7" s="15"/>
      <c r="E7" s="15"/>
      <c r="F7" s="15"/>
      <c r="G7" s="15"/>
    </row>
    <row r="8" spans="1:20">
      <c r="A8" s="14" t="s">
        <v>122</v>
      </c>
      <c r="B8" s="16">
        <v>6.5000000000000002E-2</v>
      </c>
      <c r="C8" s="15"/>
      <c r="D8" s="17"/>
      <c r="E8" s="17"/>
      <c r="F8" s="17"/>
      <c r="G8" s="17"/>
    </row>
    <row r="9" spans="1:20">
      <c r="A9" s="14" t="s">
        <v>115</v>
      </c>
      <c r="B9" s="16">
        <v>0.05</v>
      </c>
      <c r="C9" s="15"/>
      <c r="D9" s="17"/>
      <c r="E9" s="17"/>
      <c r="F9" s="17"/>
      <c r="G9" s="17"/>
    </row>
    <row r="10" spans="1:20">
      <c r="A10" s="14" t="s">
        <v>117</v>
      </c>
      <c r="B10" s="16">
        <v>7.0000000000000007E-2</v>
      </c>
      <c r="C10" s="15"/>
      <c r="D10" s="17"/>
      <c r="E10" s="17"/>
      <c r="F10" s="17"/>
      <c r="G10" s="17"/>
    </row>
    <row r="11" spans="1:20">
      <c r="A11" s="14" t="s">
        <v>116</v>
      </c>
      <c r="B11" s="16">
        <v>0.05</v>
      </c>
      <c r="C11" s="15"/>
      <c r="D11" s="17"/>
      <c r="E11" s="17"/>
      <c r="F11" s="17"/>
      <c r="G11" s="17"/>
    </row>
    <row r="12" spans="1:20">
      <c r="A12" s="14" t="s">
        <v>6</v>
      </c>
      <c r="B12" s="16">
        <v>2.5000000000000001E-2</v>
      </c>
      <c r="C12" s="15" t="s">
        <v>7</v>
      </c>
      <c r="D12" s="17"/>
      <c r="E12" s="17"/>
      <c r="F12" s="17"/>
      <c r="G12" s="17"/>
    </row>
    <row r="13" spans="1:20">
      <c r="A13" s="18"/>
      <c r="B13" s="19">
        <v>100000000</v>
      </c>
      <c r="C13" s="20">
        <f>B13*4%</f>
        <v>4000000</v>
      </c>
      <c r="D13" s="20"/>
      <c r="E13" s="20"/>
      <c r="F13" s="20"/>
      <c r="G13" s="20"/>
    </row>
    <row r="15" spans="1:20">
      <c r="A15" s="11" t="s">
        <v>8</v>
      </c>
    </row>
    <row r="16" spans="1:20">
      <c r="A16" s="21" t="s">
        <v>1</v>
      </c>
      <c r="B16" s="21" t="s">
        <v>9</v>
      </c>
      <c r="C16" s="21" t="s">
        <v>3</v>
      </c>
    </row>
    <row r="17" spans="1:7">
      <c r="A17" s="10" t="s">
        <v>10</v>
      </c>
      <c r="B17" s="20">
        <v>460000000</v>
      </c>
      <c r="C17" s="15" t="s">
        <v>141</v>
      </c>
      <c r="D17" s="84"/>
      <c r="E17" s="20"/>
      <c r="F17" s="20"/>
      <c r="G17" s="20"/>
    </row>
    <row r="18" spans="1:7">
      <c r="A18" s="10" t="s">
        <v>11</v>
      </c>
      <c r="B18" s="20">
        <v>200000000</v>
      </c>
      <c r="C18" s="15" t="s">
        <v>98</v>
      </c>
      <c r="D18" s="20"/>
      <c r="E18" s="20"/>
      <c r="F18" s="20"/>
      <c r="G18" s="20"/>
    </row>
    <row r="19" spans="1:7">
      <c r="A19" s="10" t="s">
        <v>12</v>
      </c>
      <c r="B19" s="22">
        <v>0.04</v>
      </c>
      <c r="C19" s="15" t="s">
        <v>99</v>
      </c>
      <c r="D19" s="22"/>
      <c r="E19" s="22"/>
      <c r="F19" s="22"/>
      <c r="G19" s="22"/>
    </row>
    <row r="20" spans="1:7">
      <c r="A20" s="10" t="s">
        <v>13</v>
      </c>
      <c r="B20" s="20">
        <f>B18*B19</f>
        <v>8000000</v>
      </c>
      <c r="C20" s="15" t="s">
        <v>100</v>
      </c>
      <c r="D20" s="20">
        <f>B20/12</f>
        <v>666666.66666666663</v>
      </c>
      <c r="E20" s="20">
        <v>12000000</v>
      </c>
      <c r="F20" s="20">
        <f>E20/12</f>
        <v>1000000</v>
      </c>
      <c r="G20" s="20"/>
    </row>
    <row r="21" spans="1:7">
      <c r="A21" s="10" t="s">
        <v>14</v>
      </c>
      <c r="B21" s="20">
        <f>B17-B18</f>
        <v>260000000</v>
      </c>
      <c r="C21" s="15" t="s">
        <v>15</v>
      </c>
      <c r="D21" s="20"/>
      <c r="E21" s="20"/>
      <c r="F21" s="20"/>
      <c r="G21" s="20"/>
    </row>
    <row r="24" spans="1:7">
      <c r="A24" s="11" t="s">
        <v>101</v>
      </c>
    </row>
    <row r="25" spans="1:7">
      <c r="A25" s="23" t="s">
        <v>16</v>
      </c>
      <c r="B25" s="23" t="s">
        <v>17</v>
      </c>
      <c r="C25" s="23" t="s">
        <v>18</v>
      </c>
      <c r="D25" s="23" t="s">
        <v>19</v>
      </c>
      <c r="E25" s="13" t="s">
        <v>3</v>
      </c>
    </row>
    <row r="26" spans="1:7">
      <c r="A26" s="10" t="s">
        <v>20</v>
      </c>
      <c r="B26" s="20">
        <f>H89</f>
        <v>106517387.64724775</v>
      </c>
      <c r="C26" s="24">
        <f>B8</f>
        <v>6.5000000000000002E-2</v>
      </c>
      <c r="D26" s="24">
        <v>5.5E-2</v>
      </c>
      <c r="E26" s="10" t="s">
        <v>21</v>
      </c>
      <c r="F26" s="20"/>
      <c r="G26" s="20"/>
    </row>
    <row r="27" spans="1:7">
      <c r="A27" s="10" t="s">
        <v>102</v>
      </c>
      <c r="B27" s="20">
        <f>I89</f>
        <v>94613641.966172144</v>
      </c>
      <c r="C27" s="24">
        <f>B8</f>
        <v>6.5000000000000002E-2</v>
      </c>
      <c r="D27" s="24">
        <v>5.5E-2</v>
      </c>
      <c r="E27" s="10" t="s">
        <v>22</v>
      </c>
      <c r="F27" s="20"/>
      <c r="G27" s="20"/>
    </row>
    <row r="28" spans="1:7">
      <c r="A28" s="10" t="s">
        <v>23</v>
      </c>
      <c r="B28" s="20">
        <f>J89</f>
        <v>146203582.81070715</v>
      </c>
      <c r="C28" s="24">
        <f>B8</f>
        <v>6.5000000000000002E-2</v>
      </c>
      <c r="D28" s="24">
        <v>5.5E-2</v>
      </c>
      <c r="E28" s="10" t="s">
        <v>22</v>
      </c>
      <c r="F28" s="20"/>
      <c r="G28" s="20"/>
    </row>
    <row r="29" spans="1:7">
      <c r="A29" s="25" t="s">
        <v>24</v>
      </c>
      <c r="B29" s="26">
        <f>SUM(B26:B28)</f>
        <v>347334612.42412704</v>
      </c>
      <c r="E29" s="10" t="s">
        <v>103</v>
      </c>
      <c r="F29" s="26"/>
      <c r="G29" s="26"/>
    </row>
    <row r="30" spans="1:7">
      <c r="B30" s="20"/>
      <c r="F30" s="20"/>
      <c r="G30" s="20"/>
    </row>
    <row r="31" spans="1:7">
      <c r="A31" s="10" t="s">
        <v>104</v>
      </c>
      <c r="B31" s="20">
        <f>K89/2</f>
        <v>120250596.37499999</v>
      </c>
      <c r="C31" s="24">
        <f>B10</f>
        <v>7.0000000000000007E-2</v>
      </c>
      <c r="D31" s="24">
        <v>0.05</v>
      </c>
      <c r="E31" s="10" t="s">
        <v>105</v>
      </c>
      <c r="F31" s="20"/>
      <c r="G31" s="20"/>
    </row>
    <row r="32" spans="1:7">
      <c r="A32" s="10" t="s">
        <v>106</v>
      </c>
      <c r="B32" s="20">
        <f>B31</f>
        <v>120250596.37499999</v>
      </c>
      <c r="C32" s="24">
        <f>B10</f>
        <v>7.0000000000000007E-2</v>
      </c>
      <c r="D32" s="24">
        <v>0.05</v>
      </c>
      <c r="E32" s="10" t="s">
        <v>105</v>
      </c>
      <c r="F32" s="20"/>
      <c r="G32" s="20"/>
    </row>
    <row r="33" spans="1:20">
      <c r="A33" s="25" t="s">
        <v>107</v>
      </c>
      <c r="B33" s="26">
        <f>SUM(B31:B32)</f>
        <v>240501192.74999997</v>
      </c>
      <c r="E33" s="10" t="s">
        <v>108</v>
      </c>
      <c r="F33" s="26"/>
      <c r="G33" s="26"/>
    </row>
    <row r="37" spans="1:20">
      <c r="A37" s="11" t="s">
        <v>25</v>
      </c>
    </row>
    <row r="38" spans="1:20">
      <c r="A38" s="21" t="s">
        <v>26</v>
      </c>
      <c r="B38" s="21" t="s">
        <v>27</v>
      </c>
      <c r="C38" s="21" t="s">
        <v>28</v>
      </c>
      <c r="D38" s="21" t="s">
        <v>29</v>
      </c>
      <c r="E38" s="21" t="s">
        <v>30</v>
      </c>
    </row>
    <row r="39" spans="1:20">
      <c r="A39" s="10" t="s">
        <v>31</v>
      </c>
      <c r="B39" s="10">
        <v>59</v>
      </c>
      <c r="C39" s="20">
        <v>1140000</v>
      </c>
      <c r="D39" s="20">
        <f>C39*12</f>
        <v>13680000</v>
      </c>
      <c r="E39" s="27">
        <v>0.76</v>
      </c>
    </row>
    <row r="40" spans="1:20">
      <c r="A40" s="10" t="s">
        <v>32</v>
      </c>
      <c r="B40" s="10">
        <v>63</v>
      </c>
      <c r="C40" s="20">
        <v>1500000</v>
      </c>
      <c r="D40" s="20">
        <f>C40*12</f>
        <v>18000000</v>
      </c>
      <c r="E40" s="27">
        <v>1</v>
      </c>
    </row>
    <row r="41" spans="1:20">
      <c r="H41" s="20"/>
      <c r="I41" s="20"/>
    </row>
    <row r="42" spans="1:20">
      <c r="A42" s="28" t="s">
        <v>124</v>
      </c>
      <c r="B42" s="29">
        <v>0.15</v>
      </c>
      <c r="C42" s="38" t="s">
        <v>127</v>
      </c>
      <c r="D42" s="30">
        <v>0.08</v>
      </c>
      <c r="E42" s="38" t="s">
        <v>142</v>
      </c>
      <c r="F42" s="30">
        <v>0.12</v>
      </c>
    </row>
    <row r="43" spans="1:20">
      <c r="A43" s="28" t="s">
        <v>125</v>
      </c>
      <c r="B43" s="30">
        <v>0.12</v>
      </c>
      <c r="C43" s="39" t="s">
        <v>121</v>
      </c>
      <c r="D43" s="30">
        <v>0.1</v>
      </c>
    </row>
    <row r="44" spans="1:20" s="53" customFormat="1">
      <c r="A44" s="10"/>
      <c r="B44" s="10"/>
      <c r="C44" s="10"/>
      <c r="J44" s="53" t="s">
        <v>130</v>
      </c>
      <c r="K44" s="20">
        <v>20000000</v>
      </c>
    </row>
    <row r="45" spans="1:20" hidden="1">
      <c r="A45" s="91" t="s">
        <v>109</v>
      </c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62"/>
    </row>
    <row r="46" spans="1:20" hidden="1">
      <c r="A46" s="31" t="s">
        <v>33</v>
      </c>
      <c r="B46" s="31" t="s">
        <v>34</v>
      </c>
      <c r="C46" s="31" t="s">
        <v>119</v>
      </c>
      <c r="D46" s="31"/>
      <c r="E46" s="31" t="s">
        <v>118</v>
      </c>
      <c r="F46" s="31"/>
      <c r="G46" s="31"/>
      <c r="H46" s="31" t="s">
        <v>35</v>
      </c>
      <c r="I46" s="31" t="s">
        <v>36</v>
      </c>
      <c r="J46" s="31" t="s">
        <v>37</v>
      </c>
      <c r="L46" s="31" t="s">
        <v>38</v>
      </c>
      <c r="M46" s="31" t="s">
        <v>110</v>
      </c>
      <c r="N46" s="31" t="s">
        <v>39</v>
      </c>
      <c r="O46" s="31" t="s">
        <v>111</v>
      </c>
      <c r="P46" s="31" t="s">
        <v>112</v>
      </c>
      <c r="Q46" s="31"/>
      <c r="R46" s="31" t="s">
        <v>40</v>
      </c>
      <c r="S46" s="31" t="s">
        <v>41</v>
      </c>
      <c r="T46" s="63"/>
    </row>
    <row r="47" spans="1:20" hidden="1">
      <c r="A47" s="32">
        <v>-6</v>
      </c>
      <c r="B47" s="32">
        <v>52</v>
      </c>
      <c r="C47" s="32"/>
      <c r="D47" s="32"/>
      <c r="E47" s="32"/>
      <c r="F47" s="32"/>
      <c r="G47" s="32"/>
      <c r="H47" s="32"/>
      <c r="I47" s="32"/>
      <c r="J47" s="32"/>
      <c r="L47" s="32"/>
      <c r="M47" s="32"/>
      <c r="N47" s="32"/>
      <c r="O47" s="32"/>
      <c r="P47" s="32"/>
      <c r="Q47" s="32"/>
      <c r="R47" s="32"/>
      <c r="S47" s="32"/>
      <c r="T47" s="64"/>
    </row>
    <row r="48" spans="1:20" hidden="1">
      <c r="A48" s="32">
        <v>-5</v>
      </c>
      <c r="B48" s="32">
        <v>53</v>
      </c>
      <c r="C48" s="32"/>
      <c r="D48" s="32"/>
      <c r="E48" s="32"/>
      <c r="F48" s="32"/>
      <c r="G48" s="32"/>
      <c r="H48" s="32"/>
      <c r="I48" s="32"/>
      <c r="J48" s="32"/>
      <c r="L48" s="32"/>
      <c r="M48" s="32"/>
      <c r="N48" s="32"/>
      <c r="O48" s="32"/>
      <c r="P48" s="32"/>
      <c r="Q48" s="32"/>
      <c r="R48" s="32"/>
      <c r="S48" s="32"/>
      <c r="T48" s="64"/>
    </row>
    <row r="49" spans="1:20" hidden="1">
      <c r="A49" s="32">
        <v>-4</v>
      </c>
      <c r="B49" s="32">
        <v>54</v>
      </c>
      <c r="C49" s="32"/>
      <c r="D49" s="32"/>
      <c r="E49" s="32"/>
      <c r="F49" s="32"/>
      <c r="G49" s="32"/>
      <c r="H49" s="32"/>
      <c r="I49" s="32"/>
      <c r="J49" s="32"/>
      <c r="L49" s="32"/>
      <c r="M49" s="32"/>
      <c r="N49" s="32"/>
      <c r="O49" s="32"/>
      <c r="P49" s="32"/>
      <c r="Q49" s="32"/>
      <c r="R49" s="32"/>
      <c r="S49" s="32"/>
      <c r="T49" s="64"/>
    </row>
    <row r="50" spans="1:20" hidden="1">
      <c r="A50" s="32">
        <v>-3</v>
      </c>
      <c r="B50" s="32">
        <v>55</v>
      </c>
      <c r="C50" s="32"/>
      <c r="D50" s="32"/>
      <c r="E50" s="32"/>
      <c r="F50" s="32"/>
      <c r="G50" s="32"/>
      <c r="H50" s="32"/>
      <c r="I50" s="32"/>
      <c r="J50" s="32"/>
      <c r="L50" s="32"/>
      <c r="M50" s="32"/>
      <c r="N50" s="32"/>
      <c r="O50" s="32"/>
      <c r="P50" s="32"/>
      <c r="Q50" s="32"/>
      <c r="R50" s="32"/>
      <c r="S50" s="32"/>
      <c r="T50" s="64"/>
    </row>
    <row r="51" spans="1:20" hidden="1">
      <c r="A51" s="32">
        <v>-2</v>
      </c>
      <c r="B51" s="32">
        <v>56</v>
      </c>
      <c r="C51" s="32"/>
      <c r="D51" s="32"/>
      <c r="E51" s="32"/>
      <c r="F51" s="32"/>
      <c r="G51" s="32"/>
      <c r="H51" s="32"/>
      <c r="I51" s="32"/>
      <c r="J51" s="32"/>
      <c r="L51" s="32"/>
      <c r="M51" s="32"/>
      <c r="N51" s="32"/>
      <c r="O51" s="32"/>
      <c r="P51" s="32"/>
      <c r="Q51" s="32"/>
      <c r="R51" s="32"/>
      <c r="S51" s="32"/>
      <c r="T51" s="64"/>
    </row>
    <row r="52" spans="1:20" hidden="1">
      <c r="A52" s="32">
        <v>-1</v>
      </c>
      <c r="B52" s="32">
        <v>57</v>
      </c>
      <c r="C52" s="32"/>
      <c r="D52" s="32"/>
      <c r="E52" s="32"/>
      <c r="F52" s="32"/>
      <c r="G52" s="32"/>
      <c r="H52" s="32"/>
      <c r="I52" s="32"/>
      <c r="J52" s="32"/>
      <c r="L52" s="32"/>
      <c r="M52" s="32"/>
      <c r="N52" s="32"/>
      <c r="O52" s="32"/>
      <c r="P52" s="32"/>
      <c r="Q52" s="32"/>
      <c r="R52" s="32"/>
      <c r="S52" s="32"/>
      <c r="T52" s="64"/>
    </row>
    <row r="53" spans="1:20" hidden="1">
      <c r="A53" s="33">
        <v>0</v>
      </c>
      <c r="B53" s="33">
        <v>58</v>
      </c>
      <c r="C53" s="33"/>
      <c r="D53" s="33"/>
      <c r="E53" s="33"/>
      <c r="F53" s="33"/>
      <c r="G53" s="33"/>
      <c r="H53" s="33"/>
      <c r="I53" s="33"/>
      <c r="J53" s="33"/>
      <c r="L53" s="33"/>
      <c r="M53" s="33"/>
      <c r="N53" s="33"/>
      <c r="O53" s="33"/>
      <c r="P53" s="33"/>
      <c r="Q53" s="33"/>
      <c r="R53" s="33"/>
      <c r="S53" s="33"/>
      <c r="T53" s="65"/>
    </row>
    <row r="54" spans="1:20" hidden="1">
      <c r="A54" s="14">
        <v>1</v>
      </c>
      <c r="B54" s="14">
        <v>59</v>
      </c>
      <c r="C54" s="14"/>
      <c r="D54" s="14"/>
      <c r="E54" s="14"/>
      <c r="F54" s="14"/>
      <c r="G54" s="14"/>
      <c r="H54" s="34">
        <v>100000000</v>
      </c>
      <c r="I54" s="34">
        <v>100000000</v>
      </c>
      <c r="J54" s="34">
        <v>100000000</v>
      </c>
      <c r="L54" s="34">
        <f>(H54+I54+J54)*0.04</f>
        <v>12000000</v>
      </c>
      <c r="M54" s="34" t="e">
        <f>#REF!*0.04</f>
        <v>#REF!</v>
      </c>
      <c r="N54" s="34">
        <f t="shared" ref="N54:N78" si="0">$D$39</f>
        <v>13680000</v>
      </c>
      <c r="O54" s="34" t="e">
        <f t="shared" ref="O54:O78" si="1">L54+M54+N54</f>
        <v>#REF!</v>
      </c>
      <c r="P54" s="34" t="e">
        <f>O54/POWER(1+$B$12,0)</f>
        <v>#REF!</v>
      </c>
      <c r="Q54" s="34"/>
      <c r="R54" s="35" t="e">
        <f t="shared" ref="R54:R78" si="2">P54/$P$54*100</f>
        <v>#REF!</v>
      </c>
      <c r="S54" s="34" t="e">
        <f>P54</f>
        <v>#REF!</v>
      </c>
      <c r="T54" s="66"/>
    </row>
    <row r="55" spans="1:20" hidden="1">
      <c r="A55" s="14">
        <v>2</v>
      </c>
      <c r="B55" s="14">
        <v>60</v>
      </c>
      <c r="C55" s="14"/>
      <c r="D55" s="14"/>
      <c r="E55" s="14"/>
      <c r="F55" s="14"/>
      <c r="G55" s="14"/>
      <c r="H55" s="34">
        <f t="shared" ref="H55:H78" si="3">H54*(1+0.07)-H54*0.04</f>
        <v>103000000</v>
      </c>
      <c r="I55" s="34">
        <f t="shared" ref="I55:I78" si="4">I54*(1+0.07)-I54*0.04</f>
        <v>103000000</v>
      </c>
      <c r="J55" s="34">
        <f t="shared" ref="J55:J78" si="5">J54*(1+0.07)-J54*0.04</f>
        <v>103000000</v>
      </c>
      <c r="L55" s="34">
        <f t="shared" ref="L55:L78" si="6">(H54+I54+J54)*0.04</f>
        <v>12000000</v>
      </c>
      <c r="M55" s="34" t="e">
        <f>#REF!*0.04</f>
        <v>#REF!</v>
      </c>
      <c r="N55" s="34">
        <f t="shared" si="0"/>
        <v>13680000</v>
      </c>
      <c r="O55" s="34" t="e">
        <f t="shared" si="1"/>
        <v>#REF!</v>
      </c>
      <c r="P55" s="34" t="e">
        <f>O55/POWER(1+$B$12,1)</f>
        <v>#REF!</v>
      </c>
      <c r="Q55" s="34"/>
      <c r="R55" s="35" t="e">
        <f t="shared" si="2"/>
        <v>#REF!</v>
      </c>
      <c r="S55" s="34" t="e">
        <f t="shared" ref="S55:S78" si="7">S54+P55</f>
        <v>#REF!</v>
      </c>
      <c r="T55" s="66"/>
    </row>
    <row r="56" spans="1:20" hidden="1">
      <c r="A56" s="14">
        <v>3</v>
      </c>
      <c r="B56" s="14">
        <v>61</v>
      </c>
      <c r="C56" s="14"/>
      <c r="D56" s="14"/>
      <c r="E56" s="14"/>
      <c r="F56" s="14"/>
      <c r="G56" s="14"/>
      <c r="H56" s="34">
        <f t="shared" si="3"/>
        <v>106090000</v>
      </c>
      <c r="I56" s="34">
        <f t="shared" si="4"/>
        <v>106090000</v>
      </c>
      <c r="J56" s="34">
        <f t="shared" si="5"/>
        <v>106090000</v>
      </c>
      <c r="L56" s="34">
        <f t="shared" si="6"/>
        <v>12360000</v>
      </c>
      <c r="M56" s="34" t="e">
        <f>#REF!*0.04</f>
        <v>#REF!</v>
      </c>
      <c r="N56" s="34">
        <f t="shared" si="0"/>
        <v>13680000</v>
      </c>
      <c r="O56" s="34" t="e">
        <f t="shared" si="1"/>
        <v>#REF!</v>
      </c>
      <c r="P56" s="34" t="e">
        <f>O56/POWER(1+$B$12,2)</f>
        <v>#REF!</v>
      </c>
      <c r="Q56" s="34"/>
      <c r="R56" s="35" t="e">
        <f t="shared" si="2"/>
        <v>#REF!</v>
      </c>
      <c r="S56" s="34" t="e">
        <f t="shared" si="7"/>
        <v>#REF!</v>
      </c>
      <c r="T56" s="66"/>
    </row>
    <row r="57" spans="1:20" hidden="1">
      <c r="A57" s="14">
        <v>4</v>
      </c>
      <c r="B57" s="14">
        <v>62</v>
      </c>
      <c r="C57" s="14"/>
      <c r="D57" s="14"/>
      <c r="E57" s="14"/>
      <c r="F57" s="14"/>
      <c r="G57" s="14"/>
      <c r="H57" s="34">
        <f t="shared" si="3"/>
        <v>109272700</v>
      </c>
      <c r="I57" s="34">
        <f t="shared" si="4"/>
        <v>109272700</v>
      </c>
      <c r="J57" s="34">
        <f t="shared" si="5"/>
        <v>109272700</v>
      </c>
      <c r="L57" s="34">
        <f t="shared" si="6"/>
        <v>12730800</v>
      </c>
      <c r="M57" s="34" t="e">
        <f>#REF!*0.04</f>
        <v>#REF!</v>
      </c>
      <c r="N57" s="34">
        <f t="shared" si="0"/>
        <v>13680000</v>
      </c>
      <c r="O57" s="34" t="e">
        <f t="shared" si="1"/>
        <v>#REF!</v>
      </c>
      <c r="P57" s="34" t="e">
        <f>O57/POWER(1+$B$12,3)</f>
        <v>#REF!</v>
      </c>
      <c r="Q57" s="34"/>
      <c r="R57" s="35" t="e">
        <f t="shared" si="2"/>
        <v>#REF!</v>
      </c>
      <c r="S57" s="34" t="e">
        <f t="shared" si="7"/>
        <v>#REF!</v>
      </c>
      <c r="T57" s="66"/>
    </row>
    <row r="58" spans="1:20" hidden="1">
      <c r="A58" s="14">
        <v>5</v>
      </c>
      <c r="B58" s="14">
        <v>63</v>
      </c>
      <c r="C58" s="14"/>
      <c r="D58" s="14"/>
      <c r="E58" s="14"/>
      <c r="F58" s="14"/>
      <c r="G58" s="14"/>
      <c r="H58" s="34">
        <f t="shared" si="3"/>
        <v>112550881</v>
      </c>
      <c r="I58" s="34">
        <f t="shared" si="4"/>
        <v>112550881</v>
      </c>
      <c r="J58" s="34">
        <f t="shared" si="5"/>
        <v>112550881</v>
      </c>
      <c r="L58" s="34">
        <f t="shared" si="6"/>
        <v>13112724</v>
      </c>
      <c r="M58" s="34" t="e">
        <f>#REF!*0.04</f>
        <v>#REF!</v>
      </c>
      <c r="N58" s="34">
        <f t="shared" si="0"/>
        <v>13680000</v>
      </c>
      <c r="O58" s="34" t="e">
        <f t="shared" si="1"/>
        <v>#REF!</v>
      </c>
      <c r="P58" s="34" t="e">
        <f>O58/POWER(1+$B$12,4)</f>
        <v>#REF!</v>
      </c>
      <c r="Q58" s="34"/>
      <c r="R58" s="35" t="e">
        <f t="shared" si="2"/>
        <v>#REF!</v>
      </c>
      <c r="S58" s="34" t="e">
        <f t="shared" si="7"/>
        <v>#REF!</v>
      </c>
      <c r="T58" s="66"/>
    </row>
    <row r="59" spans="1:20" hidden="1">
      <c r="A59" s="14">
        <v>6</v>
      </c>
      <c r="B59" s="14">
        <v>64</v>
      </c>
      <c r="C59" s="14"/>
      <c r="D59" s="14"/>
      <c r="E59" s="14"/>
      <c r="F59" s="14"/>
      <c r="G59" s="14"/>
      <c r="H59" s="34">
        <f t="shared" si="3"/>
        <v>115927407.43000001</v>
      </c>
      <c r="I59" s="34">
        <f t="shared" si="4"/>
        <v>115927407.43000001</v>
      </c>
      <c r="J59" s="34">
        <f t="shared" si="5"/>
        <v>115927407.43000001</v>
      </c>
      <c r="L59" s="34">
        <f t="shared" si="6"/>
        <v>13506105.720000001</v>
      </c>
      <c r="M59" s="34" t="e">
        <f>#REF!*0.04</f>
        <v>#REF!</v>
      </c>
      <c r="N59" s="34">
        <f t="shared" si="0"/>
        <v>13680000</v>
      </c>
      <c r="O59" s="34" t="e">
        <f t="shared" si="1"/>
        <v>#REF!</v>
      </c>
      <c r="P59" s="34" t="e">
        <f>O59/POWER(1+$B$12,5)</f>
        <v>#REF!</v>
      </c>
      <c r="Q59" s="34"/>
      <c r="R59" s="35" t="e">
        <f t="shared" si="2"/>
        <v>#REF!</v>
      </c>
      <c r="S59" s="34" t="e">
        <f t="shared" si="7"/>
        <v>#REF!</v>
      </c>
      <c r="T59" s="66"/>
    </row>
    <row r="60" spans="1:20" hidden="1">
      <c r="A60" s="14">
        <v>7</v>
      </c>
      <c r="B60" s="14">
        <v>65</v>
      </c>
      <c r="C60" s="14"/>
      <c r="D60" s="14"/>
      <c r="E60" s="14"/>
      <c r="F60" s="14"/>
      <c r="G60" s="14"/>
      <c r="H60" s="34">
        <f t="shared" si="3"/>
        <v>119405229.65290003</v>
      </c>
      <c r="I60" s="34">
        <f t="shared" si="4"/>
        <v>119405229.65290003</v>
      </c>
      <c r="J60" s="34">
        <f t="shared" si="5"/>
        <v>119405229.65290003</v>
      </c>
      <c r="L60" s="34">
        <f t="shared" si="6"/>
        <v>13911288.891600002</v>
      </c>
      <c r="M60" s="34" t="e">
        <f>#REF!*0.04</f>
        <v>#REF!</v>
      </c>
      <c r="N60" s="34">
        <f t="shared" si="0"/>
        <v>13680000</v>
      </c>
      <c r="O60" s="34" t="e">
        <f t="shared" si="1"/>
        <v>#REF!</v>
      </c>
      <c r="P60" s="34" t="e">
        <f>O60/POWER(1+$B$12,6)</f>
        <v>#REF!</v>
      </c>
      <c r="Q60" s="34"/>
      <c r="R60" s="35" t="e">
        <f t="shared" si="2"/>
        <v>#REF!</v>
      </c>
      <c r="S60" s="34" t="e">
        <f t="shared" si="7"/>
        <v>#REF!</v>
      </c>
      <c r="T60" s="66"/>
    </row>
    <row r="61" spans="1:20" hidden="1">
      <c r="A61" s="14">
        <v>8</v>
      </c>
      <c r="B61" s="14">
        <v>66</v>
      </c>
      <c r="C61" s="14"/>
      <c r="D61" s="14"/>
      <c r="E61" s="14"/>
      <c r="F61" s="14"/>
      <c r="G61" s="14"/>
      <c r="H61" s="34">
        <f t="shared" si="3"/>
        <v>122987386.54248704</v>
      </c>
      <c r="I61" s="34">
        <f t="shared" si="4"/>
        <v>122987386.54248704</v>
      </c>
      <c r="J61" s="34">
        <f t="shared" si="5"/>
        <v>122987386.54248704</v>
      </c>
      <c r="L61" s="34">
        <f t="shared" si="6"/>
        <v>14328627.558348002</v>
      </c>
      <c r="M61" s="34" t="e">
        <f>#REF!*0.04</f>
        <v>#REF!</v>
      </c>
      <c r="N61" s="34">
        <f t="shared" si="0"/>
        <v>13680000</v>
      </c>
      <c r="O61" s="34" t="e">
        <f t="shared" si="1"/>
        <v>#REF!</v>
      </c>
      <c r="P61" s="34" t="e">
        <f>O61/POWER(1+$B$12,7)</f>
        <v>#REF!</v>
      </c>
      <c r="Q61" s="34"/>
      <c r="R61" s="35" t="e">
        <f t="shared" si="2"/>
        <v>#REF!</v>
      </c>
      <c r="S61" s="34" t="e">
        <f t="shared" si="7"/>
        <v>#REF!</v>
      </c>
      <c r="T61" s="66"/>
    </row>
    <row r="62" spans="1:20" hidden="1">
      <c r="A62" s="14">
        <v>9</v>
      </c>
      <c r="B62" s="14">
        <v>67</v>
      </c>
      <c r="C62" s="14"/>
      <c r="D62" s="14"/>
      <c r="E62" s="14"/>
      <c r="F62" s="14"/>
      <c r="G62" s="14"/>
      <c r="H62" s="34">
        <f t="shared" si="3"/>
        <v>126677008.13876165</v>
      </c>
      <c r="I62" s="34">
        <f t="shared" si="4"/>
        <v>126677008.13876165</v>
      </c>
      <c r="J62" s="34">
        <f t="shared" si="5"/>
        <v>126677008.13876165</v>
      </c>
      <c r="L62" s="34">
        <f t="shared" si="6"/>
        <v>14758486.385098446</v>
      </c>
      <c r="M62" s="34" t="e">
        <f>#REF!*0.04</f>
        <v>#REF!</v>
      </c>
      <c r="N62" s="34">
        <f t="shared" si="0"/>
        <v>13680000</v>
      </c>
      <c r="O62" s="34" t="e">
        <f t="shared" si="1"/>
        <v>#REF!</v>
      </c>
      <c r="P62" s="34" t="e">
        <f>O62/POWER(1+$B$12,8)</f>
        <v>#REF!</v>
      </c>
      <c r="Q62" s="34"/>
      <c r="R62" s="35" t="e">
        <f t="shared" si="2"/>
        <v>#REF!</v>
      </c>
      <c r="S62" s="34" t="e">
        <f t="shared" si="7"/>
        <v>#REF!</v>
      </c>
      <c r="T62" s="66"/>
    </row>
    <row r="63" spans="1:20" hidden="1">
      <c r="A63" s="14">
        <v>10</v>
      </c>
      <c r="B63" s="14">
        <v>68</v>
      </c>
      <c r="C63" s="14"/>
      <c r="D63" s="14"/>
      <c r="E63" s="14"/>
      <c r="F63" s="14"/>
      <c r="G63" s="14"/>
      <c r="H63" s="34">
        <f t="shared" si="3"/>
        <v>130477318.3829245</v>
      </c>
      <c r="I63" s="34">
        <f t="shared" si="4"/>
        <v>130477318.3829245</v>
      </c>
      <c r="J63" s="34">
        <f t="shared" si="5"/>
        <v>130477318.3829245</v>
      </c>
      <c r="L63" s="34">
        <f t="shared" si="6"/>
        <v>15201240.9766514</v>
      </c>
      <c r="M63" s="34" t="e">
        <f>#REF!*0.04</f>
        <v>#REF!</v>
      </c>
      <c r="N63" s="34">
        <f t="shared" si="0"/>
        <v>13680000</v>
      </c>
      <c r="O63" s="34" t="e">
        <f t="shared" si="1"/>
        <v>#REF!</v>
      </c>
      <c r="P63" s="34" t="e">
        <f>O63/POWER(1+$B$12,9)</f>
        <v>#REF!</v>
      </c>
      <c r="Q63" s="34"/>
      <c r="R63" s="35" t="e">
        <f t="shared" si="2"/>
        <v>#REF!</v>
      </c>
      <c r="S63" s="34" t="e">
        <f t="shared" si="7"/>
        <v>#REF!</v>
      </c>
      <c r="T63" s="66"/>
    </row>
    <row r="64" spans="1:20" hidden="1">
      <c r="A64" s="14">
        <v>11</v>
      </c>
      <c r="B64" s="14">
        <v>69</v>
      </c>
      <c r="C64" s="14"/>
      <c r="D64" s="14"/>
      <c r="E64" s="14"/>
      <c r="F64" s="14"/>
      <c r="G64" s="14"/>
      <c r="H64" s="34">
        <f t="shared" si="3"/>
        <v>134391637.93441224</v>
      </c>
      <c r="I64" s="34">
        <f t="shared" si="4"/>
        <v>134391637.93441224</v>
      </c>
      <c r="J64" s="34">
        <f t="shared" si="5"/>
        <v>134391637.93441224</v>
      </c>
      <c r="L64" s="34">
        <f t="shared" si="6"/>
        <v>15657278.20595094</v>
      </c>
      <c r="M64" s="34" t="e">
        <f>#REF!*0.04</f>
        <v>#REF!</v>
      </c>
      <c r="N64" s="34">
        <f t="shared" si="0"/>
        <v>13680000</v>
      </c>
      <c r="O64" s="34" t="e">
        <f t="shared" si="1"/>
        <v>#REF!</v>
      </c>
      <c r="P64" s="34" t="e">
        <f>O64/POWER(1+$B$12,10)</f>
        <v>#REF!</v>
      </c>
      <c r="Q64" s="34"/>
      <c r="R64" s="35" t="e">
        <f t="shared" si="2"/>
        <v>#REF!</v>
      </c>
      <c r="S64" s="34" t="e">
        <f t="shared" si="7"/>
        <v>#REF!</v>
      </c>
      <c r="T64" s="66"/>
    </row>
    <row r="65" spans="1:20" hidden="1">
      <c r="A65" s="14">
        <v>12</v>
      </c>
      <c r="B65" s="14">
        <v>70</v>
      </c>
      <c r="C65" s="14"/>
      <c r="D65" s="14"/>
      <c r="E65" s="14"/>
      <c r="F65" s="14"/>
      <c r="G65" s="14"/>
      <c r="H65" s="34">
        <f t="shared" si="3"/>
        <v>138423387.07244462</v>
      </c>
      <c r="I65" s="34">
        <f t="shared" si="4"/>
        <v>138423387.07244462</v>
      </c>
      <c r="J65" s="34">
        <f t="shared" si="5"/>
        <v>138423387.07244462</v>
      </c>
      <c r="L65" s="34">
        <f t="shared" si="6"/>
        <v>16126996.55212947</v>
      </c>
      <c r="M65" s="34" t="e">
        <f>#REF!*0.04</f>
        <v>#REF!</v>
      </c>
      <c r="N65" s="34">
        <f t="shared" si="0"/>
        <v>13680000</v>
      </c>
      <c r="O65" s="34" t="e">
        <f t="shared" si="1"/>
        <v>#REF!</v>
      </c>
      <c r="P65" s="34" t="e">
        <f>O65/POWER(1+$B$12,11)</f>
        <v>#REF!</v>
      </c>
      <c r="Q65" s="34"/>
      <c r="R65" s="35" t="e">
        <f t="shared" si="2"/>
        <v>#REF!</v>
      </c>
      <c r="S65" s="34" t="e">
        <f t="shared" si="7"/>
        <v>#REF!</v>
      </c>
      <c r="T65" s="66"/>
    </row>
    <row r="66" spans="1:20" hidden="1">
      <c r="A66" s="14">
        <v>13</v>
      </c>
      <c r="B66" s="14">
        <v>71</v>
      </c>
      <c r="C66" s="14"/>
      <c r="D66" s="14"/>
      <c r="E66" s="14"/>
      <c r="F66" s="14"/>
      <c r="G66" s="14"/>
      <c r="H66" s="34">
        <f t="shared" si="3"/>
        <v>142576088.68461797</v>
      </c>
      <c r="I66" s="34">
        <f t="shared" si="4"/>
        <v>142576088.68461797</v>
      </c>
      <c r="J66" s="34">
        <f t="shared" si="5"/>
        <v>142576088.68461797</v>
      </c>
      <c r="L66" s="34">
        <f t="shared" si="6"/>
        <v>16610806.448693354</v>
      </c>
      <c r="M66" s="34" t="e">
        <f>#REF!*0.04</f>
        <v>#REF!</v>
      </c>
      <c r="N66" s="34">
        <f t="shared" si="0"/>
        <v>13680000</v>
      </c>
      <c r="O66" s="34" t="e">
        <f t="shared" si="1"/>
        <v>#REF!</v>
      </c>
      <c r="P66" s="34" t="e">
        <f>O66/POWER(1+$B$12,12)</f>
        <v>#REF!</v>
      </c>
      <c r="Q66" s="34"/>
      <c r="R66" s="35" t="e">
        <f t="shared" si="2"/>
        <v>#REF!</v>
      </c>
      <c r="S66" s="34" t="e">
        <f t="shared" si="7"/>
        <v>#REF!</v>
      </c>
      <c r="T66" s="66"/>
    </row>
    <row r="67" spans="1:20" hidden="1">
      <c r="A67" s="14">
        <v>14</v>
      </c>
      <c r="B67" s="14">
        <v>72</v>
      </c>
      <c r="C67" s="14"/>
      <c r="D67" s="14"/>
      <c r="E67" s="14"/>
      <c r="F67" s="14"/>
      <c r="G67" s="14"/>
      <c r="H67" s="34">
        <f t="shared" si="3"/>
        <v>146853371.34515652</v>
      </c>
      <c r="I67" s="34">
        <f t="shared" si="4"/>
        <v>146853371.34515652</v>
      </c>
      <c r="J67" s="34">
        <f t="shared" si="5"/>
        <v>146853371.34515652</v>
      </c>
      <c r="L67" s="34">
        <f t="shared" si="6"/>
        <v>17109130.642154153</v>
      </c>
      <c r="M67" s="34" t="e">
        <f>#REF!*0.04</f>
        <v>#REF!</v>
      </c>
      <c r="N67" s="34">
        <f t="shared" si="0"/>
        <v>13680000</v>
      </c>
      <c r="O67" s="34" t="e">
        <f t="shared" si="1"/>
        <v>#REF!</v>
      </c>
      <c r="P67" s="34" t="e">
        <f>O67/POWER(1+$B$12,13)</f>
        <v>#REF!</v>
      </c>
      <c r="Q67" s="34"/>
      <c r="R67" s="35" t="e">
        <f t="shared" si="2"/>
        <v>#REF!</v>
      </c>
      <c r="S67" s="34" t="e">
        <f t="shared" si="7"/>
        <v>#REF!</v>
      </c>
      <c r="T67" s="66"/>
    </row>
    <row r="68" spans="1:20" hidden="1">
      <c r="A68" s="14">
        <v>15</v>
      </c>
      <c r="B68" s="14">
        <v>73</v>
      </c>
      <c r="C68" s="14"/>
      <c r="D68" s="14"/>
      <c r="E68" s="14"/>
      <c r="F68" s="14"/>
      <c r="G68" s="14"/>
      <c r="H68" s="34">
        <f t="shared" si="3"/>
        <v>151258972.48551124</v>
      </c>
      <c r="I68" s="34">
        <f t="shared" si="4"/>
        <v>151258972.48551124</v>
      </c>
      <c r="J68" s="34">
        <f t="shared" si="5"/>
        <v>151258972.48551124</v>
      </c>
      <c r="L68" s="34">
        <f t="shared" si="6"/>
        <v>17622404.561418783</v>
      </c>
      <c r="M68" s="34" t="e">
        <f>#REF!*0.04</f>
        <v>#REF!</v>
      </c>
      <c r="N68" s="34">
        <f t="shared" si="0"/>
        <v>13680000</v>
      </c>
      <c r="O68" s="34" t="e">
        <f t="shared" si="1"/>
        <v>#REF!</v>
      </c>
      <c r="P68" s="34" t="e">
        <f>O68/POWER(1+$B$12,14)</f>
        <v>#REF!</v>
      </c>
      <c r="Q68" s="34"/>
      <c r="R68" s="35" t="e">
        <f t="shared" si="2"/>
        <v>#REF!</v>
      </c>
      <c r="S68" s="34" t="e">
        <f t="shared" si="7"/>
        <v>#REF!</v>
      </c>
      <c r="T68" s="66"/>
    </row>
    <row r="69" spans="1:20" hidden="1">
      <c r="A69" s="15">
        <v>16</v>
      </c>
      <c r="B69" s="15">
        <v>74</v>
      </c>
      <c r="C69" s="15"/>
      <c r="D69" s="15"/>
      <c r="E69" s="15"/>
      <c r="F69" s="15"/>
      <c r="G69" s="15"/>
      <c r="H69" s="20">
        <f t="shared" si="3"/>
        <v>155796741.66007659</v>
      </c>
      <c r="I69" s="20">
        <f t="shared" si="4"/>
        <v>155796741.66007659</v>
      </c>
      <c r="J69" s="20">
        <f t="shared" si="5"/>
        <v>155796741.66007659</v>
      </c>
      <c r="L69" s="20">
        <f t="shared" si="6"/>
        <v>18151076.69826135</v>
      </c>
      <c r="M69" s="20" t="e">
        <f>#REF!*0.04</f>
        <v>#REF!</v>
      </c>
      <c r="N69" s="20">
        <f t="shared" si="0"/>
        <v>13680000</v>
      </c>
      <c r="O69" s="20" t="e">
        <f t="shared" si="1"/>
        <v>#REF!</v>
      </c>
      <c r="P69" s="20" t="e">
        <f>O69/POWER(1+$B$12,15)</f>
        <v>#REF!</v>
      </c>
      <c r="Q69" s="20"/>
      <c r="R69" s="36" t="e">
        <f t="shared" si="2"/>
        <v>#REF!</v>
      </c>
      <c r="S69" s="20" t="e">
        <f t="shared" si="7"/>
        <v>#REF!</v>
      </c>
      <c r="T69" s="20"/>
    </row>
    <row r="70" spans="1:20" hidden="1">
      <c r="A70" s="15">
        <v>17</v>
      </c>
      <c r="B70" s="15">
        <v>75</v>
      </c>
      <c r="C70" s="15"/>
      <c r="D70" s="15"/>
      <c r="E70" s="15"/>
      <c r="F70" s="15"/>
      <c r="G70" s="15"/>
      <c r="H70" s="20">
        <f t="shared" si="3"/>
        <v>160470643.90987891</v>
      </c>
      <c r="I70" s="20">
        <f t="shared" si="4"/>
        <v>160470643.90987891</v>
      </c>
      <c r="J70" s="20">
        <f t="shared" si="5"/>
        <v>160470643.90987891</v>
      </c>
      <c r="L70" s="20">
        <f t="shared" si="6"/>
        <v>18695608.999209192</v>
      </c>
      <c r="M70" s="20" t="e">
        <f>#REF!*0.04</f>
        <v>#REF!</v>
      </c>
      <c r="N70" s="20">
        <f t="shared" si="0"/>
        <v>13680000</v>
      </c>
      <c r="O70" s="20" t="e">
        <f t="shared" si="1"/>
        <v>#REF!</v>
      </c>
      <c r="P70" s="20" t="e">
        <f>O70/POWER(1+$B$12,16)</f>
        <v>#REF!</v>
      </c>
      <c r="Q70" s="20"/>
      <c r="R70" s="36" t="e">
        <f t="shared" si="2"/>
        <v>#REF!</v>
      </c>
      <c r="S70" s="20" t="e">
        <f t="shared" si="7"/>
        <v>#REF!</v>
      </c>
      <c r="T70" s="20"/>
    </row>
    <row r="71" spans="1:20" hidden="1">
      <c r="A71" s="15">
        <v>18</v>
      </c>
      <c r="B71" s="15">
        <v>76</v>
      </c>
      <c r="C71" s="15"/>
      <c r="D71" s="15"/>
      <c r="E71" s="15"/>
      <c r="F71" s="15"/>
      <c r="G71" s="15"/>
      <c r="H71" s="20">
        <f t="shared" si="3"/>
        <v>165284763.2271753</v>
      </c>
      <c r="I71" s="20">
        <f t="shared" si="4"/>
        <v>165284763.2271753</v>
      </c>
      <c r="J71" s="20">
        <f t="shared" si="5"/>
        <v>165284763.2271753</v>
      </c>
      <c r="L71" s="20">
        <f t="shared" si="6"/>
        <v>19256477.269185469</v>
      </c>
      <c r="M71" s="20" t="e">
        <f>#REF!*0.04</f>
        <v>#REF!</v>
      </c>
      <c r="N71" s="20">
        <f t="shared" si="0"/>
        <v>13680000</v>
      </c>
      <c r="O71" s="20" t="e">
        <f t="shared" si="1"/>
        <v>#REF!</v>
      </c>
      <c r="P71" s="20" t="e">
        <f>O71/POWER(1+$B$12,17)</f>
        <v>#REF!</v>
      </c>
      <c r="Q71" s="20"/>
      <c r="R71" s="36" t="e">
        <f t="shared" si="2"/>
        <v>#REF!</v>
      </c>
      <c r="S71" s="20" t="e">
        <f t="shared" si="7"/>
        <v>#REF!</v>
      </c>
      <c r="T71" s="20"/>
    </row>
    <row r="72" spans="1:20" hidden="1">
      <c r="A72" s="15">
        <v>19</v>
      </c>
      <c r="B72" s="15">
        <v>77</v>
      </c>
      <c r="C72" s="15"/>
      <c r="D72" s="15"/>
      <c r="E72" s="15"/>
      <c r="F72" s="15"/>
      <c r="G72" s="15"/>
      <c r="H72" s="20">
        <f t="shared" si="3"/>
        <v>170243306.12399057</v>
      </c>
      <c r="I72" s="20">
        <f t="shared" si="4"/>
        <v>170243306.12399057</v>
      </c>
      <c r="J72" s="20">
        <f t="shared" si="5"/>
        <v>170243306.12399057</v>
      </c>
      <c r="L72" s="20">
        <f t="shared" si="6"/>
        <v>19834171.587261036</v>
      </c>
      <c r="M72" s="20" t="e">
        <f>#REF!*0.04</f>
        <v>#REF!</v>
      </c>
      <c r="N72" s="20">
        <f t="shared" si="0"/>
        <v>13680000</v>
      </c>
      <c r="O72" s="20" t="e">
        <f t="shared" si="1"/>
        <v>#REF!</v>
      </c>
      <c r="P72" s="20" t="e">
        <f>O72/POWER(1+$B$12,18)</f>
        <v>#REF!</v>
      </c>
      <c r="Q72" s="20"/>
      <c r="R72" s="36" t="e">
        <f t="shared" si="2"/>
        <v>#REF!</v>
      </c>
      <c r="S72" s="20" t="e">
        <f t="shared" si="7"/>
        <v>#REF!</v>
      </c>
      <c r="T72" s="20"/>
    </row>
    <row r="73" spans="1:20" hidden="1">
      <c r="A73" s="15">
        <v>20</v>
      </c>
      <c r="B73" s="15">
        <v>78</v>
      </c>
      <c r="C73" s="15"/>
      <c r="D73" s="15"/>
      <c r="E73" s="15"/>
      <c r="F73" s="15"/>
      <c r="G73" s="15"/>
      <c r="H73" s="20">
        <f t="shared" si="3"/>
        <v>175350605.30771029</v>
      </c>
      <c r="I73" s="20">
        <f t="shared" si="4"/>
        <v>175350605.30771029</v>
      </c>
      <c r="J73" s="20">
        <f t="shared" si="5"/>
        <v>175350605.30771029</v>
      </c>
      <c r="L73" s="20">
        <f t="shared" si="6"/>
        <v>20429196.734878868</v>
      </c>
      <c r="M73" s="20" t="e">
        <f>#REF!*0.04</f>
        <v>#REF!</v>
      </c>
      <c r="N73" s="20">
        <f t="shared" si="0"/>
        <v>13680000</v>
      </c>
      <c r="O73" s="20" t="e">
        <f t="shared" si="1"/>
        <v>#REF!</v>
      </c>
      <c r="P73" s="20" t="e">
        <f>O73/POWER(1+$B$12,19)</f>
        <v>#REF!</v>
      </c>
      <c r="Q73" s="20"/>
      <c r="R73" s="36" t="e">
        <f t="shared" si="2"/>
        <v>#REF!</v>
      </c>
      <c r="S73" s="20" t="e">
        <f t="shared" si="7"/>
        <v>#REF!</v>
      </c>
      <c r="T73" s="20"/>
    </row>
    <row r="74" spans="1:20" hidden="1">
      <c r="A74" s="15">
        <v>21</v>
      </c>
      <c r="B74" s="15">
        <v>79</v>
      </c>
      <c r="C74" s="15"/>
      <c r="D74" s="15"/>
      <c r="E74" s="15"/>
      <c r="F74" s="15"/>
      <c r="G74" s="15"/>
      <c r="H74" s="20">
        <f t="shared" si="3"/>
        <v>180611123.46694162</v>
      </c>
      <c r="I74" s="20">
        <f t="shared" si="4"/>
        <v>180611123.46694162</v>
      </c>
      <c r="J74" s="20">
        <f t="shared" si="5"/>
        <v>180611123.46694162</v>
      </c>
      <c r="L74" s="20">
        <f t="shared" si="6"/>
        <v>21042072.636925235</v>
      </c>
      <c r="M74" s="20" t="e">
        <f>#REF!*0.04</f>
        <v>#REF!</v>
      </c>
      <c r="N74" s="20">
        <f t="shared" si="0"/>
        <v>13680000</v>
      </c>
      <c r="O74" s="20" t="e">
        <f t="shared" si="1"/>
        <v>#REF!</v>
      </c>
      <c r="P74" s="20" t="e">
        <f>O74/POWER(1+$B$12,20)</f>
        <v>#REF!</v>
      </c>
      <c r="Q74" s="20"/>
      <c r="R74" s="36" t="e">
        <f t="shared" si="2"/>
        <v>#REF!</v>
      </c>
      <c r="S74" s="20" t="e">
        <f t="shared" si="7"/>
        <v>#REF!</v>
      </c>
      <c r="T74" s="20"/>
    </row>
    <row r="75" spans="1:20" hidden="1">
      <c r="A75" s="15">
        <v>22</v>
      </c>
      <c r="B75" s="15">
        <v>80</v>
      </c>
      <c r="C75" s="15"/>
      <c r="D75" s="15"/>
      <c r="E75" s="15"/>
      <c r="F75" s="15"/>
      <c r="G75" s="15"/>
      <c r="H75" s="20">
        <f t="shared" si="3"/>
        <v>186029457.17094988</v>
      </c>
      <c r="I75" s="20">
        <f t="shared" si="4"/>
        <v>186029457.17094988</v>
      </c>
      <c r="J75" s="20">
        <f t="shared" si="5"/>
        <v>186029457.17094988</v>
      </c>
      <c r="L75" s="20">
        <f t="shared" si="6"/>
        <v>21673334.816032998</v>
      </c>
      <c r="M75" s="20" t="e">
        <f>#REF!*0.04</f>
        <v>#REF!</v>
      </c>
      <c r="N75" s="20">
        <f t="shared" si="0"/>
        <v>13680000</v>
      </c>
      <c r="O75" s="20" t="e">
        <f t="shared" si="1"/>
        <v>#REF!</v>
      </c>
      <c r="P75" s="20" t="e">
        <f>O75/POWER(1+$B$12,21)</f>
        <v>#REF!</v>
      </c>
      <c r="Q75" s="20"/>
      <c r="R75" s="36" t="e">
        <f t="shared" si="2"/>
        <v>#REF!</v>
      </c>
      <c r="S75" s="20" t="e">
        <f t="shared" si="7"/>
        <v>#REF!</v>
      </c>
      <c r="T75" s="20"/>
    </row>
    <row r="76" spans="1:20" hidden="1">
      <c r="A76" s="15">
        <v>23</v>
      </c>
      <c r="B76" s="15">
        <v>81</v>
      </c>
      <c r="C76" s="15"/>
      <c r="D76" s="15"/>
      <c r="E76" s="15"/>
      <c r="F76" s="15"/>
      <c r="G76" s="15"/>
      <c r="H76" s="20">
        <f t="shared" si="3"/>
        <v>191610340.88607839</v>
      </c>
      <c r="I76" s="20">
        <f t="shared" si="4"/>
        <v>191610340.88607839</v>
      </c>
      <c r="J76" s="20">
        <f t="shared" si="5"/>
        <v>191610340.88607839</v>
      </c>
      <c r="L76" s="20">
        <f t="shared" si="6"/>
        <v>22323534.860513981</v>
      </c>
      <c r="M76" s="20" t="e">
        <f>#REF!*0.04</f>
        <v>#REF!</v>
      </c>
      <c r="N76" s="20">
        <f t="shared" si="0"/>
        <v>13680000</v>
      </c>
      <c r="O76" s="20" t="e">
        <f t="shared" si="1"/>
        <v>#REF!</v>
      </c>
      <c r="P76" s="20" t="e">
        <f>O76/POWER(1+$B$12,22)</f>
        <v>#REF!</v>
      </c>
      <c r="Q76" s="20"/>
      <c r="R76" s="36" t="e">
        <f t="shared" si="2"/>
        <v>#REF!</v>
      </c>
      <c r="S76" s="20" t="e">
        <f t="shared" si="7"/>
        <v>#REF!</v>
      </c>
      <c r="T76" s="20"/>
    </row>
    <row r="77" spans="1:20" hidden="1">
      <c r="A77" s="15">
        <v>24</v>
      </c>
      <c r="B77" s="15">
        <v>82</v>
      </c>
      <c r="C77" s="15"/>
      <c r="D77" s="15"/>
      <c r="E77" s="15"/>
      <c r="F77" s="15"/>
      <c r="G77" s="15"/>
      <c r="H77" s="20">
        <f t="shared" si="3"/>
        <v>197358651.11266077</v>
      </c>
      <c r="I77" s="20">
        <f t="shared" si="4"/>
        <v>197358651.11266077</v>
      </c>
      <c r="J77" s="20">
        <f t="shared" si="5"/>
        <v>197358651.11266077</v>
      </c>
      <c r="L77" s="20">
        <f t="shared" si="6"/>
        <v>22993240.906329408</v>
      </c>
      <c r="M77" s="20" t="e">
        <f>#REF!*0.04</f>
        <v>#REF!</v>
      </c>
      <c r="N77" s="20">
        <f t="shared" si="0"/>
        <v>13680000</v>
      </c>
      <c r="O77" s="20" t="e">
        <f t="shared" si="1"/>
        <v>#REF!</v>
      </c>
      <c r="P77" s="20" t="e">
        <f>O77/POWER(1+$B$12,23)</f>
        <v>#REF!</v>
      </c>
      <c r="Q77" s="20"/>
      <c r="R77" s="36" t="e">
        <f t="shared" si="2"/>
        <v>#REF!</v>
      </c>
      <c r="S77" s="20" t="e">
        <f t="shared" si="7"/>
        <v>#REF!</v>
      </c>
      <c r="T77" s="20"/>
    </row>
    <row r="78" spans="1:20" hidden="1">
      <c r="A78" s="15">
        <v>25</v>
      </c>
      <c r="B78" s="15">
        <v>83</v>
      </c>
      <c r="C78" s="15"/>
      <c r="D78" s="15"/>
      <c r="E78" s="15"/>
      <c r="F78" s="15"/>
      <c r="G78" s="15"/>
      <c r="H78" s="20">
        <f t="shared" si="3"/>
        <v>203279410.64604059</v>
      </c>
      <c r="I78" s="20">
        <f t="shared" si="4"/>
        <v>203279410.64604059</v>
      </c>
      <c r="J78" s="20">
        <f t="shared" si="5"/>
        <v>203279410.64604059</v>
      </c>
      <c r="L78" s="20">
        <f t="shared" si="6"/>
        <v>23683038.133519292</v>
      </c>
      <c r="M78" s="20" t="e">
        <f>#REF!*0.04</f>
        <v>#REF!</v>
      </c>
      <c r="N78" s="20">
        <f t="shared" si="0"/>
        <v>13680000</v>
      </c>
      <c r="O78" s="20" t="e">
        <f t="shared" si="1"/>
        <v>#REF!</v>
      </c>
      <c r="P78" s="20" t="e">
        <f>O78/POWER(1+$B$12,24)</f>
        <v>#REF!</v>
      </c>
      <c r="Q78" s="20"/>
      <c r="R78" s="36" t="e">
        <f t="shared" si="2"/>
        <v>#REF!</v>
      </c>
      <c r="S78" s="20" t="e">
        <f t="shared" si="7"/>
        <v>#REF!</v>
      </c>
      <c r="T78" s="20"/>
    </row>
    <row r="79" spans="1:20" hidden="1">
      <c r="A79" s="25" t="s">
        <v>113</v>
      </c>
      <c r="H79" s="20"/>
      <c r="I79" s="20"/>
      <c r="J79" s="20"/>
      <c r="K79" s="20"/>
      <c r="L79" s="20"/>
      <c r="M79" s="20"/>
      <c r="N79" s="20"/>
      <c r="O79" s="37" t="e">
        <f>SUM(O54:O78)</f>
        <v>#REF!</v>
      </c>
      <c r="P79" s="37" t="e">
        <f>SUM(P54:P78)</f>
        <v>#REF!</v>
      </c>
      <c r="Q79" s="37"/>
      <c r="R79" s="36"/>
      <c r="S79" s="37" t="e">
        <f>S78</f>
        <v>#REF!</v>
      </c>
      <c r="T79" s="37"/>
    </row>
    <row r="80" spans="1:20">
      <c r="H80" s="20"/>
      <c r="I80" s="20">
        <f>6000000+3000000</f>
        <v>9000000</v>
      </c>
      <c r="J80" s="20" t="s">
        <v>131</v>
      </c>
      <c r="K80" s="20">
        <v>20000000</v>
      </c>
      <c r="L80" s="20"/>
      <c r="M80" s="20"/>
      <c r="N80" s="20"/>
      <c r="O80" s="20"/>
      <c r="P80" s="20"/>
      <c r="Q80" s="20"/>
      <c r="R80" s="36"/>
      <c r="S80" s="20"/>
      <c r="T80" s="20"/>
    </row>
    <row r="81" spans="1:26">
      <c r="A81" s="92" t="s">
        <v>114</v>
      </c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67"/>
    </row>
    <row r="82" spans="1:26" ht="19.5" customHeight="1">
      <c r="A82" s="39" t="s">
        <v>33</v>
      </c>
      <c r="B82" s="39" t="s">
        <v>34</v>
      </c>
      <c r="C82" s="39" t="s">
        <v>128</v>
      </c>
      <c r="D82" s="39" t="s">
        <v>123</v>
      </c>
      <c r="E82" s="39" t="s">
        <v>126</v>
      </c>
      <c r="F82" s="38" t="s">
        <v>127</v>
      </c>
      <c r="G82" s="39" t="s">
        <v>121</v>
      </c>
      <c r="H82" s="40" t="s">
        <v>35</v>
      </c>
      <c r="I82" s="40" t="s">
        <v>36</v>
      </c>
      <c r="J82" s="40" t="s">
        <v>37</v>
      </c>
      <c r="K82" s="40" t="s">
        <v>120</v>
      </c>
      <c r="L82" s="40" t="s">
        <v>38</v>
      </c>
      <c r="M82" s="40" t="s">
        <v>110</v>
      </c>
      <c r="N82" s="40" t="s">
        <v>39</v>
      </c>
      <c r="O82" s="40" t="s">
        <v>111</v>
      </c>
      <c r="P82" s="40" t="s">
        <v>112</v>
      </c>
      <c r="Q82" s="40" t="s">
        <v>134</v>
      </c>
      <c r="R82" s="41" t="s">
        <v>40</v>
      </c>
      <c r="S82" s="40" t="s">
        <v>41</v>
      </c>
      <c r="T82" s="40" t="s">
        <v>135</v>
      </c>
      <c r="U82" s="40" t="s">
        <v>133</v>
      </c>
      <c r="V82" s="40" t="s">
        <v>129</v>
      </c>
      <c r="W82" s="40" t="s">
        <v>137</v>
      </c>
      <c r="X82" s="40" t="s">
        <v>132</v>
      </c>
      <c r="Y82" s="82" t="s">
        <v>136</v>
      </c>
      <c r="Z82" s="83">
        <v>700000000</v>
      </c>
    </row>
    <row r="83" spans="1:26">
      <c r="A83" s="32">
        <v>-6</v>
      </c>
      <c r="B83" s="42">
        <v>52</v>
      </c>
      <c r="C83" s="54">
        <f>D83+E83+F83+G83</f>
        <v>889541866</v>
      </c>
      <c r="D83" s="43">
        <v>507019178</v>
      </c>
      <c r="E83" s="43">
        <v>233008759</v>
      </c>
      <c r="F83" s="43">
        <v>51042122</v>
      </c>
      <c r="G83" s="43">
        <v>98471807</v>
      </c>
      <c r="H83" s="43">
        <v>73000000</v>
      </c>
      <c r="I83" s="44">
        <v>27440842</v>
      </c>
      <c r="J83" s="43">
        <v>59007209</v>
      </c>
      <c r="K83" s="43">
        <v>0</v>
      </c>
      <c r="L83" s="43"/>
      <c r="M83" s="43"/>
      <c r="N83" s="43"/>
      <c r="O83" s="43"/>
      <c r="P83" s="43"/>
      <c r="Q83" s="43"/>
      <c r="R83" s="45"/>
      <c r="S83" s="46"/>
      <c r="T83" s="46"/>
      <c r="U83" s="43">
        <v>550000000</v>
      </c>
      <c r="V83" s="43">
        <v>208000000</v>
      </c>
      <c r="W83" s="43">
        <v>20000000</v>
      </c>
      <c r="X83" s="34">
        <f>W83+V83+U83+K83+J83+I83+H83+C83</f>
        <v>1826989917</v>
      </c>
      <c r="Y83" s="68" t="s">
        <v>129</v>
      </c>
      <c r="Z83" s="43">
        <f>-100000000</f>
        <v>-100000000</v>
      </c>
    </row>
    <row r="84" spans="1:26">
      <c r="A84" s="32">
        <v>-5</v>
      </c>
      <c r="B84" s="42">
        <v>53</v>
      </c>
      <c r="C84" s="54">
        <f>D84+E84+F84+G84</f>
        <v>995809831.69000006</v>
      </c>
      <c r="D84" s="43">
        <f>416761341*(1+B$42)-3000000</f>
        <v>476275542.14999998</v>
      </c>
      <c r="E84" s="54">
        <f>316008759*(1+B$43)</f>
        <v>353929810.08000004</v>
      </c>
      <c r="F84" s="54">
        <f>53042122*(1+D$42)</f>
        <v>57285491.760000005</v>
      </c>
      <c r="G84" s="43">
        <f>G83*(1+D$43)</f>
        <v>108318987.7</v>
      </c>
      <c r="H84" s="43">
        <f>H83*(1+C$26)</f>
        <v>77745000</v>
      </c>
      <c r="I84" s="44">
        <f>I83*(1+C$27)+9000000</f>
        <v>38224496.729999997</v>
      </c>
      <c r="J84" s="43">
        <f>(J83+4800000)*(1+C$27)+4800000</f>
        <v>72754677.584999993</v>
      </c>
      <c r="K84" s="43">
        <v>80000000</v>
      </c>
      <c r="L84" s="43"/>
      <c r="M84" s="43"/>
      <c r="N84" s="43"/>
      <c r="O84" s="43"/>
      <c r="P84" s="43"/>
      <c r="Q84" s="43"/>
      <c r="R84" s="45"/>
      <c r="S84" s="46"/>
      <c r="T84" s="46"/>
      <c r="U84" s="43">
        <v>550000000</v>
      </c>
      <c r="V84" s="43">
        <v>168000000</v>
      </c>
      <c r="W84" s="43">
        <v>20000000</v>
      </c>
      <c r="X84" s="34">
        <f>W84+V84+U84+K84+J84+I84+H84+C84</f>
        <v>2002534006.0050001</v>
      </c>
      <c r="Y84" s="68" t="s">
        <v>137</v>
      </c>
      <c r="Z84" s="43">
        <f>-W86</f>
        <v>-20000000</v>
      </c>
    </row>
    <row r="85" spans="1:26">
      <c r="A85" s="32">
        <v>-4</v>
      </c>
      <c r="B85" s="42">
        <v>54</v>
      </c>
      <c r="C85" s="54">
        <f>D85+E85+F85+G85</f>
        <v>1046137478.3329</v>
      </c>
      <c r="D85" s="85">
        <f>D84*(1+B$42)-29000000-20000000</f>
        <v>498716873.47249997</v>
      </c>
      <c r="E85" s="86">
        <f>E84*(1+B$43)-10000000</f>
        <v>386401387.28960007</v>
      </c>
      <c r="F85" s="54">
        <f>F84*(1+D$42)</f>
        <v>61868331.100800008</v>
      </c>
      <c r="G85" s="85">
        <f>G84*(1+D$43)-20000000</f>
        <v>99150886.470000014</v>
      </c>
      <c r="H85" s="43">
        <f t="shared" ref="H85:H89" si="8">H84*(1+C$26)</f>
        <v>82798425</v>
      </c>
      <c r="I85" s="44">
        <f>I84*(1+C$27)+9000000</f>
        <v>49709089.017449997</v>
      </c>
      <c r="J85" s="43">
        <f t="shared" ref="J85:J88" si="9">(J84+4800000)*(1+C$27)+4800000</f>
        <v>87395731.628024995</v>
      </c>
      <c r="K85" s="43">
        <f>(K84*(1+B8))+40000000</f>
        <v>125200000</v>
      </c>
      <c r="L85" s="43"/>
      <c r="M85" s="43"/>
      <c r="N85" s="43"/>
      <c r="O85" s="43"/>
      <c r="P85" s="43"/>
      <c r="Q85" s="43"/>
      <c r="R85" s="45"/>
      <c r="S85" s="46"/>
      <c r="T85" s="87">
        <v>40000000</v>
      </c>
      <c r="U85" s="43">
        <v>550000000</v>
      </c>
      <c r="V85" s="43">
        <v>148000000</v>
      </c>
      <c r="W85" s="43">
        <v>20000000</v>
      </c>
      <c r="X85" s="34">
        <f>W85+V85+U85+K85+J85+I85+H85+C85+T85</f>
        <v>2149240723.978375</v>
      </c>
      <c r="Y85" s="68" t="s">
        <v>145</v>
      </c>
      <c r="Z85" s="43">
        <v>-550000000</v>
      </c>
    </row>
    <row r="86" spans="1:26">
      <c r="A86" s="32">
        <v>-3</v>
      </c>
      <c r="B86" s="42">
        <v>55</v>
      </c>
      <c r="C86" s="54">
        <f t="shared" ref="C86:C87" si="10">D86+E86+F86+G86</f>
        <v>1153177730.9635911</v>
      </c>
      <c r="D86" s="43">
        <f t="shared" ref="D86" si="11">D85*(1+B$42)-29000000</f>
        <v>544524404.49337494</v>
      </c>
      <c r="E86" s="54">
        <f t="shared" ref="E86:E88" si="12">E85*(1+B$43)</f>
        <v>432769553.76435214</v>
      </c>
      <c r="F86" s="54">
        <f t="shared" ref="F86" si="13">F85*(1+D$42)</f>
        <v>66817797.588864014</v>
      </c>
      <c r="G86" s="43">
        <f t="shared" ref="G86:G88" si="14">G85*(1+D$43)</f>
        <v>109065975.11700003</v>
      </c>
      <c r="H86" s="43">
        <f t="shared" si="8"/>
        <v>88180322.625</v>
      </c>
      <c r="I86" s="44">
        <f>I85*(1+C$27)+9000000</f>
        <v>61940179.803584248</v>
      </c>
      <c r="J86" s="43">
        <f t="shared" si="9"/>
        <v>102988454.18384661</v>
      </c>
      <c r="K86" s="43">
        <f>(K85*(1+B9))+40000000</f>
        <v>171460000</v>
      </c>
      <c r="L86" s="43"/>
      <c r="M86" s="43"/>
      <c r="N86" s="43"/>
      <c r="O86" s="43"/>
      <c r="P86" s="43"/>
      <c r="Q86" s="43"/>
      <c r="R86" s="45"/>
      <c r="S86" s="46"/>
      <c r="T86" s="44">
        <f>T85*(1+F$42)</f>
        <v>44800000.000000007</v>
      </c>
      <c r="U86" s="43">
        <v>550000000</v>
      </c>
      <c r="V86" s="43">
        <v>128000000</v>
      </c>
      <c r="W86" s="43">
        <v>20000000</v>
      </c>
      <c r="X86" s="34">
        <f t="shared" ref="X86:X87" si="15">W86+V86+U86+K86+J86+I86+H86+C86+T86</f>
        <v>2320546687.5760221</v>
      </c>
      <c r="Y86" s="68" t="s">
        <v>138</v>
      </c>
      <c r="Z86" s="43">
        <v>-30000000</v>
      </c>
    </row>
    <row r="87" spans="1:26">
      <c r="A87" s="71">
        <v>-2</v>
      </c>
      <c r="B87" s="72">
        <v>56</v>
      </c>
      <c r="C87" s="73">
        <f t="shared" si="10"/>
        <v>1244040759.4081287</v>
      </c>
      <c r="D87" s="74">
        <f>D86*(1+B$42)-29000000-30000000</f>
        <v>567203065.16738117</v>
      </c>
      <c r="E87" s="73">
        <f>E86*(1+B$43)</f>
        <v>484701900.21607447</v>
      </c>
      <c r="F87" s="73">
        <f>F86*(1+D$42)</f>
        <v>72163221.395973146</v>
      </c>
      <c r="G87" s="74">
        <f>G86*(1+D$43)</f>
        <v>119972572.62870005</v>
      </c>
      <c r="H87" s="74">
        <f t="shared" si="8"/>
        <v>93912043.595624998</v>
      </c>
      <c r="I87" s="75">
        <f>I86*(1+C$27)+9000000</f>
        <v>74966291.490817219</v>
      </c>
      <c r="J87" s="74">
        <f t="shared" si="9"/>
        <v>119594703.70579663</v>
      </c>
      <c r="K87" s="74">
        <f>(K86*(1+B10))+40000000</f>
        <v>223462200</v>
      </c>
      <c r="L87" s="74"/>
      <c r="M87" s="74"/>
      <c r="N87" s="74"/>
      <c r="O87" s="74"/>
      <c r="P87" s="74"/>
      <c r="Q87" s="74"/>
      <c r="R87" s="76"/>
      <c r="S87" s="77"/>
      <c r="T87" s="88">
        <f>T86*(1+F$42)</f>
        <v>50176000.000000015</v>
      </c>
      <c r="U87" s="74">
        <v>700000000</v>
      </c>
      <c r="V87" s="74">
        <v>8000000</v>
      </c>
      <c r="W87" s="74">
        <v>0</v>
      </c>
      <c r="X87" s="78">
        <f t="shared" si="15"/>
        <v>2514151998.2003675</v>
      </c>
      <c r="Y87" s="68" t="s">
        <v>140</v>
      </c>
      <c r="Z87" s="43"/>
    </row>
    <row r="88" spans="1:26">
      <c r="A88" s="32">
        <v>-1</v>
      </c>
      <c r="B88" s="42">
        <v>57</v>
      </c>
      <c r="C88" s="54">
        <f>D88+E88+F88+G88</f>
        <v>1396055762.1837127</v>
      </c>
      <c r="D88" s="43">
        <f>D87*(1+B$42)-9000000</f>
        <v>643283524.94248831</v>
      </c>
      <c r="E88" s="54">
        <f t="shared" si="12"/>
        <v>542866128.24200344</v>
      </c>
      <c r="F88" s="54">
        <f>F87*(1+D$42)</f>
        <v>77936279.10765101</v>
      </c>
      <c r="G88" s="43">
        <f t="shared" si="14"/>
        <v>131969829.89157006</v>
      </c>
      <c r="H88" s="43">
        <f t="shared" si="8"/>
        <v>100016326.42934062</v>
      </c>
      <c r="I88" s="44">
        <f>I87*(1+C$27)+9000000</f>
        <v>88839100.437720329</v>
      </c>
      <c r="J88" s="43">
        <f t="shared" si="9"/>
        <v>137280359.44667339</v>
      </c>
      <c r="K88" s="43">
        <f>(K87*(1+B11))</f>
        <v>234635310</v>
      </c>
      <c r="L88" s="43"/>
      <c r="M88" s="43"/>
      <c r="N88" s="43"/>
      <c r="O88" s="43"/>
      <c r="P88" s="43"/>
      <c r="Q88" s="43"/>
      <c r="R88" s="45"/>
      <c r="S88" s="46"/>
      <c r="T88" s="44">
        <f>T87*(1+F$42)</f>
        <v>56197120.000000022</v>
      </c>
      <c r="U88" s="43">
        <f>U87</f>
        <v>700000000</v>
      </c>
      <c r="V88" s="43">
        <v>8000000</v>
      </c>
      <c r="W88" s="43">
        <v>0</v>
      </c>
      <c r="X88" s="34">
        <f>W88+V88+U88+K88+J88+I88+H88+C88</f>
        <v>2664826858.497447</v>
      </c>
      <c r="Y88" s="70" t="s">
        <v>139</v>
      </c>
      <c r="Z88" s="43"/>
    </row>
    <row r="89" spans="1:26">
      <c r="A89" s="55">
        <v>0</v>
      </c>
      <c r="B89" s="56">
        <v>58</v>
      </c>
      <c r="C89" s="60">
        <f>D89+E89+F89+G89</f>
        <v>1537124111.6318955</v>
      </c>
      <c r="D89" s="74">
        <f>D88*(1+B$42)-40000000</f>
        <v>699776053.68386149</v>
      </c>
      <c r="E89" s="60">
        <f>E88*(1+B$43)</f>
        <v>608010063.63104391</v>
      </c>
      <c r="F89" s="60">
        <f t="shared" ref="F89" si="16">F88*(1+D$42)</f>
        <v>84171181.436263099</v>
      </c>
      <c r="G89" s="47">
        <f t="shared" ref="G89" si="17">G88*(1+D$43)</f>
        <v>145166812.88072708</v>
      </c>
      <c r="H89" s="47">
        <f t="shared" si="8"/>
        <v>106517387.64724775</v>
      </c>
      <c r="I89" s="57">
        <f>I88*(1+C$27)</f>
        <v>94613641.966172144</v>
      </c>
      <c r="J89" s="47">
        <f>J88*(1+C26)</f>
        <v>146203582.81070715</v>
      </c>
      <c r="K89" s="47">
        <f>(K88*(1+B12))</f>
        <v>240501192.74999997</v>
      </c>
      <c r="L89" s="47"/>
      <c r="M89" s="47"/>
      <c r="N89" s="47"/>
      <c r="O89" s="47"/>
      <c r="P89" s="47"/>
      <c r="Q89" s="47"/>
      <c r="R89" s="58"/>
      <c r="S89" s="59"/>
      <c r="T89" s="75">
        <f>T88*(1+F$42)+40000000</f>
        <v>102940774.40000004</v>
      </c>
      <c r="U89" s="47">
        <f>U88</f>
        <v>700000000</v>
      </c>
      <c r="V89" s="47">
        <v>8000000</v>
      </c>
      <c r="W89" s="47">
        <v>0</v>
      </c>
      <c r="X89" s="79">
        <f>W89+V89+U89+K89+J89+I89+H89+C89</f>
        <v>2832959916.8060226</v>
      </c>
      <c r="Z89" s="20">
        <f>Z82+SUM(Z83:Z88)</f>
        <v>0</v>
      </c>
    </row>
    <row r="90" spans="1:26">
      <c r="A90" s="48">
        <v>1</v>
      </c>
      <c r="B90" s="49">
        <v>59</v>
      </c>
      <c r="C90" s="80">
        <f t="shared" ref="C89:C90" si="18">D90+E90+F90+G90</f>
        <v>1736302103.1231742</v>
      </c>
      <c r="D90" s="81">
        <f>D89*(1+B$42)</f>
        <v>804742461.73644066</v>
      </c>
      <c r="E90" s="80">
        <f>E89*(1+B$43)</f>
        <v>680971271.26676929</v>
      </c>
      <c r="F90" s="80">
        <f t="shared" ref="F90" si="19">F89*(1+D$42)</f>
        <v>90904875.951164156</v>
      </c>
      <c r="G90" s="81">
        <f t="shared" ref="G90" si="20">G89*(1+D$43)</f>
        <v>159683494.16879982</v>
      </c>
      <c r="H90" s="34">
        <f>H89*(1+C$27)-H89*D$27</f>
        <v>107582561.52372022</v>
      </c>
      <c r="I90" s="51">
        <f>I89*(1+C$27)-I89*D$27</f>
        <v>95559778.385833859</v>
      </c>
      <c r="J90" s="34">
        <f>J89*(1+C$27)-J89*D$27</f>
        <v>147665618.63881421</v>
      </c>
      <c r="K90" s="34">
        <f>K89*(1+C$31)-K89*D$31</f>
        <v>245311216.60499999</v>
      </c>
      <c r="L90" s="34">
        <f>(H90+I90+J90)*(D$27*(1-5.5%))</f>
        <v>18233243.645551439</v>
      </c>
      <c r="M90" s="34">
        <f>K90*D$26*(1-9.9%)</f>
        <v>12156397.338860774</v>
      </c>
      <c r="N90" s="34">
        <v>0</v>
      </c>
      <c r="O90" s="34">
        <f>L90+M90+N90</f>
        <v>30389640.984412216</v>
      </c>
      <c r="P90" s="34">
        <f>O90/POWER(1+$B$12,0)</f>
        <v>30389640.984412216</v>
      </c>
      <c r="Q90" s="20"/>
      <c r="R90" s="35">
        <f t="shared" ref="R90:R114" si="21">P90/$P$90*100</f>
        <v>100</v>
      </c>
      <c r="S90" s="34">
        <f>P90</f>
        <v>30389640.984412216</v>
      </c>
      <c r="T90" s="43">
        <f t="shared" ref="T90:T114" si="22">T89*(1+F$42)</f>
        <v>115293667.32800005</v>
      </c>
    </row>
    <row r="91" spans="1:26">
      <c r="A91" s="14">
        <v>2</v>
      </c>
      <c r="B91" s="50">
        <v>60</v>
      </c>
      <c r="C91" s="80">
        <f t="shared" ref="C91:C92" si="23">D91+E91+F91+G91</f>
        <v>1761970764.4286253</v>
      </c>
      <c r="D91" s="89">
        <f>D90*(1+B$42)-200000000</f>
        <v>725453830.99690664</v>
      </c>
      <c r="E91" s="80">
        <f>E90*(1+B$43)</f>
        <v>762687823.81878173</v>
      </c>
      <c r="F91" s="80">
        <f t="shared" ref="F91:F92" si="24">F90*(1+D$42)</f>
        <v>98177266.027257293</v>
      </c>
      <c r="G91" s="81">
        <f t="shared" ref="G91:G92" si="25">G90*(1+D$43)</f>
        <v>175651843.5856798</v>
      </c>
      <c r="H91" s="34">
        <f t="shared" ref="H91:H102" si="26">H90*(1+C$27)-H90*D$27</f>
        <v>108658387.13895741</v>
      </c>
      <c r="I91" s="51">
        <f t="shared" ref="I91:I102" si="27">I90*(1+C$27)-I90*D$27</f>
        <v>96515376.169692189</v>
      </c>
      <c r="J91" s="34">
        <f t="shared" ref="J91:J102" si="28">J90*(1+C$27)-J90*D$27</f>
        <v>149142274.82520235</v>
      </c>
      <c r="K91" s="34">
        <f t="shared" ref="K91:K102" si="29">K90*(1+C$31)-K90*D$31</f>
        <v>250217440.93710002</v>
      </c>
      <c r="L91" s="34">
        <f>(H91+I91+J91)*(D$27*(1-5.5%))</f>
        <v>18415576.082006954</v>
      </c>
      <c r="M91" s="34">
        <f>K91*D$26*(1-9.9%)</f>
        <v>12399525.285637992</v>
      </c>
      <c r="N91" s="34">
        <v>0</v>
      </c>
      <c r="O91" s="34">
        <f t="shared" ref="O91:O114" si="30">L91+M91+N91</f>
        <v>30815101.367644943</v>
      </c>
      <c r="P91" s="34">
        <f>O91/POWER(1+$B$12,1)</f>
        <v>30063513.529409703</v>
      </c>
      <c r="Q91" s="34"/>
      <c r="R91" s="35">
        <f t="shared" si="21"/>
        <v>98.926846634450882</v>
      </c>
      <c r="S91" s="34">
        <f t="shared" ref="S91:S114" si="31">S90+P91</f>
        <v>60453154.513821915</v>
      </c>
      <c r="T91" s="74">
        <f>T90*(1+F$42)+200000000</f>
        <v>329128907.40736008</v>
      </c>
      <c r="Y91" s="10" t="s">
        <v>143</v>
      </c>
    </row>
    <row r="92" spans="1:26">
      <c r="A92" s="14">
        <v>3</v>
      </c>
      <c r="B92" s="50">
        <v>61</v>
      </c>
      <c r="C92" s="80">
        <f t="shared" si="23"/>
        <v>1987730743.5771639</v>
      </c>
      <c r="D92" s="81">
        <f t="shared" ref="D92:D114" si="32">D91*(1+B$42)</f>
        <v>834271905.64644253</v>
      </c>
      <c r="E92" s="80">
        <f t="shared" ref="E92:E114" si="33">E91*(1+B$43)</f>
        <v>854210362.67703557</v>
      </c>
      <c r="F92" s="80">
        <f t="shared" si="24"/>
        <v>106031447.30943789</v>
      </c>
      <c r="G92" s="81">
        <f t="shared" si="25"/>
        <v>193217027.94424778</v>
      </c>
      <c r="H92" s="34">
        <f t="shared" si="26"/>
        <v>109744971.01034698</v>
      </c>
      <c r="I92" s="51">
        <f t="shared" si="27"/>
        <v>97480529.931389108</v>
      </c>
      <c r="J92" s="34">
        <f t="shared" si="28"/>
        <v>150633697.57345435</v>
      </c>
      <c r="K92" s="34">
        <f t="shared" si="29"/>
        <v>255221789.75584203</v>
      </c>
      <c r="L92" s="34">
        <f t="shared" ref="L92:L114" si="34">(H92+I92+J92)*(D$27*(1-5.5%))</f>
        <v>18599731.842827026</v>
      </c>
      <c r="M92" s="34">
        <f t="shared" ref="M92:M103" si="35">K92*D$26*(1-9.9%)</f>
        <v>12647515.791350752</v>
      </c>
      <c r="N92" s="34">
        <v>0</v>
      </c>
      <c r="O92" s="34">
        <f t="shared" si="30"/>
        <v>31247247.634177778</v>
      </c>
      <c r="P92" s="34">
        <f>O92/POWER(1+$B$12,2)</f>
        <v>29741580.139610022</v>
      </c>
      <c r="Q92" s="34"/>
      <c r="R92" s="35">
        <f t="shared" si="21"/>
        <v>97.86749423879472</v>
      </c>
      <c r="S92" s="34">
        <f t="shared" si="31"/>
        <v>90194734.653431937</v>
      </c>
      <c r="T92" s="43">
        <f t="shared" si="22"/>
        <v>368624376.29624331</v>
      </c>
    </row>
    <row r="93" spans="1:26">
      <c r="A93" s="14">
        <v>4</v>
      </c>
      <c r="B93" s="50">
        <v>62</v>
      </c>
      <c r="C93" s="80">
        <f t="shared" ref="C93:C114" si="36">D93+E93+F93+G93</f>
        <v>2243180991.5245543</v>
      </c>
      <c r="D93" s="81">
        <f t="shared" si="32"/>
        <v>959412691.4934088</v>
      </c>
      <c r="E93" s="80">
        <f t="shared" si="33"/>
        <v>956715606.19827998</v>
      </c>
      <c r="F93" s="80">
        <f t="shared" ref="F93:F114" si="37">F92*(1+D$42)</f>
        <v>114513963.09419292</v>
      </c>
      <c r="G93" s="81">
        <f t="shared" ref="G93:G114" si="38">G92*(1+D$43)</f>
        <v>212538730.73867258</v>
      </c>
      <c r="H93" s="34">
        <f t="shared" si="26"/>
        <v>110842420.72045043</v>
      </c>
      <c r="I93" s="51">
        <f t="shared" si="27"/>
        <v>98455335.230702996</v>
      </c>
      <c r="J93" s="34">
        <f t="shared" si="28"/>
        <v>152140034.54918888</v>
      </c>
      <c r="K93" s="34">
        <f t="shared" si="29"/>
        <v>260326225.5509589</v>
      </c>
      <c r="L93" s="34">
        <f t="shared" si="34"/>
        <v>18785729.161255293</v>
      </c>
      <c r="M93" s="34">
        <f t="shared" si="35"/>
        <v>12900466.107177768</v>
      </c>
      <c r="N93" s="34">
        <v>0</v>
      </c>
      <c r="O93" s="34">
        <f t="shared" si="30"/>
        <v>31686195.26843306</v>
      </c>
      <c r="P93" s="34">
        <f>O93/POWER(1+$B$12,3)</f>
        <v>29423782.26055507</v>
      </c>
      <c r="Q93" s="34"/>
      <c r="R93" s="35">
        <f t="shared" si="21"/>
        <v>96.82175013402572</v>
      </c>
      <c r="S93" s="34">
        <f>S92+P93</f>
        <v>119618516.91398701</v>
      </c>
      <c r="T93" s="43">
        <f t="shared" si="22"/>
        <v>412859301.45179254</v>
      </c>
    </row>
    <row r="94" spans="1:26">
      <c r="A94" s="14">
        <v>5</v>
      </c>
      <c r="B94" s="50">
        <v>63</v>
      </c>
      <c r="C94" s="80">
        <f t="shared" si="36"/>
        <v>2532313758.1137624</v>
      </c>
      <c r="D94" s="81">
        <f t="shared" si="32"/>
        <v>1103324595.2174201</v>
      </c>
      <c r="E94" s="80">
        <f t="shared" si="33"/>
        <v>1071521478.9420737</v>
      </c>
      <c r="F94" s="80">
        <f t="shared" si="37"/>
        <v>123675080.14172837</v>
      </c>
      <c r="G94" s="81">
        <f t="shared" si="38"/>
        <v>233792603.81253988</v>
      </c>
      <c r="H94" s="34">
        <f t="shared" si="26"/>
        <v>111950844.92765492</v>
      </c>
      <c r="I94" s="51">
        <f t="shared" si="27"/>
        <v>99439888.583010018</v>
      </c>
      <c r="J94" s="34">
        <f t="shared" si="28"/>
        <v>153661434.89468074</v>
      </c>
      <c r="K94" s="34">
        <f t="shared" si="29"/>
        <v>265532750.0619781</v>
      </c>
      <c r="L94" s="34">
        <f t="shared" si="34"/>
        <v>18973586.452867843</v>
      </c>
      <c r="M94" s="34">
        <f t="shared" si="35"/>
        <v>13158475.429321324</v>
      </c>
      <c r="N94" s="34">
        <f>$D$40*(1+B12)</f>
        <v>18450000</v>
      </c>
      <c r="O94" s="34">
        <f t="shared" si="30"/>
        <v>50582061.88218917</v>
      </c>
      <c r="P94" s="34">
        <f>O94/POWER(1+$B$12,4)</f>
        <v>45824851.577470385</v>
      </c>
      <c r="Q94" s="34"/>
      <c r="R94" s="35">
        <f t="shared" si="21"/>
        <v>150.79102645857304</v>
      </c>
      <c r="S94" s="34">
        <f t="shared" si="31"/>
        <v>165443368.4914574</v>
      </c>
      <c r="T94" s="43">
        <f t="shared" si="22"/>
        <v>462402417.62600768</v>
      </c>
    </row>
    <row r="95" spans="1:26">
      <c r="A95" s="14">
        <v>6</v>
      </c>
      <c r="B95" s="50">
        <v>64</v>
      </c>
      <c r="C95" s="80">
        <f t="shared" si="36"/>
        <v>2859668291.6620159</v>
      </c>
      <c r="D95" s="81">
        <f t="shared" si="32"/>
        <v>1268823284.5000329</v>
      </c>
      <c r="E95" s="80">
        <f t="shared" si="33"/>
        <v>1200104056.4151227</v>
      </c>
      <c r="F95" s="80">
        <f t="shared" si="37"/>
        <v>133569086.55306666</v>
      </c>
      <c r="G95" s="81">
        <f t="shared" si="38"/>
        <v>257171864.19379389</v>
      </c>
      <c r="H95" s="34">
        <f t="shared" si="26"/>
        <v>113070353.37693146</v>
      </c>
      <c r="I95" s="51">
        <f t="shared" si="27"/>
        <v>100434287.46884012</v>
      </c>
      <c r="J95" s="34">
        <f t="shared" si="28"/>
        <v>155198049.24362752</v>
      </c>
      <c r="K95" s="34">
        <f t="shared" si="29"/>
        <v>270843405.0632177</v>
      </c>
      <c r="L95" s="34">
        <f t="shared" si="34"/>
        <v>19163322.317396518</v>
      </c>
      <c r="M95" s="34">
        <f t="shared" si="35"/>
        <v>13421644.937907754</v>
      </c>
      <c r="N95" s="34">
        <f>N94*(1+B$12)</f>
        <v>18911250</v>
      </c>
      <c r="O95" s="34">
        <f t="shared" si="30"/>
        <v>51496217.255304269</v>
      </c>
      <c r="P95" s="34">
        <f>O95/POWER(1+$B$12,5)</f>
        <v>45515152.416771881</v>
      </c>
      <c r="Q95" s="34"/>
      <c r="R95" s="35">
        <f t="shared" si="21"/>
        <v>149.7719319557543</v>
      </c>
      <c r="S95" s="34">
        <f t="shared" si="31"/>
        <v>210958520.90822929</v>
      </c>
      <c r="T95" s="43">
        <f t="shared" si="22"/>
        <v>517890707.74112862</v>
      </c>
    </row>
    <row r="96" spans="1:26">
      <c r="A96" s="14">
        <v>7</v>
      </c>
      <c r="B96" s="50">
        <v>65</v>
      </c>
      <c r="C96" s="80">
        <f t="shared" si="36"/>
        <v>3130406984.4504609</v>
      </c>
      <c r="D96" s="89">
        <f>D95*(1+B$42)-100000000</f>
        <v>1359146777.1750376</v>
      </c>
      <c r="E96" s="80">
        <f t="shared" si="33"/>
        <v>1344116543.1849377</v>
      </c>
      <c r="F96" s="80">
        <f t="shared" si="37"/>
        <v>144254613.477312</v>
      </c>
      <c r="G96" s="81">
        <f t="shared" si="38"/>
        <v>282889050.61317331</v>
      </c>
      <c r="H96" s="34">
        <f t="shared" si="26"/>
        <v>114201056.91070077</v>
      </c>
      <c r="I96" s="51">
        <f t="shared" si="27"/>
        <v>101438630.34352852</v>
      </c>
      <c r="J96" s="34">
        <f t="shared" si="28"/>
        <v>156750029.73606381</v>
      </c>
      <c r="K96" s="34">
        <f t="shared" si="29"/>
        <v>276260273.16448206</v>
      </c>
      <c r="L96" s="34">
        <f t="shared" si="34"/>
        <v>19354955.540570486</v>
      </c>
      <c r="M96" s="34">
        <f t="shared" si="35"/>
        <v>13690077.836665908</v>
      </c>
      <c r="N96" s="34">
        <f t="shared" ref="N96:N114" si="39">N95*(1+B$12)</f>
        <v>19384031.25</v>
      </c>
      <c r="O96" s="34">
        <f t="shared" si="30"/>
        <v>52429064.627236396</v>
      </c>
      <c r="P96" s="34">
        <f>O96/POWER(1+$B$12,6)</f>
        <v>45209418.113306694</v>
      </c>
      <c r="Q96" s="34"/>
      <c r="R96" s="35">
        <f t="shared" si="21"/>
        <v>148.76588419223512</v>
      </c>
      <c r="S96" s="34">
        <f t="shared" si="31"/>
        <v>256167939.02153599</v>
      </c>
      <c r="T96" s="74">
        <f>T95*(1+F$42)+90000000</f>
        <v>670037592.67006409</v>
      </c>
      <c r="Y96" s="10" t="s">
        <v>143</v>
      </c>
      <c r="Z96" s="10" t="s">
        <v>144</v>
      </c>
    </row>
    <row r="97" spans="1:22">
      <c r="A97" s="14">
        <v>8</v>
      </c>
      <c r="B97" s="50">
        <v>66</v>
      </c>
      <c r="C97" s="80">
        <f t="shared" si="36"/>
        <v>3535402260.3484116</v>
      </c>
      <c r="D97" s="81">
        <f t="shared" si="32"/>
        <v>1563018793.7512932</v>
      </c>
      <c r="E97" s="80">
        <f t="shared" si="33"/>
        <v>1505410528.3671303</v>
      </c>
      <c r="F97" s="80">
        <f t="shared" si="37"/>
        <v>155794982.55549696</v>
      </c>
      <c r="G97" s="81">
        <f t="shared" si="38"/>
        <v>311177955.67449069</v>
      </c>
      <c r="H97" s="34">
        <f t="shared" si="26"/>
        <v>115343067.47980778</v>
      </c>
      <c r="I97" s="51">
        <f t="shared" si="27"/>
        <v>102453016.6469638</v>
      </c>
      <c r="J97" s="34">
        <f t="shared" si="28"/>
        <v>158317530.03342444</v>
      </c>
      <c r="K97" s="34">
        <f t="shared" si="29"/>
        <v>281785478.62777174</v>
      </c>
      <c r="L97" s="34">
        <f t="shared" si="34"/>
        <v>19548505.095976189</v>
      </c>
      <c r="M97" s="34">
        <f t="shared" si="35"/>
        <v>13963879.393399229</v>
      </c>
      <c r="N97" s="34">
        <f t="shared" si="39"/>
        <v>19868632.03125</v>
      </c>
      <c r="O97" s="34">
        <f t="shared" si="30"/>
        <v>53381016.52062542</v>
      </c>
      <c r="P97" s="34">
        <f>O97/POWER(1+$B$12,7)</f>
        <v>44907593.412215821</v>
      </c>
      <c r="Q97" s="34"/>
      <c r="R97" s="35">
        <f t="shared" si="21"/>
        <v>147.772701346654</v>
      </c>
      <c r="S97" s="34">
        <f t="shared" si="31"/>
        <v>301075532.43375182</v>
      </c>
      <c r="T97" s="43">
        <f t="shared" si="22"/>
        <v>750442103.79047191</v>
      </c>
    </row>
    <row r="98" spans="1:22">
      <c r="A98" s="14">
        <v>9</v>
      </c>
      <c r="B98" s="50">
        <v>67</v>
      </c>
      <c r="C98" s="80">
        <f t="shared" si="36"/>
        <v>3994085736.9870501</v>
      </c>
      <c r="D98" s="81">
        <f t="shared" si="32"/>
        <v>1797471612.813987</v>
      </c>
      <c r="E98" s="80">
        <f t="shared" si="33"/>
        <v>1686059791.7711861</v>
      </c>
      <c r="F98" s="80">
        <f t="shared" si="37"/>
        <v>168258581.15993673</v>
      </c>
      <c r="G98" s="81">
        <f t="shared" si="38"/>
        <v>342295751.24193978</v>
      </c>
      <c r="H98" s="34">
        <f t="shared" si="26"/>
        <v>116496498.15460585</v>
      </c>
      <c r="I98" s="51">
        <f t="shared" si="27"/>
        <v>103477546.81343344</v>
      </c>
      <c r="J98" s="34">
        <f t="shared" si="28"/>
        <v>159900705.33375868</v>
      </c>
      <c r="K98" s="34">
        <f t="shared" si="29"/>
        <v>287421188.20032716</v>
      </c>
      <c r="L98" s="34">
        <f t="shared" si="34"/>
        <v>19743990.146935951</v>
      </c>
      <c r="M98" s="34">
        <f t="shared" si="35"/>
        <v>14243156.981267212</v>
      </c>
      <c r="N98" s="34">
        <f t="shared" si="39"/>
        <v>20365347.83203125</v>
      </c>
      <c r="O98" s="34">
        <f t="shared" si="30"/>
        <v>54352494.960234411</v>
      </c>
      <c r="P98" s="34">
        <f>O98/POWER(1+$B$12,8)</f>
        <v>44609623.853748254</v>
      </c>
      <c r="Q98" s="34"/>
      <c r="R98" s="35">
        <f t="shared" si="21"/>
        <v>146.79220421402778</v>
      </c>
      <c r="S98" s="34">
        <f t="shared" si="31"/>
        <v>345685156.28750008</v>
      </c>
      <c r="T98" s="43">
        <f t="shared" si="22"/>
        <v>840495156.24532866</v>
      </c>
    </row>
    <row r="99" spans="1:22">
      <c r="A99" s="14">
        <v>10</v>
      </c>
      <c r="B99" s="50">
        <v>68</v>
      </c>
      <c r="C99" s="80">
        <f t="shared" si="36"/>
        <v>4513723915.5386791</v>
      </c>
      <c r="D99" s="81">
        <f t="shared" si="32"/>
        <v>2067092354.7360849</v>
      </c>
      <c r="E99" s="80">
        <f t="shared" si="33"/>
        <v>1888386966.7837286</v>
      </c>
      <c r="F99" s="80">
        <f t="shared" si="37"/>
        <v>181719267.65273169</v>
      </c>
      <c r="G99" s="81">
        <f t="shared" si="38"/>
        <v>376525326.36613381</v>
      </c>
      <c r="H99" s="34">
        <f t="shared" si="26"/>
        <v>117661463.13615191</v>
      </c>
      <c r="I99" s="51">
        <f t="shared" si="27"/>
        <v>104512322.28156777</v>
      </c>
      <c r="J99" s="34">
        <f t="shared" si="28"/>
        <v>161499712.38709629</v>
      </c>
      <c r="K99" s="34">
        <f t="shared" si="29"/>
        <v>293169611.96433371</v>
      </c>
      <c r="L99" s="34">
        <f t="shared" si="34"/>
        <v>19941430.048405308</v>
      </c>
      <c r="M99" s="34">
        <f t="shared" si="35"/>
        <v>14528020.120892556</v>
      </c>
      <c r="N99" s="34">
        <f t="shared" si="39"/>
        <v>20874481.527832031</v>
      </c>
      <c r="O99" s="34">
        <f t="shared" si="30"/>
        <v>55343931.697129898</v>
      </c>
      <c r="P99" s="34">
        <f>O99/POWER(1+$B$12,9)</f>
        <v>44315455.761691071</v>
      </c>
      <c r="Q99" s="34"/>
      <c r="R99" s="35">
        <f t="shared" si="21"/>
        <v>145.82421616767977</v>
      </c>
      <c r="S99" s="34">
        <f t="shared" si="31"/>
        <v>390000612.04919118</v>
      </c>
      <c r="T99" s="43">
        <f t="shared" si="22"/>
        <v>941354574.99476814</v>
      </c>
      <c r="V99" s="69">
        <f>V100-V103</f>
        <v>820000000</v>
      </c>
    </row>
    <row r="100" spans="1:22">
      <c r="A100" s="14">
        <v>11</v>
      </c>
      <c r="B100" s="50">
        <v>69</v>
      </c>
      <c r="C100" s="80">
        <f t="shared" si="36"/>
        <v>5102584278.8119717</v>
      </c>
      <c r="D100" s="81">
        <f t="shared" si="32"/>
        <v>2377156207.9464974</v>
      </c>
      <c r="E100" s="80">
        <f t="shared" si="33"/>
        <v>2114993402.7977762</v>
      </c>
      <c r="F100" s="80">
        <f t="shared" si="37"/>
        <v>196256809.06495023</v>
      </c>
      <c r="G100" s="81">
        <f t="shared" si="38"/>
        <v>414177859.00274724</v>
      </c>
      <c r="H100" s="34">
        <f t="shared" si="26"/>
        <v>118838077.76751342</v>
      </c>
      <c r="I100" s="51">
        <f t="shared" si="27"/>
        <v>105557445.50438343</v>
      </c>
      <c r="J100" s="34">
        <f t="shared" si="28"/>
        <v>163114709.51096722</v>
      </c>
      <c r="K100" s="34">
        <f t="shared" si="29"/>
        <v>299033004.20362037</v>
      </c>
      <c r="L100" s="34">
        <f t="shared" si="34"/>
        <v>20140844.348889362</v>
      </c>
      <c r="M100" s="34">
        <f t="shared" si="35"/>
        <v>14818580.523310408</v>
      </c>
      <c r="N100" s="34">
        <f t="shared" si="39"/>
        <v>21396343.566027831</v>
      </c>
      <c r="O100" s="34">
        <f t="shared" si="30"/>
        <v>56355768.438227609</v>
      </c>
      <c r="P100" s="34">
        <f>O100/POWER(1+$B$12,10)</f>
        <v>44025036.231968582</v>
      </c>
      <c r="Q100" s="34"/>
      <c r="R100" s="35">
        <f t="shared" si="21"/>
        <v>144.86856312172421</v>
      </c>
      <c r="S100" s="34">
        <f t="shared" si="31"/>
        <v>434025648.28115976</v>
      </c>
      <c r="T100" s="43">
        <f t="shared" si="22"/>
        <v>1054317123.9941404</v>
      </c>
      <c r="V100" s="9">
        <f>1000000000</f>
        <v>1000000000</v>
      </c>
    </row>
    <row r="101" spans="1:22">
      <c r="A101" s="14">
        <v>12</v>
      </c>
      <c r="B101" s="50">
        <v>70</v>
      </c>
      <c r="C101" s="80">
        <f t="shared" si="36"/>
        <v>4770075248.9651499</v>
      </c>
      <c r="D101" s="89">
        <f>D100*(1+B$42)-1000000000</f>
        <v>1733729639.1384721</v>
      </c>
      <c r="E101" s="80">
        <f t="shared" si="33"/>
        <v>2368792611.1335096</v>
      </c>
      <c r="F101" s="80">
        <f t="shared" si="37"/>
        <v>211957353.79014626</v>
      </c>
      <c r="G101" s="81">
        <f t="shared" si="38"/>
        <v>455595644.90302199</v>
      </c>
      <c r="H101" s="34">
        <f t="shared" si="26"/>
        <v>120026458.54518855</v>
      </c>
      <c r="I101" s="51">
        <f t="shared" si="27"/>
        <v>106613019.95942727</v>
      </c>
      <c r="J101" s="34">
        <f t="shared" si="28"/>
        <v>164745856.60607687</v>
      </c>
      <c r="K101" s="34">
        <f t="shared" si="29"/>
        <v>305013664.28769284</v>
      </c>
      <c r="L101" s="34">
        <f t="shared" si="34"/>
        <v>20342252.792378251</v>
      </c>
      <c r="M101" s="34">
        <f t="shared" si="35"/>
        <v>15114952.13377662</v>
      </c>
      <c r="N101" s="34">
        <f t="shared" si="39"/>
        <v>21931252.155178525</v>
      </c>
      <c r="O101" s="34">
        <f t="shared" si="30"/>
        <v>57388457.081333391</v>
      </c>
      <c r="P101" s="34">
        <f>O101/POWER(1+$B$12,11)</f>
        <v>43738313.121407934</v>
      </c>
      <c r="Q101" s="34"/>
      <c r="R101" s="35">
        <f t="shared" si="21"/>
        <v>143.92507349409843</v>
      </c>
      <c r="S101" s="34">
        <f t="shared" si="31"/>
        <v>477763961.40256768</v>
      </c>
      <c r="T101" s="74">
        <f>T100*(1+F$42)+820000000</f>
        <v>2000835178.8734374</v>
      </c>
      <c r="V101" s="9">
        <v>450000000</v>
      </c>
    </row>
    <row r="102" spans="1:22">
      <c r="A102" s="14">
        <v>13</v>
      </c>
      <c r="B102" s="50">
        <v>71</v>
      </c>
      <c r="C102" s="80">
        <f t="shared" si="36"/>
        <v>5376905960.965456</v>
      </c>
      <c r="D102" s="81">
        <f t="shared" si="32"/>
        <v>1993789085.0092428</v>
      </c>
      <c r="E102" s="80">
        <f t="shared" si="33"/>
        <v>2653047724.4695311</v>
      </c>
      <c r="F102" s="80">
        <f t="shared" si="37"/>
        <v>228913942.09335798</v>
      </c>
      <c r="G102" s="81">
        <f t="shared" si="38"/>
        <v>501155209.39332426</v>
      </c>
      <c r="H102" s="34">
        <f t="shared" si="26"/>
        <v>121226723.13064043</v>
      </c>
      <c r="I102" s="51">
        <f t="shared" si="27"/>
        <v>107679150.15902153</v>
      </c>
      <c r="J102" s="34">
        <f t="shared" si="28"/>
        <v>166393315.17213762</v>
      </c>
      <c r="K102" s="34">
        <f t="shared" si="29"/>
        <v>311113937.57344675</v>
      </c>
      <c r="L102" s="34">
        <f t="shared" si="34"/>
        <v>20545675.320302032</v>
      </c>
      <c r="M102" s="34">
        <f t="shared" si="35"/>
        <v>15417251.176452154</v>
      </c>
      <c r="N102" s="34">
        <f t="shared" si="39"/>
        <v>22479533.459057987</v>
      </c>
      <c r="O102" s="34">
        <f t="shared" si="30"/>
        <v>58442459.955812171</v>
      </c>
      <c r="P102" s="34">
        <f>O102/POWER(1+$B$12,12)</f>
        <v>43455235.036668919</v>
      </c>
      <c r="Q102" s="34"/>
      <c r="R102" s="35">
        <f t="shared" si="21"/>
        <v>142.99357817013518</v>
      </c>
      <c r="S102" s="34">
        <f t="shared" si="31"/>
        <v>521219196.43923658</v>
      </c>
      <c r="T102" s="43">
        <f t="shared" si="22"/>
        <v>2240935400.3382502</v>
      </c>
      <c r="V102" s="69">
        <f>V101*20%</f>
        <v>90000000</v>
      </c>
    </row>
    <row r="103" spans="1:22">
      <c r="A103" s="14">
        <v>14</v>
      </c>
      <c r="B103" s="50">
        <v>72</v>
      </c>
      <c r="C103" s="80">
        <f t="shared" si="36"/>
        <v>6062768686.9599876</v>
      </c>
      <c r="D103" s="81">
        <f t="shared" si="32"/>
        <v>2292857447.7606292</v>
      </c>
      <c r="E103" s="80">
        <f t="shared" si="33"/>
        <v>2971413451.4058752</v>
      </c>
      <c r="F103" s="80">
        <f t="shared" si="37"/>
        <v>247227057.46082664</v>
      </c>
      <c r="G103" s="81">
        <f t="shared" si="38"/>
        <v>551270730.33265674</v>
      </c>
      <c r="H103" s="34">
        <f>H102*(1+C$27)-H102*D$27</f>
        <v>122438990.36194684</v>
      </c>
      <c r="I103" s="51">
        <f>I102*(1+C$27)-I102*D$27</f>
        <v>108755941.66061175</v>
      </c>
      <c r="J103" s="34">
        <f>J102*(1+C$27)-J102*D$27</f>
        <v>168057248.32385901</v>
      </c>
      <c r="K103" s="34">
        <f>K102*(1+C$31)-K102*D$31</f>
        <v>317336216.32491571</v>
      </c>
      <c r="L103" s="34">
        <f t="shared" si="34"/>
        <v>20751132.073505051</v>
      </c>
      <c r="M103" s="34">
        <f t="shared" si="35"/>
        <v>15725596.1999812</v>
      </c>
      <c r="N103" s="34">
        <f t="shared" si="39"/>
        <v>23041521.795534436</v>
      </c>
      <c r="O103" s="34">
        <f t="shared" si="30"/>
        <v>59518250.069020689</v>
      </c>
      <c r="P103" s="34">
        <f>O103/POWER(1+$B$12,13)</f>
        <v>43175751.32333529</v>
      </c>
      <c r="Q103" s="34"/>
      <c r="R103" s="35">
        <f t="shared" si="21"/>
        <v>142.0739104666668</v>
      </c>
      <c r="S103" s="34">
        <f t="shared" si="31"/>
        <v>564394947.76257181</v>
      </c>
      <c r="T103" s="43">
        <f t="shared" si="22"/>
        <v>2509847648.3788404</v>
      </c>
      <c r="V103" s="69">
        <f>V102*2</f>
        <v>180000000</v>
      </c>
    </row>
    <row r="104" spans="1:22">
      <c r="A104" s="14">
        <v>15</v>
      </c>
      <c r="B104" s="50">
        <v>73</v>
      </c>
      <c r="C104" s="80">
        <f t="shared" si="36"/>
        <v>6838172155.9229183</v>
      </c>
      <c r="D104" s="81">
        <f t="shared" si="32"/>
        <v>2636786064.9247231</v>
      </c>
      <c r="E104" s="80">
        <f t="shared" si="33"/>
        <v>3327983065.5745807</v>
      </c>
      <c r="F104" s="80">
        <f t="shared" si="37"/>
        <v>267005222.0576928</v>
      </c>
      <c r="G104" s="81">
        <f t="shared" si="38"/>
        <v>606397803.36592245</v>
      </c>
      <c r="H104" s="34">
        <f t="shared" ref="H104:H114" si="40">H103*(1+C$27)-H103*D$27</f>
        <v>123663380.2655663</v>
      </c>
      <c r="I104" s="51">
        <f t="shared" ref="I104:I114" si="41">I103*(1+C$27)-I103*D$27</f>
        <v>109843501.07721786</v>
      </c>
      <c r="J104" s="34">
        <f t="shared" ref="J104:J114" si="42">J103*(1+C$27)-J103*D$27</f>
        <v>169737820.80709758</v>
      </c>
      <c r="K104" s="34">
        <f t="shared" ref="K104:K114" si="43">K103*(1+C$31)-K103*D$31</f>
        <v>323682940.65141404</v>
      </c>
      <c r="L104" s="34">
        <f t="shared" si="34"/>
        <v>20958643.394240104</v>
      </c>
      <c r="M104" s="34">
        <f>K104*D$26*(1-9.9%)</f>
        <v>16040108.123980824</v>
      </c>
      <c r="N104" s="34">
        <f t="shared" si="39"/>
        <v>23617559.840422794</v>
      </c>
      <c r="O104" s="34">
        <f t="shared" si="30"/>
        <v>60616311.358643726</v>
      </c>
      <c r="P104" s="34">
        <f>O104/POWER(1+$B$12,14)</f>
        <v>42899812.055165567</v>
      </c>
      <c r="Q104" s="34"/>
      <c r="R104" s="35">
        <f t="shared" si="21"/>
        <v>141.1659060966538</v>
      </c>
      <c r="S104" s="34">
        <f t="shared" si="31"/>
        <v>607294759.81773734</v>
      </c>
      <c r="T104" s="43">
        <f t="shared" si="22"/>
        <v>2811029366.1843014</v>
      </c>
    </row>
    <row r="105" spans="1:22">
      <c r="A105" s="14">
        <v>16</v>
      </c>
      <c r="B105" s="50">
        <v>74</v>
      </c>
      <c r="C105" s="80">
        <f t="shared" si="36"/>
        <v>7715048231.6317854</v>
      </c>
      <c r="D105" s="81">
        <f t="shared" si="32"/>
        <v>3032303974.6634312</v>
      </c>
      <c r="E105" s="80">
        <f t="shared" si="33"/>
        <v>3727341033.4435306</v>
      </c>
      <c r="F105" s="80">
        <f t="shared" si="37"/>
        <v>288365639.82230824</v>
      </c>
      <c r="G105" s="81">
        <f t="shared" si="38"/>
        <v>667037583.70251477</v>
      </c>
      <c r="H105" s="34">
        <f t="shared" si="40"/>
        <v>124900014.06822196</v>
      </c>
      <c r="I105" s="51">
        <f t="shared" si="41"/>
        <v>110941936.08799003</v>
      </c>
      <c r="J105" s="34">
        <f t="shared" si="42"/>
        <v>171435199.01516855</v>
      </c>
      <c r="K105" s="34">
        <f t="shared" si="43"/>
        <v>330156599.46444231</v>
      </c>
      <c r="L105" s="34">
        <f t="shared" si="34"/>
        <v>21168229.828182504</v>
      </c>
      <c r="M105" s="34">
        <f t="shared" ref="M105:M114" si="44">K105*D$26*(1-9.9%)</f>
        <v>16360910.286460439</v>
      </c>
      <c r="N105" s="34">
        <f t="shared" si="39"/>
        <v>24207998.836433362</v>
      </c>
      <c r="O105" s="34">
        <f t="shared" si="30"/>
        <v>61737138.951076299</v>
      </c>
      <c r="P105" s="34">
        <f>O105/POWER(1+$B$12,15)</f>
        <v>42627368.023500733</v>
      </c>
      <c r="Q105" s="34"/>
      <c r="R105" s="35">
        <f t="shared" si="21"/>
        <v>140.26940313432996</v>
      </c>
      <c r="S105" s="34">
        <f t="shared" si="31"/>
        <v>649922127.84123802</v>
      </c>
      <c r="T105" s="43">
        <f t="shared" si="22"/>
        <v>3148352890.1264176</v>
      </c>
    </row>
    <row r="106" spans="1:22">
      <c r="A106" s="15">
        <v>17</v>
      </c>
      <c r="B106" s="15">
        <v>75</v>
      </c>
      <c r="C106" s="80">
        <f t="shared" si="36"/>
        <v>8706947761.4005585</v>
      </c>
      <c r="D106" s="81">
        <f t="shared" si="32"/>
        <v>3487149570.8629456</v>
      </c>
      <c r="E106" s="80">
        <f t="shared" si="33"/>
        <v>4174621957.4567547</v>
      </c>
      <c r="F106" s="80">
        <f t="shared" si="37"/>
        <v>311434891.00809294</v>
      </c>
      <c r="G106" s="81">
        <f t="shared" si="38"/>
        <v>733741342.0727663</v>
      </c>
      <c r="H106" s="34">
        <f t="shared" si="40"/>
        <v>126149014.20890416</v>
      </c>
      <c r="I106" s="51">
        <f t="shared" si="41"/>
        <v>112051355.44886993</v>
      </c>
      <c r="J106" s="34">
        <f t="shared" si="42"/>
        <v>173149551.00532022</v>
      </c>
      <c r="K106" s="34">
        <f t="shared" si="43"/>
        <v>336759731.45373118</v>
      </c>
      <c r="L106" s="34">
        <f t="shared" si="34"/>
        <v>21379912.126464326</v>
      </c>
      <c r="M106" s="34">
        <f t="shared" si="44"/>
        <v>16688128.492189649</v>
      </c>
      <c r="N106" s="34">
        <f t="shared" si="39"/>
        <v>24813198.807344195</v>
      </c>
      <c r="O106" s="34">
        <f t="shared" si="30"/>
        <v>62881239.425998166</v>
      </c>
      <c r="P106" s="34">
        <f>O106/POWER(1+$B$12,16)</f>
        <v>42358370.726826742</v>
      </c>
      <c r="Q106" s="34"/>
      <c r="R106" s="35">
        <f t="shared" si="21"/>
        <v>139.38424198085676</v>
      </c>
      <c r="S106" s="34">
        <f t="shared" si="31"/>
        <v>692280498.56806481</v>
      </c>
      <c r="T106" s="43">
        <f t="shared" si="22"/>
        <v>3526155236.9415879</v>
      </c>
    </row>
    <row r="107" spans="1:22">
      <c r="A107" s="15">
        <v>18</v>
      </c>
      <c r="B107" s="15">
        <v>76</v>
      </c>
      <c r="C107" s="80">
        <f t="shared" si="36"/>
        <v>9829263757.412735</v>
      </c>
      <c r="D107" s="81">
        <f t="shared" si="32"/>
        <v>4010222006.4923873</v>
      </c>
      <c r="E107" s="80">
        <f t="shared" si="33"/>
        <v>4675576592.3515654</v>
      </c>
      <c r="F107" s="80">
        <f t="shared" si="37"/>
        <v>336349682.2887404</v>
      </c>
      <c r="G107" s="81">
        <f t="shared" si="38"/>
        <v>807115476.28004301</v>
      </c>
      <c r="H107" s="34">
        <f t="shared" si="40"/>
        <v>127410504.35099319</v>
      </c>
      <c r="I107" s="51">
        <f t="shared" si="41"/>
        <v>113171869.00335862</v>
      </c>
      <c r="J107" s="34">
        <f t="shared" si="42"/>
        <v>174881046.51537341</v>
      </c>
      <c r="K107" s="34">
        <f t="shared" si="43"/>
        <v>343494926.08280581</v>
      </c>
      <c r="L107" s="34">
        <f t="shared" si="34"/>
        <v>21593711.24772897</v>
      </c>
      <c r="M107" s="34">
        <f t="shared" si="44"/>
        <v>17021891.062033441</v>
      </c>
      <c r="N107" s="34">
        <f t="shared" si="39"/>
        <v>25433528.777527798</v>
      </c>
      <c r="O107" s="34">
        <f t="shared" si="30"/>
        <v>64049131.087290213</v>
      </c>
      <c r="P107" s="34">
        <f>O107/POWER(1+$B$12,17)</f>
        <v>42092772.360489272</v>
      </c>
      <c r="Q107" s="34"/>
      <c r="R107" s="35">
        <f t="shared" si="21"/>
        <v>138.51026533047875</v>
      </c>
      <c r="S107" s="34">
        <f t="shared" si="31"/>
        <v>734373270.92855406</v>
      </c>
      <c r="T107" s="43">
        <f t="shared" si="22"/>
        <v>3949293865.374579</v>
      </c>
    </row>
    <row r="108" spans="1:22">
      <c r="A108" s="15">
        <v>19</v>
      </c>
      <c r="B108" s="15">
        <v>77</v>
      </c>
      <c r="C108" s="80">
        <f t="shared" si="36"/>
        <v>11099485771.679884</v>
      </c>
      <c r="D108" s="81">
        <f t="shared" si="32"/>
        <v>4611755307.4662447</v>
      </c>
      <c r="E108" s="80">
        <f t="shared" si="33"/>
        <v>5236645783.433754</v>
      </c>
      <c r="F108" s="80">
        <f t="shared" si="37"/>
        <v>363257656.87183964</v>
      </c>
      <c r="G108" s="81">
        <f t="shared" si="38"/>
        <v>887827023.90804744</v>
      </c>
      <c r="H108" s="34">
        <f t="shared" si="40"/>
        <v>128684609.39450312</v>
      </c>
      <c r="I108" s="51">
        <f t="shared" si="41"/>
        <v>114303587.69339219</v>
      </c>
      <c r="J108" s="34">
        <f t="shared" si="42"/>
        <v>176629856.98052713</v>
      </c>
      <c r="K108" s="34">
        <f t="shared" si="43"/>
        <v>350364824.60446197</v>
      </c>
      <c r="L108" s="34">
        <f t="shared" si="34"/>
        <v>21809648.360206258</v>
      </c>
      <c r="M108" s="34">
        <f t="shared" si="44"/>
        <v>17362328.883274112</v>
      </c>
      <c r="N108" s="34">
        <f t="shared" si="39"/>
        <v>26069366.996965989</v>
      </c>
      <c r="O108" s="34">
        <f t="shared" si="30"/>
        <v>65241344.240446359</v>
      </c>
      <c r="P108" s="34">
        <f>O108/POWER(1+$B$12,18)</f>
        <v>41830525.806558825</v>
      </c>
      <c r="Q108" s="34"/>
      <c r="R108" s="35">
        <f t="shared" si="21"/>
        <v>137.64731813717376</v>
      </c>
      <c r="S108" s="34">
        <f t="shared" si="31"/>
        <v>776203796.73511291</v>
      </c>
      <c r="T108" s="43">
        <f t="shared" si="22"/>
        <v>4423209129.2195292</v>
      </c>
    </row>
    <row r="109" spans="1:22">
      <c r="A109" s="15">
        <v>20</v>
      </c>
      <c r="B109" s="15">
        <v>78</v>
      </c>
      <c r="C109" s="80">
        <f t="shared" si="36"/>
        <v>12537489876.752426</v>
      </c>
      <c r="D109" s="81">
        <f t="shared" si="32"/>
        <v>5303518603.5861807</v>
      </c>
      <c r="E109" s="80">
        <f t="shared" si="33"/>
        <v>5865043277.4458046</v>
      </c>
      <c r="F109" s="80">
        <f t="shared" si="37"/>
        <v>392318269.42158681</v>
      </c>
      <c r="G109" s="81">
        <f t="shared" si="38"/>
        <v>976609726.29885221</v>
      </c>
      <c r="H109" s="34">
        <f t="shared" si="40"/>
        <v>129971455.48844814</v>
      </c>
      <c r="I109" s="51">
        <f t="shared" si="41"/>
        <v>115446623.5703261</v>
      </c>
      <c r="J109" s="34">
        <f t="shared" si="42"/>
        <v>178396155.5503324</v>
      </c>
      <c r="K109" s="34">
        <f t="shared" si="43"/>
        <v>357372121.09655118</v>
      </c>
      <c r="L109" s="34">
        <f t="shared" si="34"/>
        <v>22027744.843808319</v>
      </c>
      <c r="M109" s="34">
        <f t="shared" si="44"/>
        <v>17709575.460939597</v>
      </c>
      <c r="N109" s="34">
        <f t="shared" si="39"/>
        <v>26721101.171890136</v>
      </c>
      <c r="O109" s="34">
        <f t="shared" si="30"/>
        <v>66458421.476638049</v>
      </c>
      <c r="P109" s="34">
        <f>O109/POWER(1+$B$12,19)</f>
        <v>41571584.623843871</v>
      </c>
      <c r="Q109" s="34"/>
      <c r="R109" s="35">
        <f t="shared" si="21"/>
        <v>136.79524758179019</v>
      </c>
      <c r="S109" s="34">
        <f t="shared" si="31"/>
        <v>817775381.35895681</v>
      </c>
      <c r="T109" s="43">
        <f t="shared" si="22"/>
        <v>4953994224.725873</v>
      </c>
    </row>
    <row r="110" spans="1:22">
      <c r="A110" s="15">
        <v>21</v>
      </c>
      <c r="B110" s="15">
        <v>79</v>
      </c>
      <c r="C110" s="80">
        <f t="shared" si="36"/>
        <v>14165869294.76746</v>
      </c>
      <c r="D110" s="81">
        <f t="shared" si="32"/>
        <v>6099046394.1241074</v>
      </c>
      <c r="E110" s="80">
        <f t="shared" si="33"/>
        <v>6568848470.7393017</v>
      </c>
      <c r="F110" s="80">
        <f t="shared" si="37"/>
        <v>423703730.97531378</v>
      </c>
      <c r="G110" s="81">
        <f t="shared" si="38"/>
        <v>1074270698.9287374</v>
      </c>
      <c r="H110" s="34">
        <f t="shared" si="40"/>
        <v>131271170.04333261</v>
      </c>
      <c r="I110" s="51">
        <f t="shared" si="41"/>
        <v>116601089.80602935</v>
      </c>
      <c r="J110" s="34">
        <f t="shared" si="42"/>
        <v>180180117.10583571</v>
      </c>
      <c r="K110" s="34">
        <f t="shared" si="43"/>
        <v>364519563.51848221</v>
      </c>
      <c r="L110" s="34">
        <f>(H110+I110+J110)*(D$27*(1-5.5%))</f>
        <v>22248022.292246401</v>
      </c>
      <c r="M110" s="34">
        <f t="shared" si="44"/>
        <v>18063766.970158387</v>
      </c>
      <c r="N110" s="34">
        <f t="shared" si="39"/>
        <v>27389128.701187387</v>
      </c>
      <c r="O110" s="34">
        <f t="shared" si="30"/>
        <v>67700917.963592172</v>
      </c>
      <c r="P110" s="34">
        <f>O110/POWER(1+$B$12,20)</f>
        <v>41315903.03804972</v>
      </c>
      <c r="Q110" s="34"/>
      <c r="R110" s="35">
        <f t="shared" si="21"/>
        <v>135.95390303966383</v>
      </c>
      <c r="S110" s="34">
        <f t="shared" si="31"/>
        <v>859091284.39700651</v>
      </c>
      <c r="T110" s="43">
        <f t="shared" si="22"/>
        <v>5548473531.6929779</v>
      </c>
    </row>
    <row r="111" spans="1:22">
      <c r="A111" s="15">
        <v>22</v>
      </c>
      <c r="B111" s="15">
        <v>80</v>
      </c>
      <c r="C111" s="80">
        <f t="shared" si="36"/>
        <v>16010311438.745691</v>
      </c>
      <c r="D111" s="81">
        <f t="shared" si="32"/>
        <v>7013903353.2427225</v>
      </c>
      <c r="E111" s="80">
        <f t="shared" si="33"/>
        <v>7357110287.2280188</v>
      </c>
      <c r="F111" s="80">
        <f t="shared" si="37"/>
        <v>457600029.45333892</v>
      </c>
      <c r="G111" s="81">
        <f t="shared" si="38"/>
        <v>1181697768.8216112</v>
      </c>
      <c r="H111" s="34">
        <f t="shared" si="40"/>
        <v>132583881.74376592</v>
      </c>
      <c r="I111" s="51">
        <f t="shared" si="41"/>
        <v>117767100.70408963</v>
      </c>
      <c r="J111" s="34">
        <f t="shared" si="42"/>
        <v>181981918.27689406</v>
      </c>
      <c r="K111" s="34">
        <f t="shared" si="43"/>
        <v>371809954.78885186</v>
      </c>
      <c r="L111" s="34">
        <f t="shared" si="34"/>
        <v>22470502.515168861</v>
      </c>
      <c r="M111" s="34">
        <f t="shared" si="44"/>
        <v>18425042.309561554</v>
      </c>
      <c r="N111" s="34">
        <f t="shared" si="39"/>
        <v>28073856.918717068</v>
      </c>
      <c r="O111" s="34">
        <f t="shared" si="30"/>
        <v>68969401.743447483</v>
      </c>
      <c r="P111" s="34">
        <f>O111/POWER(1+$B$12,21)</f>
        <v>41063435.932081133</v>
      </c>
      <c r="Q111" s="34"/>
      <c r="R111" s="35">
        <f t="shared" si="21"/>
        <v>135.12313604870764</v>
      </c>
      <c r="S111" s="34">
        <f t="shared" si="31"/>
        <v>900154720.32908762</v>
      </c>
      <c r="T111" s="43">
        <f t="shared" si="22"/>
        <v>6214290355.4961357</v>
      </c>
    </row>
    <row r="112" spans="1:22">
      <c r="A112" s="15">
        <v>23</v>
      </c>
      <c r="B112" s="15">
        <v>81</v>
      </c>
      <c r="C112" s="80">
        <f t="shared" si="36"/>
        <v>18100027955.437889</v>
      </c>
      <c r="D112" s="81">
        <f t="shared" si="32"/>
        <v>8065988856.2291298</v>
      </c>
      <c r="E112" s="80">
        <f t="shared" si="33"/>
        <v>8239963521.6953821</v>
      </c>
      <c r="F112" s="80">
        <f t="shared" si="37"/>
        <v>494208031.80960608</v>
      </c>
      <c r="G112" s="81">
        <f t="shared" si="38"/>
        <v>1299867545.7037723</v>
      </c>
      <c r="H112" s="34">
        <f t="shared" si="40"/>
        <v>133909720.56120357</v>
      </c>
      <c r="I112" s="51">
        <f t="shared" si="41"/>
        <v>118944771.71113051</v>
      </c>
      <c r="J112" s="34">
        <f t="shared" si="42"/>
        <v>183801737.459663</v>
      </c>
      <c r="K112" s="34">
        <f t="shared" si="43"/>
        <v>379246153.88462895</v>
      </c>
      <c r="L112" s="34">
        <f t="shared" si="34"/>
        <v>22695207.540320553</v>
      </c>
      <c r="M112" s="34">
        <f t="shared" si="44"/>
        <v>18793543.155752789</v>
      </c>
      <c r="N112" s="34">
        <f t="shared" si="39"/>
        <v>28775703.341684993</v>
      </c>
      <c r="O112" s="34">
        <f t="shared" si="30"/>
        <v>70264454.037758335</v>
      </c>
      <c r="P112" s="34">
        <f>O112/POWER(1+$B$12,22)</f>
        <v>40814138.8364866</v>
      </c>
      <c r="Q112" s="34"/>
      <c r="R112" s="35">
        <f t="shared" si="21"/>
        <v>134.30280027796783</v>
      </c>
      <c r="S112" s="34">
        <f t="shared" si="31"/>
        <v>940968859.16557419</v>
      </c>
      <c r="T112" s="43">
        <f t="shared" si="22"/>
        <v>6960005198.155673</v>
      </c>
    </row>
    <row r="113" spans="1:20">
      <c r="A113" s="15">
        <v>24</v>
      </c>
      <c r="B113" s="15">
        <v>82</v>
      </c>
      <c r="C113" s="80">
        <f t="shared" si="36"/>
        <v>20468245303.590851</v>
      </c>
      <c r="D113" s="81">
        <f t="shared" si="32"/>
        <v>9275887184.6634979</v>
      </c>
      <c r="E113" s="80">
        <f t="shared" si="33"/>
        <v>9228759144.2988281</v>
      </c>
      <c r="F113" s="80">
        <f t="shared" si="37"/>
        <v>533744674.35437459</v>
      </c>
      <c r="G113" s="81">
        <f t="shared" si="38"/>
        <v>1429854300.2741497</v>
      </c>
      <c r="H113" s="34">
        <f t="shared" si="40"/>
        <v>135248817.7668156</v>
      </c>
      <c r="I113" s="51">
        <f t="shared" si="41"/>
        <v>120134219.4282418</v>
      </c>
      <c r="J113" s="34">
        <f t="shared" si="42"/>
        <v>185639754.83425963</v>
      </c>
      <c r="K113" s="34">
        <f t="shared" si="43"/>
        <v>386831076.96232158</v>
      </c>
      <c r="L113" s="34">
        <f t="shared" si="34"/>
        <v>22922159.615723751</v>
      </c>
      <c r="M113" s="34">
        <f t="shared" si="44"/>
        <v>19169414.018867847</v>
      </c>
      <c r="N113" s="34">
        <f t="shared" si="39"/>
        <v>29495095.925227117</v>
      </c>
      <c r="O113" s="34">
        <f t="shared" si="30"/>
        <v>71586669.559818715</v>
      </c>
      <c r="P113" s="34">
        <f>O113/POWER(1+$B$12,23)</f>
        <v>40567967.920042112</v>
      </c>
      <c r="Q113" s="34"/>
      <c r="R113" s="35">
        <f t="shared" si="21"/>
        <v>133.49275149663887</v>
      </c>
      <c r="S113" s="34">
        <f t="shared" si="31"/>
        <v>981536827.08561635</v>
      </c>
      <c r="T113" s="43">
        <f t="shared" si="22"/>
        <v>7795205821.9343548</v>
      </c>
    </row>
    <row r="114" spans="1:20">
      <c r="A114" s="15">
        <v>25</v>
      </c>
      <c r="B114" s="15">
        <v>83</v>
      </c>
      <c r="C114" s="80">
        <f t="shared" si="36"/>
        <v>23152764482.581997</v>
      </c>
      <c r="D114" s="81">
        <f t="shared" si="32"/>
        <v>10667270262.363022</v>
      </c>
      <c r="E114" s="80">
        <f t="shared" si="33"/>
        <v>10336210241.614689</v>
      </c>
      <c r="F114" s="80">
        <f t="shared" si="37"/>
        <v>576444248.3027246</v>
      </c>
      <c r="G114" s="81">
        <f t="shared" si="38"/>
        <v>1572839730.3015647</v>
      </c>
      <c r="H114" s="34">
        <f t="shared" si="40"/>
        <v>136601305.94448376</v>
      </c>
      <c r="I114" s="51">
        <f t="shared" si="41"/>
        <v>121335561.62252422</v>
      </c>
      <c r="J114" s="34">
        <f t="shared" si="42"/>
        <v>187496152.38260221</v>
      </c>
      <c r="K114" s="34">
        <f t="shared" si="43"/>
        <v>394567698.50156802</v>
      </c>
      <c r="L114" s="34">
        <f t="shared" si="34"/>
        <v>23151381.211880989</v>
      </c>
      <c r="M114" s="34">
        <f t="shared" si="44"/>
        <v>19552802.299245205</v>
      </c>
      <c r="N114" s="34">
        <f t="shared" si="39"/>
        <v>30232473.323357791</v>
      </c>
      <c r="O114" s="34">
        <f t="shared" si="30"/>
        <v>72936656.834483981</v>
      </c>
      <c r="P114" s="34">
        <f>O114/POWER(1+$B$12,24)</f>
        <v>40324879.98047246</v>
      </c>
      <c r="Q114" s="34"/>
      <c r="R114" s="35">
        <f t="shared" si="21"/>
        <v>132.6928475435308</v>
      </c>
      <c r="S114" s="34">
        <f t="shared" si="31"/>
        <v>1021861707.0660888</v>
      </c>
      <c r="T114" s="43">
        <f t="shared" si="22"/>
        <v>8730630520.5664787</v>
      </c>
    </row>
    <row r="115" spans="1:20">
      <c r="A115" s="25" t="s">
        <v>113</v>
      </c>
      <c r="O115" s="52">
        <f>SUM(O90:O114)</f>
        <v>1405869594.4209752</v>
      </c>
      <c r="P115" s="52">
        <f>SUM(P90:P114)</f>
        <v>1021861707.0660888</v>
      </c>
      <c r="Q115" s="52"/>
      <c r="S115" s="37">
        <f>S114</f>
        <v>1021861707.0660888</v>
      </c>
      <c r="T115" s="37"/>
    </row>
  </sheetData>
  <mergeCells count="3">
    <mergeCell ref="A1:S1"/>
    <mergeCell ref="A45:S45"/>
    <mergeCell ref="A81:S81"/>
  </mergeCells>
  <phoneticPr fontId="1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topLeftCell="A7" zoomScaleNormal="100" workbookViewId="0">
      <selection sqref="A1:J1"/>
    </sheetView>
  </sheetViews>
  <sheetFormatPr defaultColWidth="8.7109375" defaultRowHeight="15"/>
  <cols>
    <col min="1" max="1" width="25" customWidth="1"/>
    <col min="2" max="9" width="14" customWidth="1"/>
  </cols>
  <sheetData>
    <row r="1" spans="1:10" ht="18">
      <c r="A1" s="93" t="s">
        <v>42</v>
      </c>
      <c r="B1" s="93"/>
      <c r="C1" s="93"/>
      <c r="D1" s="93"/>
      <c r="E1" s="93"/>
      <c r="F1" s="93"/>
      <c r="G1" s="93"/>
      <c r="H1" s="93"/>
      <c r="I1" s="93"/>
      <c r="J1" s="93"/>
    </row>
    <row r="3" spans="1:10">
      <c r="A3" s="1" t="s">
        <v>43</v>
      </c>
    </row>
    <row r="4" spans="1:10">
      <c r="A4" s="2" t="s">
        <v>44</v>
      </c>
      <c r="B4" s="2" t="s">
        <v>45</v>
      </c>
      <c r="C4" s="5" t="s">
        <v>46</v>
      </c>
      <c r="D4" s="2" t="s">
        <v>39</v>
      </c>
      <c r="E4" s="2" t="s">
        <v>47</v>
      </c>
    </row>
    <row r="5" spans="1:10">
      <c r="A5" s="3" t="s">
        <v>48</v>
      </c>
      <c r="B5" s="4">
        <v>12000000</v>
      </c>
      <c r="C5" s="4">
        <v>8000000</v>
      </c>
      <c r="D5" s="4">
        <f>'연금 시뮬레이션'!D39</f>
        <v>13680000</v>
      </c>
      <c r="E5" s="4">
        <f>B5+C5+D5</f>
        <v>33680000</v>
      </c>
    </row>
    <row r="6" spans="1:10">
      <c r="A6" s="3" t="s">
        <v>49</v>
      </c>
      <c r="B6" s="4">
        <v>12000000</v>
      </c>
      <c r="C6" s="4">
        <v>8000000</v>
      </c>
      <c r="D6" s="4">
        <v>0</v>
      </c>
      <c r="E6" s="4">
        <f>B6+C6+D6</f>
        <v>20000000</v>
      </c>
    </row>
    <row r="7" spans="1:10">
      <c r="A7" s="3" t="s">
        <v>50</v>
      </c>
      <c r="B7" s="4">
        <v>12000000</v>
      </c>
      <c r="C7" s="4">
        <v>8000000</v>
      </c>
      <c r="D7" s="4">
        <f>'연금 시뮬레이션'!D40</f>
        <v>18000000</v>
      </c>
      <c r="E7" s="4">
        <f>B7+C7+D7</f>
        <v>38000000</v>
      </c>
    </row>
    <row r="10" spans="1:10">
      <c r="A10" s="1" t="s">
        <v>51</v>
      </c>
    </row>
    <row r="11" spans="1:10">
      <c r="A11" s="2" t="s">
        <v>44</v>
      </c>
      <c r="B11" s="2" t="s">
        <v>52</v>
      </c>
      <c r="C11" s="2" t="s">
        <v>53</v>
      </c>
      <c r="D11" s="2" t="s">
        <v>54</v>
      </c>
      <c r="E11" s="5" t="s">
        <v>46</v>
      </c>
      <c r="F11" s="2" t="s">
        <v>22</v>
      </c>
      <c r="G11" s="5" t="s">
        <v>55</v>
      </c>
      <c r="H11" s="2" t="s">
        <v>56</v>
      </c>
      <c r="I11" s="2" t="s">
        <v>57</v>
      </c>
    </row>
    <row r="12" spans="1:10">
      <c r="A12" t="str">
        <f t="shared" ref="A12:B14" si="0">A5</f>
        <v>시나리오1 (59세 조기)</v>
      </c>
      <c r="B12" s="4">
        <f t="shared" si="0"/>
        <v>12000000</v>
      </c>
      <c r="C12" s="4">
        <f>D5</f>
        <v>13680000</v>
      </c>
      <c r="D12" s="4">
        <f>B12+C12</f>
        <v>25680000</v>
      </c>
      <c r="E12" s="4">
        <f>C5</f>
        <v>8000000</v>
      </c>
      <c r="F12" s="4">
        <f>IF(D12&lt;=12000000,D12*0.055,IF(D12&lt;=14000000,D12*0.06,IF(D12&lt;=50000000,D12*0.15,D12*0.24)))</f>
        <v>3852000</v>
      </c>
      <c r="G12" s="4">
        <f>E12*0.099</f>
        <v>792000</v>
      </c>
      <c r="H12" s="4">
        <f>F12+G12</f>
        <v>4644000</v>
      </c>
      <c r="I12" s="6">
        <f>H12/E5</f>
        <v>0.13788598574821853</v>
      </c>
    </row>
    <row r="13" spans="1:10">
      <c r="A13" t="str">
        <f t="shared" si="0"/>
        <v>시나리오2-1 (59~62세)</v>
      </c>
      <c r="B13" s="4">
        <f t="shared" si="0"/>
        <v>12000000</v>
      </c>
      <c r="C13" s="4">
        <f>D6</f>
        <v>0</v>
      </c>
      <c r="D13" s="4">
        <f>B13+C13</f>
        <v>12000000</v>
      </c>
      <c r="E13" s="4">
        <f>C6</f>
        <v>8000000</v>
      </c>
      <c r="F13" s="4">
        <f>IF(D13&lt;=12000000,D13*0.055,IF(D13&lt;=14000000,D13*0.06,IF(D13&lt;=50000000,D13*0.15,D13*0.24)))</f>
        <v>660000</v>
      </c>
      <c r="G13" s="4">
        <f>E13*0.099</f>
        <v>792000</v>
      </c>
      <c r="H13" s="4">
        <f>F13+G13</f>
        <v>1452000</v>
      </c>
      <c r="I13" s="6">
        <f>H13/E6</f>
        <v>7.2599999999999998E-2</v>
      </c>
    </row>
    <row r="14" spans="1:10">
      <c r="A14" t="str">
        <f t="shared" si="0"/>
        <v>시나리오2-2 (63세~)</v>
      </c>
      <c r="B14" s="4">
        <f t="shared" si="0"/>
        <v>12000000</v>
      </c>
      <c r="C14" s="4">
        <f>D7</f>
        <v>18000000</v>
      </c>
      <c r="D14" s="4">
        <f>B14+C14</f>
        <v>30000000</v>
      </c>
      <c r="E14" s="4">
        <f>C7</f>
        <v>8000000</v>
      </c>
      <c r="F14" s="4">
        <f>IF(D14&lt;=12000000,D14*0.055,IF(D14&lt;=14000000,D14*0.06,IF(D14&lt;=50000000,D14*0.15,D14*0.24)))</f>
        <v>4500000</v>
      </c>
      <c r="G14" s="4">
        <f>E14*0.099</f>
        <v>792000</v>
      </c>
      <c r="H14" s="4">
        <f>F14+G14</f>
        <v>5292000</v>
      </c>
      <c r="I14" s="6">
        <f>H14/E7</f>
        <v>0.13926315789473684</v>
      </c>
    </row>
    <row r="17" spans="1:9">
      <c r="A17" s="1" t="s">
        <v>58</v>
      </c>
    </row>
    <row r="18" spans="1:9">
      <c r="A18" s="2" t="s">
        <v>59</v>
      </c>
      <c r="B18" s="2" t="s">
        <v>9</v>
      </c>
    </row>
    <row r="19" spans="1:9">
      <c r="A19" s="3" t="s">
        <v>60</v>
      </c>
      <c r="B19" s="4">
        <f>'연금 시뮬레이션'!B17</f>
        <v>460000000</v>
      </c>
    </row>
    <row r="20" spans="1:9">
      <c r="A20" s="3" t="s">
        <v>61</v>
      </c>
      <c r="B20" s="4">
        <f>'연금 시뮬레이션'!B18</f>
        <v>200000000</v>
      </c>
    </row>
    <row r="21" spans="1:9">
      <c r="A21" s="3" t="s">
        <v>62</v>
      </c>
      <c r="B21" s="4">
        <f>B19-B20</f>
        <v>260000000</v>
      </c>
    </row>
    <row r="24" spans="1:9">
      <c r="A24" s="2" t="s">
        <v>44</v>
      </c>
      <c r="B24" s="2" t="s">
        <v>63</v>
      </c>
      <c r="C24" s="2" t="s">
        <v>64</v>
      </c>
      <c r="D24" s="2" t="s">
        <v>65</v>
      </c>
      <c r="E24" s="2" t="s">
        <v>66</v>
      </c>
      <c r="F24" s="2" t="s">
        <v>67</v>
      </c>
      <c r="G24" s="2" t="s">
        <v>68</v>
      </c>
    </row>
    <row r="25" spans="1:9">
      <c r="A25" t="str">
        <f>A12</f>
        <v>시나리오1 (59세 조기)</v>
      </c>
      <c r="B25" s="4">
        <f>D12</f>
        <v>25680000</v>
      </c>
      <c r="C25" s="4">
        <f>MAX(0,(D12-3360000)*0.0699/12)</f>
        <v>130014</v>
      </c>
      <c r="D25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5" s="4">
        <v>10990</v>
      </c>
      <c r="F25" s="4">
        <f>C25+D25+E25</f>
        <v>213920.66666666666</v>
      </c>
      <c r="G25" s="4">
        <f>F25*12</f>
        <v>2567048</v>
      </c>
    </row>
    <row r="26" spans="1:9">
      <c r="A26" t="str">
        <f>A13</f>
        <v>시나리오2-1 (59~62세)</v>
      </c>
      <c r="B26" s="4">
        <f>D13</f>
        <v>12000000</v>
      </c>
      <c r="C26" s="4">
        <f>MAX(0,(D13-3360000)*0.0699/12)</f>
        <v>50328</v>
      </c>
      <c r="D26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6" s="4">
        <v>10990</v>
      </c>
      <c r="F26" s="4">
        <f>C26+D26+E26</f>
        <v>134234.66666666666</v>
      </c>
      <c r="G26" s="4">
        <f>F26*12</f>
        <v>1610816</v>
      </c>
    </row>
    <row r="27" spans="1:9">
      <c r="A27" t="str">
        <f>A14</f>
        <v>시나리오2-2 (63세~)</v>
      </c>
      <c r="B27" s="4">
        <f>D14</f>
        <v>30000000</v>
      </c>
      <c r="C27" s="4">
        <f>MAX(0,(D14-3360000)*0.0699/12)</f>
        <v>155178</v>
      </c>
      <c r="D27" s="4">
        <f>IF($B$21&lt;=50000000,0,IF($B$21&lt;=90000000,($B$21-50000000)*0.0015/12,IF($B$21&lt;=180000000,($B$21-90000000)*0.0035/12+50000/12,IF($B$21&lt;=300000000,($B$21-180000000)*0.007/12+315000/12,IF($B$21&lt;=600000000,($B$21-300000000)*0.011/12+1015000/12,($B$21-600000000)*0.02/12+3765000/12)))))</f>
        <v>72916.666666666657</v>
      </c>
      <c r="E27" s="4">
        <v>10990</v>
      </c>
      <c r="F27" s="4">
        <f>C27+D27+E27</f>
        <v>239084.66666666666</v>
      </c>
      <c r="G27" s="4">
        <f>F27*12</f>
        <v>2869016</v>
      </c>
    </row>
    <row r="30" spans="1:9">
      <c r="A30" s="7" t="s">
        <v>69</v>
      </c>
    </row>
    <row r="31" spans="1:9">
      <c r="A31" s="8" t="s">
        <v>44</v>
      </c>
      <c r="B31" s="8" t="s">
        <v>70</v>
      </c>
      <c r="C31" s="8" t="s">
        <v>71</v>
      </c>
      <c r="D31" s="8" t="s">
        <v>72</v>
      </c>
      <c r="E31" s="8" t="s">
        <v>73</v>
      </c>
      <c r="F31" s="8" t="s">
        <v>74</v>
      </c>
      <c r="G31" s="8" t="s">
        <v>75</v>
      </c>
      <c r="H31" s="8" t="s">
        <v>76</v>
      </c>
      <c r="I31" s="8" t="s">
        <v>77</v>
      </c>
    </row>
    <row r="32" spans="1:9">
      <c r="A32" t="str">
        <f>A5</f>
        <v>시나리오1 (59세 조기)</v>
      </c>
      <c r="B32" s="4">
        <f>E5</f>
        <v>33680000</v>
      </c>
      <c r="C32" s="4">
        <f>H12</f>
        <v>4644000</v>
      </c>
      <c r="D32" s="4">
        <f>G25</f>
        <v>2567048</v>
      </c>
      <c r="E32" s="4">
        <f>'연금 시뮬레이션'!B20</f>
        <v>8000000</v>
      </c>
      <c r="F32" s="4">
        <f>C32+D32+E32</f>
        <v>15211048</v>
      </c>
      <c r="G32" s="4">
        <f>B32-F32</f>
        <v>18468952</v>
      </c>
      <c r="H32" s="4">
        <f>G32/12</f>
        <v>1539079.3333333333</v>
      </c>
      <c r="I32" s="6">
        <f>F32/B32</f>
        <v>0.45163444180522566</v>
      </c>
    </row>
    <row r="33" spans="1:9">
      <c r="A33" t="str">
        <f>A6</f>
        <v>시나리오2-1 (59~62세)</v>
      </c>
      <c r="B33" s="4">
        <f>E6</f>
        <v>20000000</v>
      </c>
      <c r="C33" s="4">
        <f>H13</f>
        <v>1452000</v>
      </c>
      <c r="D33" s="4">
        <f>G26</f>
        <v>1610816</v>
      </c>
      <c r="E33" s="4">
        <f>'연금 시뮬레이션'!B20</f>
        <v>8000000</v>
      </c>
      <c r="F33" s="4">
        <f>C33+D33+E33</f>
        <v>11062816</v>
      </c>
      <c r="G33" s="4">
        <f>B33-F33</f>
        <v>8937184</v>
      </c>
      <c r="H33" s="4">
        <f>G33/12</f>
        <v>744765.33333333337</v>
      </c>
      <c r="I33" s="6">
        <f>F33/B33</f>
        <v>0.55314079999999999</v>
      </c>
    </row>
    <row r="34" spans="1:9">
      <c r="A34" t="str">
        <f>A7</f>
        <v>시나리오2-2 (63세~)</v>
      </c>
      <c r="B34" s="4">
        <f>E7</f>
        <v>38000000</v>
      </c>
      <c r="C34" s="4">
        <f>H14</f>
        <v>5292000</v>
      </c>
      <c r="D34" s="4">
        <f>G27</f>
        <v>2869016</v>
      </c>
      <c r="E34" s="4">
        <f>'연금 시뮬레이션'!B20</f>
        <v>8000000</v>
      </c>
      <c r="F34" s="4">
        <f>C34+D34+E34</f>
        <v>16161016</v>
      </c>
      <c r="G34" s="4">
        <f>B34-F34</f>
        <v>21838984</v>
      </c>
      <c r="H34" s="4">
        <f>G34/12</f>
        <v>1819915.3333333333</v>
      </c>
      <c r="I34" s="6">
        <f>F34/B34</f>
        <v>0.42528989473684209</v>
      </c>
    </row>
    <row r="37" spans="1:9">
      <c r="A37" s="1" t="s">
        <v>78</v>
      </c>
    </row>
    <row r="38" spans="1:9">
      <c r="A38" s="2" t="s">
        <v>1</v>
      </c>
      <c r="B38" s="2" t="s">
        <v>9</v>
      </c>
      <c r="C38" s="2" t="s">
        <v>79</v>
      </c>
      <c r="D38" s="2" t="s">
        <v>3</v>
      </c>
    </row>
    <row r="39" spans="1:9">
      <c r="A39" s="3" t="s">
        <v>80</v>
      </c>
      <c r="B39" s="4">
        <v>4000000</v>
      </c>
      <c r="C39" s="4">
        <f>B39*0.099</f>
        <v>396000</v>
      </c>
      <c r="D39" s="3" t="s">
        <v>81</v>
      </c>
    </row>
    <row r="40" spans="1:9">
      <c r="A40" s="3" t="s">
        <v>82</v>
      </c>
      <c r="B40" s="3" t="s">
        <v>83</v>
      </c>
      <c r="C40" s="3" t="s">
        <v>84</v>
      </c>
      <c r="D40" s="3" t="s">
        <v>85</v>
      </c>
    </row>
    <row r="42" spans="1:9">
      <c r="A42" s="94" t="s">
        <v>86</v>
      </c>
      <c r="B42" s="94"/>
      <c r="C42" s="94"/>
      <c r="D42" s="94"/>
    </row>
    <row r="43" spans="1:9">
      <c r="A43" t="s">
        <v>87</v>
      </c>
    </row>
    <row r="44" spans="1:9">
      <c r="A44" t="s">
        <v>88</v>
      </c>
    </row>
    <row r="45" spans="1:9">
      <c r="A45" t="s">
        <v>89</v>
      </c>
    </row>
    <row r="46" spans="1:9">
      <c r="A46" s="3" t="s">
        <v>90</v>
      </c>
    </row>
  </sheetData>
  <mergeCells count="2">
    <mergeCell ref="A1:J1"/>
    <mergeCell ref="A42:D42"/>
  </mergeCells>
  <phoneticPr fontId="11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연금 시뮬레이션</vt:lpstr>
      <vt:lpstr>세금 및 건보료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노광래</cp:lastModifiedBy>
  <cp:revision>0</cp:revision>
  <dcterms:created xsi:type="dcterms:W3CDTF">2025-12-27T10:08:56Z</dcterms:created>
  <dcterms:modified xsi:type="dcterms:W3CDTF">2026-01-10T08:30:08Z</dcterms:modified>
  <dc:language>en-US</dc:language>
</cp:coreProperties>
</file>