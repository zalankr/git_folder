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pus\Desktop\git_folder\KOSPI PBR\"/>
    </mc:Choice>
  </mc:AlternateContent>
  <xr:revisionPtr revIDLastSave="0" documentId="13_ncr:1_{B16F2FD8-0DA5-4837-8C32-0765DC35727E}" xr6:coauthVersionLast="36" xr6:coauthVersionMax="47" xr10:uidLastSave="{00000000-0000-0000-0000-000000000000}"/>
  <bookViews>
    <workbookView xWindow="8100" yWindow="4815" windowWidth="23880" windowHeight="15345" activeTab="3" xr2:uid="{00000000-000D-0000-FFFF-FFFF00000000}"/>
  </bookViews>
  <sheets>
    <sheet name="0.85-0.80" sheetId="1" r:id="rId1"/>
    <sheet name="0.85-0.80-0.75" sheetId="11" r:id="rId2"/>
    <sheet name="0.90-0.85" sheetId="6" r:id="rId3"/>
    <sheet name="0.90-0.85-0.80" sheetId="10" r:id="rId4"/>
    <sheet name="0.95-0.90" sheetId="7" r:id="rId5"/>
    <sheet name="0.95-0.90-0.85" sheetId="9" r:id="rId6"/>
    <sheet name="1.00-0.95" sheetId="8" r:id="rId7"/>
    <sheet name="1.00-0.95-0.90" sheetId="12" r:id="rId8"/>
  </sheets>
  <calcPr calcId="191029"/>
</workbook>
</file>

<file path=xl/calcChain.xml><?xml version="1.0" encoding="utf-8"?>
<calcChain xmlns="http://schemas.openxmlformats.org/spreadsheetml/2006/main">
  <c r="R79" i="10" l="1"/>
  <c r="T16" i="12" l="1"/>
  <c r="T29" i="12"/>
  <c r="S18" i="12"/>
  <c r="S17" i="12"/>
  <c r="S30" i="12"/>
  <c r="R17" i="12"/>
  <c r="R18" i="12"/>
  <c r="R19" i="12"/>
  <c r="R30" i="12"/>
  <c r="R31" i="12"/>
  <c r="Q17" i="12"/>
  <c r="Q18" i="12"/>
  <c r="Q20" i="12"/>
  <c r="Q30" i="12"/>
  <c r="Q32" i="12"/>
  <c r="Q31" i="12"/>
  <c r="P17" i="12"/>
  <c r="P18" i="12"/>
  <c r="N18" i="12"/>
  <c r="O18" i="12"/>
  <c r="P21" i="12"/>
  <c r="P30" i="12"/>
  <c r="P33" i="12"/>
  <c r="O17" i="12"/>
  <c r="O22" i="12"/>
  <c r="O30" i="12"/>
  <c r="O33" i="12"/>
  <c r="O34" i="12"/>
  <c r="N10" i="12"/>
  <c r="N17" i="12"/>
  <c r="M18" i="12"/>
  <c r="N23" i="12"/>
  <c r="N30" i="12"/>
  <c r="N35" i="12"/>
  <c r="M11" i="12"/>
  <c r="M17" i="12"/>
  <c r="M24" i="12"/>
  <c r="M30" i="12"/>
  <c r="M36" i="12"/>
  <c r="M42" i="12"/>
  <c r="L12" i="12"/>
  <c r="L17" i="12"/>
  <c r="L18" i="12"/>
  <c r="L20" i="12"/>
  <c r="L25" i="12"/>
  <c r="L31" i="12"/>
  <c r="L30" i="12"/>
  <c r="L32" i="12"/>
  <c r="L37" i="12"/>
  <c r="L42" i="12"/>
  <c r="M45" i="12"/>
  <c r="N45" i="12"/>
  <c r="O45" i="12"/>
  <c r="P45" i="12"/>
  <c r="Q45" i="12"/>
  <c r="R45" i="12"/>
  <c r="S45" i="12"/>
  <c r="T45" i="12"/>
  <c r="L45" i="12"/>
  <c r="T42" i="12"/>
  <c r="S42" i="12"/>
  <c r="R42" i="12"/>
  <c r="Q42" i="12"/>
  <c r="P42" i="12"/>
  <c r="O42" i="12"/>
  <c r="N42" i="12"/>
  <c r="Q69" i="12"/>
  <c r="P71" i="12"/>
  <c r="P80" i="12"/>
  <c r="O73" i="12"/>
  <c r="N75" i="12"/>
  <c r="N89" i="12"/>
  <c r="M70" i="12"/>
  <c r="M76" i="12"/>
  <c r="L66" i="12"/>
  <c r="L67" i="12"/>
  <c r="L72" i="12"/>
  <c r="L77" i="12"/>
  <c r="L82" i="12"/>
  <c r="T76" i="12"/>
  <c r="S77" i="12"/>
  <c r="R78" i="12"/>
  <c r="Q79" i="12"/>
  <c r="O81" i="12"/>
  <c r="N82" i="12"/>
  <c r="M83" i="12"/>
  <c r="L84" i="12"/>
  <c r="M82" i="12"/>
  <c r="T89" i="12"/>
  <c r="S89" i="12"/>
  <c r="R89" i="12"/>
  <c r="Q89" i="12"/>
  <c r="P89" i="12"/>
  <c r="O89" i="12"/>
  <c r="M89" i="12"/>
  <c r="L89" i="12"/>
  <c r="M209" i="12"/>
  <c r="N209" i="12"/>
  <c r="O209" i="12"/>
  <c r="P209" i="12"/>
  <c r="Q209" i="12"/>
  <c r="R209" i="12"/>
  <c r="S209" i="12"/>
  <c r="T209" i="12"/>
  <c r="L209" i="12"/>
  <c r="T208" i="12"/>
  <c r="S208" i="12"/>
  <c r="R208" i="12"/>
  <c r="Q208" i="12"/>
  <c r="P208" i="12"/>
  <c r="O208" i="12"/>
  <c r="N208" i="12"/>
  <c r="M208" i="12"/>
  <c r="L208" i="12"/>
  <c r="T276" i="12"/>
  <c r="S276" i="12"/>
  <c r="R276" i="12"/>
  <c r="Q276" i="12"/>
  <c r="P276" i="12"/>
  <c r="O276" i="12"/>
  <c r="N276" i="12"/>
  <c r="M276" i="12"/>
  <c r="L276" i="12"/>
  <c r="S293" i="12"/>
  <c r="R294" i="12"/>
  <c r="Q295" i="12"/>
  <c r="Q294" i="12"/>
  <c r="P296" i="12"/>
  <c r="P294" i="12"/>
  <c r="O296" i="12"/>
  <c r="M296" i="12"/>
  <c r="N296" i="12"/>
  <c r="O294" i="12"/>
  <c r="N294" i="12"/>
  <c r="M294" i="12"/>
  <c r="L295" i="12"/>
  <c r="L294" i="12"/>
  <c r="L300" i="12"/>
  <c r="T305" i="12"/>
  <c r="S305" i="12"/>
  <c r="R305" i="12"/>
  <c r="Q305" i="12"/>
  <c r="P305" i="12"/>
  <c r="O305" i="12"/>
  <c r="N305" i="12"/>
  <c r="M305" i="12"/>
  <c r="L305" i="12"/>
  <c r="M326" i="12"/>
  <c r="N326" i="12"/>
  <c r="O326" i="12"/>
  <c r="P326" i="12"/>
  <c r="Q326" i="12"/>
  <c r="R326" i="12"/>
  <c r="S326" i="12"/>
  <c r="T326" i="12"/>
  <c r="L326" i="12"/>
  <c r="T325" i="12"/>
  <c r="S325" i="12"/>
  <c r="R325" i="12"/>
  <c r="Q325" i="12"/>
  <c r="P325" i="12"/>
  <c r="O325" i="12"/>
  <c r="N325" i="12"/>
  <c r="M325" i="12"/>
  <c r="L325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4" i="12"/>
  <c r="D326" i="12"/>
  <c r="C326" i="12"/>
  <c r="D325" i="12"/>
  <c r="C325" i="12"/>
  <c r="D324" i="12"/>
  <c r="C324" i="12"/>
  <c r="D323" i="12"/>
  <c r="C323" i="12"/>
  <c r="D322" i="12"/>
  <c r="C322" i="12"/>
  <c r="D321" i="12"/>
  <c r="C321" i="12"/>
  <c r="D320" i="12"/>
  <c r="C320" i="12"/>
  <c r="D319" i="12"/>
  <c r="C319" i="12"/>
  <c r="D318" i="12"/>
  <c r="C318" i="12"/>
  <c r="D317" i="12"/>
  <c r="C317" i="12"/>
  <c r="D316" i="12"/>
  <c r="C316" i="12"/>
  <c r="D315" i="12"/>
  <c r="C315" i="12"/>
  <c r="D314" i="12"/>
  <c r="C314" i="12"/>
  <c r="D313" i="12"/>
  <c r="C313" i="12"/>
  <c r="D312" i="12"/>
  <c r="C312" i="12"/>
  <c r="D311" i="12"/>
  <c r="C311" i="12"/>
  <c r="D310" i="12"/>
  <c r="C310" i="12"/>
  <c r="D309" i="12"/>
  <c r="C309" i="12"/>
  <c r="D308" i="12"/>
  <c r="C308" i="12"/>
  <c r="D307" i="12"/>
  <c r="C307" i="12"/>
  <c r="D306" i="12"/>
  <c r="C306" i="12"/>
  <c r="D305" i="12"/>
  <c r="C305" i="12"/>
  <c r="D304" i="12"/>
  <c r="C304" i="12"/>
  <c r="D303" i="12"/>
  <c r="C303" i="12"/>
  <c r="D302" i="12"/>
  <c r="C302" i="12"/>
  <c r="D301" i="12"/>
  <c r="C301" i="12"/>
  <c r="D300" i="12"/>
  <c r="C300" i="12"/>
  <c r="D299" i="12"/>
  <c r="C299" i="12"/>
  <c r="D298" i="12"/>
  <c r="C298" i="12"/>
  <c r="D297" i="12"/>
  <c r="C297" i="12"/>
  <c r="D296" i="12"/>
  <c r="C296" i="12"/>
  <c r="D295" i="12"/>
  <c r="C295" i="12"/>
  <c r="D294" i="12"/>
  <c r="C294" i="12"/>
  <c r="D293" i="12"/>
  <c r="C293" i="12"/>
  <c r="D292" i="12"/>
  <c r="C292" i="12"/>
  <c r="D291" i="12"/>
  <c r="C291" i="12"/>
  <c r="D290" i="12"/>
  <c r="C290" i="12"/>
  <c r="D289" i="12"/>
  <c r="C289" i="12"/>
  <c r="D288" i="12"/>
  <c r="C288" i="12"/>
  <c r="D287" i="12"/>
  <c r="C287" i="12"/>
  <c r="D286" i="12"/>
  <c r="C286" i="12"/>
  <c r="D285" i="12"/>
  <c r="C285" i="12"/>
  <c r="D284" i="12"/>
  <c r="C284" i="12"/>
  <c r="D283" i="12"/>
  <c r="C283" i="12"/>
  <c r="D282" i="12"/>
  <c r="C282" i="12"/>
  <c r="D281" i="12"/>
  <c r="C281" i="12"/>
  <c r="D280" i="12"/>
  <c r="C280" i="12"/>
  <c r="D279" i="12"/>
  <c r="C279" i="12"/>
  <c r="D278" i="12"/>
  <c r="C278" i="12"/>
  <c r="D277" i="12"/>
  <c r="C277" i="12"/>
  <c r="D276" i="12"/>
  <c r="C276" i="12"/>
  <c r="D275" i="12"/>
  <c r="C275" i="12"/>
  <c r="D274" i="12"/>
  <c r="C274" i="12"/>
  <c r="D273" i="12"/>
  <c r="C273" i="12"/>
  <c r="D272" i="12"/>
  <c r="C272" i="12"/>
  <c r="D271" i="12"/>
  <c r="C271" i="12"/>
  <c r="D270" i="12"/>
  <c r="C270" i="12"/>
  <c r="D269" i="12"/>
  <c r="C269" i="12"/>
  <c r="D268" i="12"/>
  <c r="C268" i="12"/>
  <c r="J267" i="12"/>
  <c r="J268" i="12" s="1"/>
  <c r="J269" i="12" s="1"/>
  <c r="J270" i="12" s="1"/>
  <c r="J271" i="12" s="1"/>
  <c r="J272" i="12" s="1"/>
  <c r="J273" i="12" s="1"/>
  <c r="J274" i="12" s="1"/>
  <c r="J275" i="12" s="1"/>
  <c r="J276" i="12" s="1"/>
  <c r="J277" i="12" s="1"/>
  <c r="J278" i="12" s="1"/>
  <c r="J279" i="12" s="1"/>
  <c r="J280" i="12" s="1"/>
  <c r="J281" i="12" s="1"/>
  <c r="J282" i="12" s="1"/>
  <c r="J283" i="12" s="1"/>
  <c r="J284" i="12" s="1"/>
  <c r="J285" i="12" s="1"/>
  <c r="J286" i="12" s="1"/>
  <c r="J287" i="12" s="1"/>
  <c r="J288" i="12" s="1"/>
  <c r="J289" i="12" s="1"/>
  <c r="J290" i="12" s="1"/>
  <c r="J291" i="12" s="1"/>
  <c r="J292" i="12" s="1"/>
  <c r="J293" i="12" s="1"/>
  <c r="J294" i="12" s="1"/>
  <c r="J295" i="12" s="1"/>
  <c r="J296" i="12" s="1"/>
  <c r="J297" i="12" s="1"/>
  <c r="J298" i="12" s="1"/>
  <c r="J299" i="12" s="1"/>
  <c r="J300" i="12" s="1"/>
  <c r="J301" i="12" s="1"/>
  <c r="J302" i="12" s="1"/>
  <c r="J303" i="12" s="1"/>
  <c r="J304" i="12" s="1"/>
  <c r="J305" i="12" s="1"/>
  <c r="J306" i="12" s="1"/>
  <c r="J307" i="12" s="1"/>
  <c r="J308" i="12" s="1"/>
  <c r="J309" i="12" s="1"/>
  <c r="J310" i="12" s="1"/>
  <c r="J311" i="12" s="1"/>
  <c r="J312" i="12" s="1"/>
  <c r="J313" i="12" s="1"/>
  <c r="J314" i="12" s="1"/>
  <c r="J315" i="12" s="1"/>
  <c r="J316" i="12" s="1"/>
  <c r="J317" i="12" s="1"/>
  <c r="J318" i="12" s="1"/>
  <c r="J319" i="12" s="1"/>
  <c r="J320" i="12" s="1"/>
  <c r="J321" i="12" s="1"/>
  <c r="J322" i="12" s="1"/>
  <c r="J323" i="12" s="1"/>
  <c r="J324" i="12" s="1"/>
  <c r="J325" i="12" s="1"/>
  <c r="J326" i="12" s="1"/>
  <c r="D267" i="12"/>
  <c r="C267" i="12"/>
  <c r="D266" i="12"/>
  <c r="C266" i="12"/>
  <c r="D265" i="12"/>
  <c r="C265" i="12"/>
  <c r="D264" i="12"/>
  <c r="C264" i="12"/>
  <c r="D263" i="12"/>
  <c r="C263" i="12"/>
  <c r="D262" i="12"/>
  <c r="C262" i="12"/>
  <c r="D261" i="12"/>
  <c r="C261" i="12"/>
  <c r="D260" i="12"/>
  <c r="C260" i="12"/>
  <c r="D259" i="12"/>
  <c r="C259" i="12"/>
  <c r="D258" i="12"/>
  <c r="C258" i="12"/>
  <c r="D257" i="12"/>
  <c r="C257" i="12"/>
  <c r="D256" i="12"/>
  <c r="C256" i="12"/>
  <c r="D255" i="12"/>
  <c r="C255" i="12"/>
  <c r="D254" i="12"/>
  <c r="C254" i="12"/>
  <c r="D253" i="12"/>
  <c r="C253" i="12"/>
  <c r="D252" i="12"/>
  <c r="C252" i="12"/>
  <c r="D251" i="12"/>
  <c r="C251" i="12"/>
  <c r="D250" i="12"/>
  <c r="C250" i="12"/>
  <c r="D249" i="12"/>
  <c r="C249" i="12"/>
  <c r="D248" i="12"/>
  <c r="C248" i="12"/>
  <c r="D247" i="12"/>
  <c r="C247" i="12"/>
  <c r="D246" i="12"/>
  <c r="C246" i="12"/>
  <c r="D245" i="12"/>
  <c r="C245" i="12"/>
  <c r="D244" i="12"/>
  <c r="C244" i="12"/>
  <c r="D243" i="12"/>
  <c r="C243" i="12"/>
  <c r="D242" i="12"/>
  <c r="C242" i="12"/>
  <c r="D241" i="12"/>
  <c r="C241" i="12"/>
  <c r="D240" i="12"/>
  <c r="C240" i="12"/>
  <c r="D239" i="12"/>
  <c r="C239" i="12"/>
  <c r="D238" i="12"/>
  <c r="C238" i="12"/>
  <c r="D237" i="12"/>
  <c r="C237" i="12"/>
  <c r="D236" i="12"/>
  <c r="C236" i="12"/>
  <c r="D235" i="12"/>
  <c r="C235" i="12"/>
  <c r="D234" i="12"/>
  <c r="C234" i="12"/>
  <c r="D233" i="12"/>
  <c r="C233" i="12"/>
  <c r="I232" i="12"/>
  <c r="I233" i="12" s="1"/>
  <c r="I234" i="12" s="1"/>
  <c r="I235" i="12" s="1"/>
  <c r="I236" i="12" s="1"/>
  <c r="I237" i="12" s="1"/>
  <c r="I238" i="12" s="1"/>
  <c r="I239" i="12" s="1"/>
  <c r="I240" i="12" s="1"/>
  <c r="I241" i="12" s="1"/>
  <c r="I242" i="12" s="1"/>
  <c r="I243" i="12" s="1"/>
  <c r="I244" i="12" s="1"/>
  <c r="I245" i="12" s="1"/>
  <c r="I246" i="12" s="1"/>
  <c r="I247" i="12" s="1"/>
  <c r="I248" i="12" s="1"/>
  <c r="D232" i="12"/>
  <c r="C232" i="12"/>
  <c r="D231" i="12"/>
  <c r="C231" i="12"/>
  <c r="D230" i="12"/>
  <c r="C230" i="12"/>
  <c r="D229" i="12"/>
  <c r="C229" i="12"/>
  <c r="D228" i="12"/>
  <c r="C228" i="12"/>
  <c r="D227" i="12"/>
  <c r="C227" i="12"/>
  <c r="D226" i="12"/>
  <c r="C226" i="12"/>
  <c r="D225" i="12"/>
  <c r="C225" i="12"/>
  <c r="D224" i="12"/>
  <c r="C224" i="12"/>
  <c r="D223" i="12"/>
  <c r="C223" i="12"/>
  <c r="D222" i="12"/>
  <c r="C222" i="12"/>
  <c r="D221" i="12"/>
  <c r="C221" i="12"/>
  <c r="D220" i="12"/>
  <c r="C220" i="12"/>
  <c r="D219" i="12"/>
  <c r="C219" i="12"/>
  <c r="D218" i="12"/>
  <c r="C218" i="12"/>
  <c r="D217" i="12"/>
  <c r="C217" i="12"/>
  <c r="D216" i="12"/>
  <c r="C216" i="12"/>
  <c r="D215" i="12"/>
  <c r="C215" i="12"/>
  <c r="D214" i="12"/>
  <c r="C214" i="12"/>
  <c r="D213" i="12"/>
  <c r="C213" i="12"/>
  <c r="D212" i="12"/>
  <c r="C212" i="12"/>
  <c r="D211" i="12"/>
  <c r="C211" i="12"/>
  <c r="D210" i="12"/>
  <c r="C210" i="12"/>
  <c r="D209" i="12"/>
  <c r="C209" i="12"/>
  <c r="D208" i="12"/>
  <c r="C208" i="12"/>
  <c r="D207" i="12"/>
  <c r="C207" i="12"/>
  <c r="D206" i="12"/>
  <c r="C206" i="12"/>
  <c r="D205" i="12"/>
  <c r="C205" i="12"/>
  <c r="D204" i="12"/>
  <c r="C204" i="12"/>
  <c r="D203" i="12"/>
  <c r="C203" i="12"/>
  <c r="D202" i="12"/>
  <c r="C202" i="12"/>
  <c r="D201" i="12"/>
  <c r="C201" i="12"/>
  <c r="D200" i="12"/>
  <c r="C200" i="12"/>
  <c r="D199" i="12"/>
  <c r="C199" i="12"/>
  <c r="D198" i="12"/>
  <c r="C198" i="12"/>
  <c r="D197" i="12"/>
  <c r="C197" i="12"/>
  <c r="D196" i="12"/>
  <c r="C196" i="12"/>
  <c r="K195" i="12"/>
  <c r="K196" i="12" s="1"/>
  <c r="K197" i="12" s="1"/>
  <c r="K198" i="12" s="1"/>
  <c r="K199" i="12" s="1"/>
  <c r="K200" i="12" s="1"/>
  <c r="K201" i="12" s="1"/>
  <c r="K202" i="12" s="1"/>
  <c r="K203" i="12" s="1"/>
  <c r="K204" i="12" s="1"/>
  <c r="K205" i="12" s="1"/>
  <c r="K206" i="12" s="1"/>
  <c r="K207" i="12" s="1"/>
  <c r="K208" i="12" s="1"/>
  <c r="K209" i="12" s="1"/>
  <c r="K210" i="12" s="1"/>
  <c r="K211" i="12" s="1"/>
  <c r="K212" i="12" s="1"/>
  <c r="K213" i="12" s="1"/>
  <c r="K214" i="12" s="1"/>
  <c r="K215" i="12" s="1"/>
  <c r="K216" i="12" s="1"/>
  <c r="K217" i="12" s="1"/>
  <c r="K218" i="12" s="1"/>
  <c r="K219" i="12" s="1"/>
  <c r="K220" i="12" s="1"/>
  <c r="K221" i="12" s="1"/>
  <c r="K222" i="12" s="1"/>
  <c r="K223" i="12" s="1"/>
  <c r="K224" i="12" s="1"/>
  <c r="K225" i="12" s="1"/>
  <c r="K226" i="12" s="1"/>
  <c r="K227" i="12" s="1"/>
  <c r="K228" i="12" s="1"/>
  <c r="K229" i="12" s="1"/>
  <c r="K230" i="12" s="1"/>
  <c r="K231" i="12" s="1"/>
  <c r="K232" i="12" s="1"/>
  <c r="K233" i="12" s="1"/>
  <c r="K234" i="12" s="1"/>
  <c r="K235" i="12" s="1"/>
  <c r="K236" i="12" s="1"/>
  <c r="K237" i="12" s="1"/>
  <c r="K238" i="12" s="1"/>
  <c r="K239" i="12" s="1"/>
  <c r="K240" i="12" s="1"/>
  <c r="K241" i="12" s="1"/>
  <c r="K242" i="12" s="1"/>
  <c r="K243" i="12" s="1"/>
  <c r="K244" i="12" s="1"/>
  <c r="K245" i="12" s="1"/>
  <c r="K246" i="12" s="1"/>
  <c r="K247" i="12" s="1"/>
  <c r="K248" i="12" s="1"/>
  <c r="K249" i="12" s="1"/>
  <c r="K250" i="12" s="1"/>
  <c r="K251" i="12" s="1"/>
  <c r="K252" i="12" s="1"/>
  <c r="K253" i="12" s="1"/>
  <c r="K254" i="12" s="1"/>
  <c r="K255" i="12" s="1"/>
  <c r="K256" i="12" s="1"/>
  <c r="K257" i="12" s="1"/>
  <c r="K258" i="12" s="1"/>
  <c r="K259" i="12" s="1"/>
  <c r="K260" i="12" s="1"/>
  <c r="K261" i="12" s="1"/>
  <c r="K262" i="12" s="1"/>
  <c r="K263" i="12" s="1"/>
  <c r="K264" i="12" s="1"/>
  <c r="K265" i="12" s="1"/>
  <c r="K266" i="12" s="1"/>
  <c r="D195" i="12"/>
  <c r="C195" i="12"/>
  <c r="D194" i="12"/>
  <c r="C194" i="12"/>
  <c r="D193" i="12"/>
  <c r="C193" i="12"/>
  <c r="D192" i="12"/>
  <c r="C192" i="12"/>
  <c r="D191" i="12"/>
  <c r="C191" i="12"/>
  <c r="D190" i="12"/>
  <c r="C190" i="12"/>
  <c r="D189" i="12"/>
  <c r="C189" i="12"/>
  <c r="D188" i="12"/>
  <c r="C188" i="12"/>
  <c r="D187" i="12"/>
  <c r="C187" i="12"/>
  <c r="D186" i="12"/>
  <c r="C186" i="12"/>
  <c r="D185" i="12"/>
  <c r="C185" i="12"/>
  <c r="D184" i="12"/>
  <c r="C184" i="12"/>
  <c r="D183" i="12"/>
  <c r="C183" i="12"/>
  <c r="D182" i="12"/>
  <c r="C182" i="12"/>
  <c r="D181" i="12"/>
  <c r="C181" i="12"/>
  <c r="D180" i="12"/>
  <c r="C180" i="12"/>
  <c r="D179" i="12"/>
  <c r="C179" i="12"/>
  <c r="D178" i="12"/>
  <c r="C178" i="12"/>
  <c r="D177" i="12"/>
  <c r="C177" i="12"/>
  <c r="D176" i="12"/>
  <c r="C176" i="12"/>
  <c r="D175" i="12"/>
  <c r="C175" i="12"/>
  <c r="D174" i="12"/>
  <c r="C174" i="12"/>
  <c r="D173" i="12"/>
  <c r="C173" i="12"/>
  <c r="D172" i="12"/>
  <c r="C172" i="12"/>
  <c r="D171" i="12"/>
  <c r="C171" i="12"/>
  <c r="D170" i="12"/>
  <c r="C170" i="12"/>
  <c r="D169" i="12"/>
  <c r="C169" i="12"/>
  <c r="D168" i="12"/>
  <c r="C168" i="12"/>
  <c r="D167" i="12"/>
  <c r="C167" i="12"/>
  <c r="D166" i="12"/>
  <c r="C166" i="12"/>
  <c r="D165" i="12"/>
  <c r="C165" i="12"/>
  <c r="D164" i="12"/>
  <c r="C164" i="12"/>
  <c r="D163" i="12"/>
  <c r="C163" i="12"/>
  <c r="D162" i="12"/>
  <c r="C162" i="12"/>
  <c r="D161" i="12"/>
  <c r="C161" i="12"/>
  <c r="D160" i="12"/>
  <c r="C160" i="12"/>
  <c r="D159" i="12"/>
  <c r="C159" i="12"/>
  <c r="D158" i="12"/>
  <c r="C158" i="12"/>
  <c r="D157" i="12"/>
  <c r="C157" i="12"/>
  <c r="D156" i="12"/>
  <c r="C156" i="12"/>
  <c r="D155" i="12"/>
  <c r="C155" i="12"/>
  <c r="D154" i="12"/>
  <c r="C154" i="12"/>
  <c r="D153" i="12"/>
  <c r="C153" i="12"/>
  <c r="D152" i="12"/>
  <c r="C152" i="12"/>
  <c r="D151" i="12"/>
  <c r="C151" i="12"/>
  <c r="D150" i="12"/>
  <c r="C150" i="12"/>
  <c r="D149" i="12"/>
  <c r="C149" i="12"/>
  <c r="D148" i="12"/>
  <c r="C148" i="12"/>
  <c r="D147" i="12"/>
  <c r="C147" i="12"/>
  <c r="D146" i="12"/>
  <c r="C146" i="12"/>
  <c r="D145" i="12"/>
  <c r="C145" i="12"/>
  <c r="D144" i="12"/>
  <c r="C144" i="12"/>
  <c r="D143" i="12"/>
  <c r="C143" i="12"/>
  <c r="D142" i="12"/>
  <c r="C142" i="12"/>
  <c r="D141" i="12"/>
  <c r="C141" i="12"/>
  <c r="D140" i="12"/>
  <c r="C140" i="12"/>
  <c r="D139" i="12"/>
  <c r="C139" i="12"/>
  <c r="D138" i="12"/>
  <c r="C138" i="12"/>
  <c r="D137" i="12"/>
  <c r="C137" i="12"/>
  <c r="D136" i="12"/>
  <c r="C136" i="12"/>
  <c r="D135" i="12"/>
  <c r="C135" i="12"/>
  <c r="D134" i="12"/>
  <c r="C134" i="12"/>
  <c r="D133" i="12"/>
  <c r="C133" i="12"/>
  <c r="D132" i="12"/>
  <c r="C132" i="12"/>
  <c r="D131" i="12"/>
  <c r="C131" i="12"/>
  <c r="D130" i="12"/>
  <c r="C130" i="12"/>
  <c r="D129" i="12"/>
  <c r="C129" i="12"/>
  <c r="D128" i="12"/>
  <c r="C128" i="12"/>
  <c r="D127" i="12"/>
  <c r="C127" i="12"/>
  <c r="D126" i="12"/>
  <c r="C126" i="12"/>
  <c r="D125" i="12"/>
  <c r="C125" i="12"/>
  <c r="D124" i="12"/>
  <c r="C124" i="12"/>
  <c r="D123" i="12"/>
  <c r="C123" i="12"/>
  <c r="D122" i="12"/>
  <c r="C122" i="12"/>
  <c r="D121" i="12"/>
  <c r="C121" i="12"/>
  <c r="D120" i="12"/>
  <c r="C120" i="12"/>
  <c r="D119" i="12"/>
  <c r="C119" i="12"/>
  <c r="D118" i="12"/>
  <c r="C118" i="12"/>
  <c r="D117" i="12"/>
  <c r="C117" i="12"/>
  <c r="D116" i="12"/>
  <c r="C116" i="12"/>
  <c r="D115" i="12"/>
  <c r="C115" i="12"/>
  <c r="D114" i="12"/>
  <c r="C114" i="12"/>
  <c r="T113" i="12"/>
  <c r="S113" i="12"/>
  <c r="R113" i="12"/>
  <c r="Q113" i="12"/>
  <c r="P113" i="12"/>
  <c r="O113" i="12"/>
  <c r="N113" i="12"/>
  <c r="M113" i="12"/>
  <c r="L113" i="12"/>
  <c r="D113" i="12"/>
  <c r="C113" i="12"/>
  <c r="D112" i="12"/>
  <c r="C112" i="12"/>
  <c r="D111" i="12"/>
  <c r="C111" i="12"/>
  <c r="D110" i="12"/>
  <c r="C110" i="12"/>
  <c r="D109" i="12"/>
  <c r="C109" i="12"/>
  <c r="D108" i="12"/>
  <c r="C108" i="12"/>
  <c r="D107" i="12"/>
  <c r="C107" i="12"/>
  <c r="D106" i="12"/>
  <c r="C106" i="12"/>
  <c r="D105" i="12"/>
  <c r="C105" i="12"/>
  <c r="D104" i="12"/>
  <c r="C104" i="12"/>
  <c r="D103" i="12"/>
  <c r="C103" i="12"/>
  <c r="D102" i="12"/>
  <c r="C102" i="12"/>
  <c r="D101" i="12"/>
  <c r="C101" i="12"/>
  <c r="D100" i="12"/>
  <c r="C100" i="12"/>
  <c r="D99" i="12"/>
  <c r="C99" i="12"/>
  <c r="D98" i="12"/>
  <c r="C98" i="12"/>
  <c r="D97" i="12"/>
  <c r="C97" i="12"/>
  <c r="D96" i="12"/>
  <c r="C96" i="12"/>
  <c r="D95" i="12"/>
  <c r="C95" i="12"/>
  <c r="D94" i="12"/>
  <c r="C94" i="12"/>
  <c r="D93" i="12"/>
  <c r="C93" i="12"/>
  <c r="D92" i="12"/>
  <c r="C92" i="12"/>
  <c r="D91" i="12"/>
  <c r="C91" i="12"/>
  <c r="D90" i="12"/>
  <c r="C90" i="12"/>
  <c r="D89" i="12"/>
  <c r="C89" i="12"/>
  <c r="D88" i="12"/>
  <c r="C88" i="12"/>
  <c r="D87" i="12"/>
  <c r="C87" i="12"/>
  <c r="D86" i="12"/>
  <c r="C86" i="12"/>
  <c r="D85" i="12"/>
  <c r="C85" i="12"/>
  <c r="D84" i="12"/>
  <c r="C84" i="12"/>
  <c r="D83" i="12"/>
  <c r="C83" i="12"/>
  <c r="D82" i="12"/>
  <c r="C82" i="12"/>
  <c r="D81" i="12"/>
  <c r="C81" i="12"/>
  <c r="D80" i="12"/>
  <c r="C80" i="12"/>
  <c r="D79" i="12"/>
  <c r="C79" i="12"/>
  <c r="D78" i="12"/>
  <c r="C78" i="12"/>
  <c r="D77" i="12"/>
  <c r="C77" i="12"/>
  <c r="D76" i="12"/>
  <c r="C76" i="12"/>
  <c r="D75" i="12"/>
  <c r="C75" i="12"/>
  <c r="D74" i="12"/>
  <c r="C74" i="12"/>
  <c r="D73" i="12"/>
  <c r="C73" i="12"/>
  <c r="D72" i="12"/>
  <c r="C72" i="12"/>
  <c r="D71" i="12"/>
  <c r="C71" i="12"/>
  <c r="D70" i="12"/>
  <c r="C70" i="12"/>
  <c r="D69" i="12"/>
  <c r="C69" i="12"/>
  <c r="N68" i="12"/>
  <c r="D68" i="12"/>
  <c r="C68" i="12"/>
  <c r="D67" i="12"/>
  <c r="C67" i="12"/>
  <c r="R66" i="12"/>
  <c r="D66" i="12"/>
  <c r="C66" i="12"/>
  <c r="S65" i="12"/>
  <c r="O65" i="12"/>
  <c r="D65" i="12"/>
  <c r="C65" i="12"/>
  <c r="D64" i="12"/>
  <c r="C64" i="12"/>
  <c r="D63" i="12"/>
  <c r="C63" i="12"/>
  <c r="D62" i="12"/>
  <c r="C62" i="12"/>
  <c r="D61" i="12"/>
  <c r="C61" i="12"/>
  <c r="D60" i="12"/>
  <c r="C60" i="12"/>
  <c r="D59" i="12"/>
  <c r="C59" i="12"/>
  <c r="D58" i="12"/>
  <c r="C58" i="12"/>
  <c r="D57" i="12"/>
  <c r="C57" i="12"/>
  <c r="D56" i="12"/>
  <c r="C56" i="12"/>
  <c r="D55" i="12"/>
  <c r="C55" i="12"/>
  <c r="D54" i="12"/>
  <c r="C54" i="12"/>
  <c r="D53" i="12"/>
  <c r="C53" i="12"/>
  <c r="D52" i="12"/>
  <c r="C52" i="12"/>
  <c r="D51" i="12"/>
  <c r="C51" i="12"/>
  <c r="D50" i="12"/>
  <c r="C50" i="12"/>
  <c r="D49" i="12"/>
  <c r="C49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9" i="12"/>
  <c r="C39" i="12"/>
  <c r="D38" i="12"/>
  <c r="C38" i="12"/>
  <c r="D37" i="12"/>
  <c r="C37" i="12"/>
  <c r="D36" i="12"/>
  <c r="C36" i="12"/>
  <c r="D35" i="12"/>
  <c r="C35" i="12"/>
  <c r="D34" i="12"/>
  <c r="C34" i="12"/>
  <c r="D33" i="12"/>
  <c r="C33" i="12"/>
  <c r="D32" i="12"/>
  <c r="C32" i="12"/>
  <c r="D31" i="12"/>
  <c r="C31" i="12"/>
  <c r="D30" i="12"/>
  <c r="C30" i="12"/>
  <c r="D29" i="12"/>
  <c r="C29" i="12"/>
  <c r="D28" i="12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T72" i="11"/>
  <c r="S72" i="11"/>
  <c r="R72" i="11"/>
  <c r="Q72" i="11"/>
  <c r="P72" i="11"/>
  <c r="O72" i="11"/>
  <c r="N72" i="11"/>
  <c r="M72" i="11"/>
  <c r="L72" i="11"/>
  <c r="T294" i="10"/>
  <c r="S294" i="10"/>
  <c r="R294" i="10"/>
  <c r="Q294" i="10"/>
  <c r="P294" i="10"/>
  <c r="O294" i="10"/>
  <c r="N294" i="10"/>
  <c r="M294" i="10"/>
  <c r="L294" i="10"/>
  <c r="T275" i="10"/>
  <c r="S275" i="10"/>
  <c r="R275" i="10"/>
  <c r="Q275" i="10"/>
  <c r="P275" i="10"/>
  <c r="O275" i="10"/>
  <c r="N275" i="10"/>
  <c r="M275" i="10"/>
  <c r="L275" i="10"/>
  <c r="T72" i="10"/>
  <c r="S72" i="10"/>
  <c r="R72" i="10"/>
  <c r="Q72" i="10"/>
  <c r="P72" i="10"/>
  <c r="O72" i="10"/>
  <c r="N72" i="10"/>
  <c r="M72" i="10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4" i="11"/>
  <c r="D326" i="11"/>
  <c r="C326" i="11"/>
  <c r="D325" i="11"/>
  <c r="C325" i="11"/>
  <c r="D324" i="11"/>
  <c r="C324" i="11"/>
  <c r="D323" i="11"/>
  <c r="C323" i="11"/>
  <c r="D322" i="11"/>
  <c r="C322" i="11"/>
  <c r="D321" i="11"/>
  <c r="C321" i="11"/>
  <c r="D320" i="11"/>
  <c r="C320" i="11"/>
  <c r="D319" i="11"/>
  <c r="C319" i="11"/>
  <c r="D318" i="11"/>
  <c r="C318" i="11"/>
  <c r="D317" i="11"/>
  <c r="C317" i="11"/>
  <c r="D316" i="11"/>
  <c r="C316" i="11"/>
  <c r="D315" i="11"/>
  <c r="C315" i="11"/>
  <c r="D314" i="11"/>
  <c r="C314" i="11"/>
  <c r="D313" i="11"/>
  <c r="C313" i="11"/>
  <c r="D312" i="11"/>
  <c r="C312" i="11"/>
  <c r="D311" i="11"/>
  <c r="C311" i="11"/>
  <c r="D310" i="11"/>
  <c r="C310" i="11"/>
  <c r="D309" i="11"/>
  <c r="C309" i="11"/>
  <c r="D308" i="11"/>
  <c r="C308" i="11"/>
  <c r="D307" i="11"/>
  <c r="C307" i="11"/>
  <c r="D306" i="11"/>
  <c r="C306" i="11"/>
  <c r="D305" i="11"/>
  <c r="C305" i="11"/>
  <c r="D304" i="11"/>
  <c r="C304" i="11"/>
  <c r="D303" i="11"/>
  <c r="C303" i="11"/>
  <c r="D302" i="11"/>
  <c r="C302" i="11"/>
  <c r="D301" i="11"/>
  <c r="C301" i="11"/>
  <c r="D300" i="11"/>
  <c r="C300" i="11"/>
  <c r="D299" i="11"/>
  <c r="C299" i="11"/>
  <c r="D298" i="11"/>
  <c r="C298" i="11"/>
  <c r="D297" i="11"/>
  <c r="C297" i="11"/>
  <c r="D296" i="11"/>
  <c r="C296" i="11"/>
  <c r="D295" i="11"/>
  <c r="C295" i="11"/>
  <c r="D294" i="11"/>
  <c r="C294" i="11"/>
  <c r="D293" i="11"/>
  <c r="C293" i="11"/>
  <c r="D292" i="11"/>
  <c r="C292" i="11"/>
  <c r="D291" i="11"/>
  <c r="C291" i="11"/>
  <c r="D290" i="11"/>
  <c r="C290" i="11"/>
  <c r="D289" i="11"/>
  <c r="C289" i="11"/>
  <c r="D288" i="11"/>
  <c r="C288" i="11"/>
  <c r="D287" i="11"/>
  <c r="C287" i="11"/>
  <c r="D286" i="11"/>
  <c r="C286" i="11"/>
  <c r="D285" i="11"/>
  <c r="C285" i="11"/>
  <c r="D284" i="11"/>
  <c r="C284" i="11"/>
  <c r="D283" i="11"/>
  <c r="C283" i="11"/>
  <c r="D282" i="11"/>
  <c r="C282" i="11"/>
  <c r="D281" i="11"/>
  <c r="C281" i="11"/>
  <c r="D280" i="11"/>
  <c r="C280" i="11"/>
  <c r="D279" i="11"/>
  <c r="C279" i="11"/>
  <c r="D278" i="11"/>
  <c r="C278" i="11"/>
  <c r="D277" i="11"/>
  <c r="C277" i="11"/>
  <c r="D276" i="11"/>
  <c r="C276" i="11"/>
  <c r="D275" i="11"/>
  <c r="C275" i="11"/>
  <c r="D274" i="11"/>
  <c r="C274" i="11"/>
  <c r="D273" i="11"/>
  <c r="C273" i="11"/>
  <c r="D272" i="11"/>
  <c r="C272" i="11"/>
  <c r="D271" i="11"/>
  <c r="C271" i="11"/>
  <c r="D270" i="11"/>
  <c r="C270" i="11"/>
  <c r="D269" i="11"/>
  <c r="C269" i="11"/>
  <c r="D268" i="11"/>
  <c r="C268" i="11"/>
  <c r="J267" i="11"/>
  <c r="J268" i="11" s="1"/>
  <c r="J269" i="11" s="1"/>
  <c r="J270" i="11" s="1"/>
  <c r="J271" i="11" s="1"/>
  <c r="J272" i="11" s="1"/>
  <c r="J273" i="11" s="1"/>
  <c r="J274" i="11" s="1"/>
  <c r="J275" i="11" s="1"/>
  <c r="J276" i="11" s="1"/>
  <c r="J277" i="11" s="1"/>
  <c r="J278" i="11" s="1"/>
  <c r="J279" i="11" s="1"/>
  <c r="J280" i="11" s="1"/>
  <c r="J281" i="11" s="1"/>
  <c r="J282" i="11" s="1"/>
  <c r="J283" i="11" s="1"/>
  <c r="J284" i="11" s="1"/>
  <c r="J285" i="11" s="1"/>
  <c r="J286" i="11" s="1"/>
  <c r="J287" i="11" s="1"/>
  <c r="J288" i="11" s="1"/>
  <c r="J289" i="11" s="1"/>
  <c r="J290" i="11" s="1"/>
  <c r="J291" i="11" s="1"/>
  <c r="J292" i="11" s="1"/>
  <c r="J293" i="11" s="1"/>
  <c r="J294" i="11" s="1"/>
  <c r="J295" i="11" s="1"/>
  <c r="J296" i="11" s="1"/>
  <c r="J297" i="11" s="1"/>
  <c r="J298" i="11" s="1"/>
  <c r="J299" i="11" s="1"/>
  <c r="J300" i="11" s="1"/>
  <c r="J301" i="11" s="1"/>
  <c r="J302" i="11" s="1"/>
  <c r="J303" i="11" s="1"/>
  <c r="J304" i="11" s="1"/>
  <c r="J305" i="11" s="1"/>
  <c r="J306" i="11" s="1"/>
  <c r="J307" i="11" s="1"/>
  <c r="J308" i="11" s="1"/>
  <c r="J309" i="11" s="1"/>
  <c r="J310" i="11" s="1"/>
  <c r="J311" i="11" s="1"/>
  <c r="J312" i="11" s="1"/>
  <c r="J313" i="11" s="1"/>
  <c r="J314" i="11" s="1"/>
  <c r="J315" i="11" s="1"/>
  <c r="J316" i="11" s="1"/>
  <c r="J317" i="11" s="1"/>
  <c r="J318" i="11" s="1"/>
  <c r="J319" i="11" s="1"/>
  <c r="J320" i="11" s="1"/>
  <c r="J321" i="11" s="1"/>
  <c r="J322" i="11" s="1"/>
  <c r="J323" i="11" s="1"/>
  <c r="J324" i="11" s="1"/>
  <c r="J325" i="11" s="1"/>
  <c r="J326" i="11" s="1"/>
  <c r="D267" i="11"/>
  <c r="C267" i="11"/>
  <c r="D266" i="11"/>
  <c r="C266" i="11"/>
  <c r="D265" i="11"/>
  <c r="C265" i="11"/>
  <c r="D264" i="11"/>
  <c r="C264" i="11"/>
  <c r="D263" i="11"/>
  <c r="C263" i="11"/>
  <c r="D262" i="11"/>
  <c r="C262" i="11"/>
  <c r="D261" i="11"/>
  <c r="C261" i="11"/>
  <c r="D260" i="11"/>
  <c r="C260" i="11"/>
  <c r="D259" i="11"/>
  <c r="C259" i="11"/>
  <c r="D258" i="11"/>
  <c r="C258" i="11"/>
  <c r="D257" i="11"/>
  <c r="C257" i="11"/>
  <c r="D256" i="11"/>
  <c r="C256" i="11"/>
  <c r="D255" i="11"/>
  <c r="C255" i="11"/>
  <c r="D254" i="11"/>
  <c r="C254" i="11"/>
  <c r="D253" i="11"/>
  <c r="C253" i="11"/>
  <c r="D252" i="11"/>
  <c r="C252" i="11"/>
  <c r="D251" i="11"/>
  <c r="C251" i="11"/>
  <c r="D250" i="11"/>
  <c r="C250" i="11"/>
  <c r="D249" i="11"/>
  <c r="C249" i="11"/>
  <c r="D248" i="11"/>
  <c r="C248" i="11"/>
  <c r="D247" i="11"/>
  <c r="C247" i="11"/>
  <c r="D246" i="11"/>
  <c r="C246" i="11"/>
  <c r="D245" i="11"/>
  <c r="C245" i="11"/>
  <c r="D244" i="11"/>
  <c r="C244" i="11"/>
  <c r="D243" i="11"/>
  <c r="C243" i="11"/>
  <c r="D242" i="11"/>
  <c r="C242" i="11"/>
  <c r="D241" i="11"/>
  <c r="C241" i="11"/>
  <c r="D240" i="11"/>
  <c r="C240" i="11"/>
  <c r="D239" i="11"/>
  <c r="C239" i="11"/>
  <c r="D238" i="11"/>
  <c r="C238" i="11"/>
  <c r="D237" i="11"/>
  <c r="C237" i="11"/>
  <c r="D236" i="11"/>
  <c r="C236" i="11"/>
  <c r="D235" i="11"/>
  <c r="C235" i="11"/>
  <c r="D234" i="11"/>
  <c r="C234" i="11"/>
  <c r="D233" i="11"/>
  <c r="C233" i="11"/>
  <c r="I232" i="11"/>
  <c r="I233" i="11" s="1"/>
  <c r="I234" i="11" s="1"/>
  <c r="I235" i="11" s="1"/>
  <c r="I236" i="11" s="1"/>
  <c r="I237" i="11" s="1"/>
  <c r="I238" i="11" s="1"/>
  <c r="I239" i="11" s="1"/>
  <c r="I240" i="11" s="1"/>
  <c r="I241" i="11" s="1"/>
  <c r="I242" i="11" s="1"/>
  <c r="I243" i="11" s="1"/>
  <c r="I244" i="11" s="1"/>
  <c r="I245" i="11" s="1"/>
  <c r="I246" i="11" s="1"/>
  <c r="I247" i="11" s="1"/>
  <c r="I248" i="11" s="1"/>
  <c r="I249" i="11" s="1"/>
  <c r="I250" i="11" s="1"/>
  <c r="I251" i="11" s="1"/>
  <c r="I252" i="11" s="1"/>
  <c r="I253" i="11" s="1"/>
  <c r="I254" i="11" s="1"/>
  <c r="I255" i="11" s="1"/>
  <c r="I256" i="11" s="1"/>
  <c r="I257" i="11" s="1"/>
  <c r="I258" i="11" s="1"/>
  <c r="I259" i="11" s="1"/>
  <c r="I260" i="11" s="1"/>
  <c r="I261" i="11" s="1"/>
  <c r="I262" i="11" s="1"/>
  <c r="I263" i="11" s="1"/>
  <c r="D232" i="11"/>
  <c r="C232" i="11"/>
  <c r="D231" i="11"/>
  <c r="C231" i="11"/>
  <c r="D230" i="11"/>
  <c r="C230" i="11"/>
  <c r="D229" i="11"/>
  <c r="C229" i="11"/>
  <c r="D228" i="11"/>
  <c r="C228" i="11"/>
  <c r="D227" i="11"/>
  <c r="C227" i="11"/>
  <c r="D226" i="11"/>
  <c r="C226" i="11"/>
  <c r="D225" i="11"/>
  <c r="C225" i="11"/>
  <c r="D224" i="11"/>
  <c r="C224" i="11"/>
  <c r="D223" i="11"/>
  <c r="C223" i="11"/>
  <c r="D222" i="11"/>
  <c r="C222" i="11"/>
  <c r="D221" i="11"/>
  <c r="C221" i="11"/>
  <c r="D220" i="11"/>
  <c r="C220" i="11"/>
  <c r="D219" i="11"/>
  <c r="C219" i="11"/>
  <c r="D218" i="11"/>
  <c r="C218" i="11"/>
  <c r="D217" i="11"/>
  <c r="C217" i="11"/>
  <c r="D216" i="11"/>
  <c r="C216" i="11"/>
  <c r="D215" i="11"/>
  <c r="C215" i="11"/>
  <c r="D214" i="11"/>
  <c r="C214" i="11"/>
  <c r="D213" i="11"/>
  <c r="C213" i="11"/>
  <c r="D212" i="11"/>
  <c r="C212" i="11"/>
  <c r="D211" i="11"/>
  <c r="C211" i="11"/>
  <c r="D210" i="11"/>
  <c r="C210" i="11"/>
  <c r="D209" i="11"/>
  <c r="C209" i="11"/>
  <c r="D208" i="11"/>
  <c r="C208" i="11"/>
  <c r="D207" i="11"/>
  <c r="C207" i="11"/>
  <c r="D206" i="11"/>
  <c r="C206" i="11"/>
  <c r="D205" i="11"/>
  <c r="C205" i="11"/>
  <c r="D204" i="11"/>
  <c r="C204" i="11"/>
  <c r="D203" i="11"/>
  <c r="C203" i="11"/>
  <c r="D202" i="11"/>
  <c r="C202" i="11"/>
  <c r="D201" i="11"/>
  <c r="C201" i="11"/>
  <c r="D200" i="11"/>
  <c r="C200" i="11"/>
  <c r="D199" i="11"/>
  <c r="C199" i="11"/>
  <c r="D198" i="11"/>
  <c r="C198" i="11"/>
  <c r="D197" i="11"/>
  <c r="C197" i="11"/>
  <c r="D196" i="11"/>
  <c r="C196" i="11"/>
  <c r="K195" i="11"/>
  <c r="K196" i="11" s="1"/>
  <c r="K197" i="11" s="1"/>
  <c r="K198" i="11" s="1"/>
  <c r="K199" i="11" s="1"/>
  <c r="K200" i="11" s="1"/>
  <c r="K201" i="11" s="1"/>
  <c r="K202" i="11" s="1"/>
  <c r="K203" i="11" s="1"/>
  <c r="K204" i="11" s="1"/>
  <c r="K205" i="11" s="1"/>
  <c r="K206" i="11" s="1"/>
  <c r="K207" i="11" s="1"/>
  <c r="K208" i="11" s="1"/>
  <c r="K209" i="11" s="1"/>
  <c r="K210" i="11" s="1"/>
  <c r="K211" i="11" s="1"/>
  <c r="K212" i="11" s="1"/>
  <c r="K213" i="11" s="1"/>
  <c r="K214" i="11" s="1"/>
  <c r="K215" i="11" s="1"/>
  <c r="K216" i="11" s="1"/>
  <c r="K217" i="11" s="1"/>
  <c r="K218" i="11" s="1"/>
  <c r="K219" i="11" s="1"/>
  <c r="K220" i="11" s="1"/>
  <c r="K221" i="11" s="1"/>
  <c r="K222" i="11" s="1"/>
  <c r="K223" i="11" s="1"/>
  <c r="K224" i="11" s="1"/>
  <c r="K225" i="11" s="1"/>
  <c r="K226" i="11" s="1"/>
  <c r="K227" i="11" s="1"/>
  <c r="K228" i="11" s="1"/>
  <c r="K229" i="11" s="1"/>
  <c r="K230" i="11" s="1"/>
  <c r="K231" i="11" s="1"/>
  <c r="K232" i="11" s="1"/>
  <c r="K233" i="11" s="1"/>
  <c r="K234" i="11" s="1"/>
  <c r="K235" i="11" s="1"/>
  <c r="K236" i="11" s="1"/>
  <c r="K237" i="11" s="1"/>
  <c r="K238" i="11" s="1"/>
  <c r="K239" i="11" s="1"/>
  <c r="K240" i="11" s="1"/>
  <c r="K241" i="11" s="1"/>
  <c r="K242" i="11" s="1"/>
  <c r="K243" i="11" s="1"/>
  <c r="K244" i="11" s="1"/>
  <c r="K245" i="11" s="1"/>
  <c r="K246" i="11" s="1"/>
  <c r="K247" i="11" s="1"/>
  <c r="K248" i="11" s="1"/>
  <c r="K249" i="11" s="1"/>
  <c r="K250" i="11" s="1"/>
  <c r="K251" i="11" s="1"/>
  <c r="K252" i="11" s="1"/>
  <c r="K253" i="11" s="1"/>
  <c r="K254" i="11" s="1"/>
  <c r="K255" i="11" s="1"/>
  <c r="K256" i="11" s="1"/>
  <c r="K257" i="11" s="1"/>
  <c r="K258" i="11" s="1"/>
  <c r="K259" i="11" s="1"/>
  <c r="K260" i="11" s="1"/>
  <c r="K261" i="11" s="1"/>
  <c r="K262" i="11" s="1"/>
  <c r="K263" i="11" s="1"/>
  <c r="K264" i="11" s="1"/>
  <c r="K265" i="11" s="1"/>
  <c r="K266" i="11" s="1"/>
  <c r="D195" i="11"/>
  <c r="C195" i="11"/>
  <c r="D194" i="11"/>
  <c r="C194" i="11"/>
  <c r="D193" i="11"/>
  <c r="C193" i="11"/>
  <c r="D192" i="11"/>
  <c r="C192" i="11"/>
  <c r="D191" i="11"/>
  <c r="C191" i="11"/>
  <c r="D190" i="11"/>
  <c r="C190" i="11"/>
  <c r="D189" i="11"/>
  <c r="C189" i="11"/>
  <c r="D188" i="11"/>
  <c r="C188" i="11"/>
  <c r="D187" i="11"/>
  <c r="C187" i="11"/>
  <c r="D186" i="11"/>
  <c r="C186" i="11"/>
  <c r="D185" i="11"/>
  <c r="C185" i="11"/>
  <c r="D184" i="11"/>
  <c r="C184" i="11"/>
  <c r="D183" i="11"/>
  <c r="C183" i="11"/>
  <c r="D182" i="11"/>
  <c r="C182" i="11"/>
  <c r="D181" i="11"/>
  <c r="C181" i="11"/>
  <c r="D180" i="11"/>
  <c r="C180" i="11"/>
  <c r="D179" i="11"/>
  <c r="C179" i="11"/>
  <c r="D178" i="11"/>
  <c r="C178" i="11"/>
  <c r="D177" i="11"/>
  <c r="C177" i="11"/>
  <c r="D176" i="11"/>
  <c r="C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68" i="11"/>
  <c r="C168" i="11"/>
  <c r="D167" i="11"/>
  <c r="C167" i="11"/>
  <c r="D166" i="11"/>
  <c r="C166" i="11"/>
  <c r="D165" i="11"/>
  <c r="C165" i="11"/>
  <c r="D164" i="11"/>
  <c r="C164" i="11"/>
  <c r="D163" i="11"/>
  <c r="C163" i="11"/>
  <c r="D162" i="11"/>
  <c r="C162" i="11"/>
  <c r="D161" i="11"/>
  <c r="C161" i="11"/>
  <c r="D160" i="11"/>
  <c r="C160" i="11"/>
  <c r="D159" i="11"/>
  <c r="C159" i="11"/>
  <c r="D158" i="11"/>
  <c r="C158" i="11"/>
  <c r="D157" i="11"/>
  <c r="C157" i="11"/>
  <c r="D156" i="11"/>
  <c r="C156" i="11"/>
  <c r="D155" i="11"/>
  <c r="C155" i="11"/>
  <c r="D154" i="11"/>
  <c r="C154" i="11"/>
  <c r="D153" i="11"/>
  <c r="C153" i="11"/>
  <c r="D152" i="11"/>
  <c r="C152" i="11"/>
  <c r="D151" i="11"/>
  <c r="C151" i="11"/>
  <c r="D150" i="11"/>
  <c r="C150" i="11"/>
  <c r="D149" i="11"/>
  <c r="C149" i="11"/>
  <c r="D148" i="11"/>
  <c r="C148" i="11"/>
  <c r="D147" i="11"/>
  <c r="C147" i="11"/>
  <c r="D146" i="11"/>
  <c r="C146" i="11"/>
  <c r="D145" i="11"/>
  <c r="C145" i="11"/>
  <c r="D144" i="11"/>
  <c r="C144" i="11"/>
  <c r="D143" i="11"/>
  <c r="C143" i="11"/>
  <c r="D142" i="11"/>
  <c r="C142" i="11"/>
  <c r="D141" i="11"/>
  <c r="C141" i="11"/>
  <c r="D140" i="11"/>
  <c r="C140" i="11"/>
  <c r="D139" i="11"/>
  <c r="C139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D130" i="11"/>
  <c r="C130" i="11"/>
  <c r="D129" i="11"/>
  <c r="C129" i="11"/>
  <c r="D128" i="11"/>
  <c r="C128" i="11"/>
  <c r="D127" i="11"/>
  <c r="C127" i="11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C118" i="11"/>
  <c r="D117" i="11"/>
  <c r="C117" i="11"/>
  <c r="D116" i="11"/>
  <c r="C116" i="11"/>
  <c r="D115" i="11"/>
  <c r="C115" i="11"/>
  <c r="D114" i="11"/>
  <c r="C114" i="11"/>
  <c r="D113" i="11"/>
  <c r="C113" i="11"/>
  <c r="D112" i="11"/>
  <c r="C112" i="11"/>
  <c r="D111" i="11"/>
  <c r="C111" i="11"/>
  <c r="D110" i="11"/>
  <c r="C110" i="11"/>
  <c r="D109" i="11"/>
  <c r="C109" i="1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D96" i="11"/>
  <c r="C96" i="11"/>
  <c r="D95" i="11"/>
  <c r="C95" i="11"/>
  <c r="D94" i="11"/>
  <c r="C94" i="11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T79" i="11"/>
  <c r="S79" i="11"/>
  <c r="R79" i="11"/>
  <c r="Q79" i="11"/>
  <c r="P79" i="11"/>
  <c r="O79" i="11"/>
  <c r="N79" i="11"/>
  <c r="M79" i="11"/>
  <c r="L79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M73" i="11"/>
  <c r="L73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D43" i="11"/>
  <c r="C43" i="11"/>
  <c r="T42" i="11"/>
  <c r="S42" i="11"/>
  <c r="R42" i="11"/>
  <c r="Q42" i="11"/>
  <c r="P42" i="11"/>
  <c r="O42" i="11"/>
  <c r="N42" i="11"/>
  <c r="M42" i="11"/>
  <c r="L42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T29" i="11"/>
  <c r="S29" i="11"/>
  <c r="R29" i="11"/>
  <c r="Q29" i="11"/>
  <c r="P29" i="11"/>
  <c r="O29" i="11"/>
  <c r="N29" i="11"/>
  <c r="M29" i="11"/>
  <c r="L29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T15" i="11"/>
  <c r="S15" i="11"/>
  <c r="R15" i="11"/>
  <c r="Q15" i="11"/>
  <c r="P15" i="11"/>
  <c r="O15" i="11"/>
  <c r="N15" i="11"/>
  <c r="M15" i="11"/>
  <c r="L15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R42" i="9"/>
  <c r="P79" i="10"/>
  <c r="Q79" i="10"/>
  <c r="S79" i="10"/>
  <c r="T79" i="10"/>
  <c r="L72" i="10"/>
  <c r="T325" i="10"/>
  <c r="S325" i="10"/>
  <c r="R325" i="10"/>
  <c r="Q325" i="10"/>
  <c r="P325" i="10"/>
  <c r="O325" i="10"/>
  <c r="N325" i="10"/>
  <c r="M325" i="10"/>
  <c r="L325" i="10"/>
  <c r="S325" i="6"/>
  <c r="R325" i="6"/>
  <c r="Q325" i="6"/>
  <c r="P325" i="6"/>
  <c r="O325" i="6"/>
  <c r="N325" i="6"/>
  <c r="M325" i="6"/>
  <c r="L325" i="6"/>
  <c r="K325" i="6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4" i="10"/>
  <c r="D326" i="10"/>
  <c r="C326" i="10"/>
  <c r="D325" i="10"/>
  <c r="C325" i="10"/>
  <c r="D324" i="10"/>
  <c r="C324" i="10"/>
  <c r="D323" i="10"/>
  <c r="C323" i="10"/>
  <c r="D322" i="10"/>
  <c r="C322" i="10"/>
  <c r="D321" i="10"/>
  <c r="C321" i="10"/>
  <c r="D320" i="10"/>
  <c r="C320" i="10"/>
  <c r="D319" i="10"/>
  <c r="C319" i="10"/>
  <c r="D318" i="10"/>
  <c r="C318" i="10"/>
  <c r="D317" i="10"/>
  <c r="C317" i="10"/>
  <c r="D316" i="10"/>
  <c r="C316" i="10"/>
  <c r="D315" i="10"/>
  <c r="C315" i="10"/>
  <c r="D314" i="10"/>
  <c r="C314" i="10"/>
  <c r="D313" i="10"/>
  <c r="C313" i="10"/>
  <c r="D312" i="10"/>
  <c r="C312" i="10"/>
  <c r="D311" i="10"/>
  <c r="C311" i="10"/>
  <c r="D310" i="10"/>
  <c r="C310" i="10"/>
  <c r="D309" i="10"/>
  <c r="C309" i="10"/>
  <c r="D308" i="10"/>
  <c r="C308" i="10"/>
  <c r="D307" i="10"/>
  <c r="C307" i="10"/>
  <c r="D306" i="10"/>
  <c r="C306" i="10"/>
  <c r="D305" i="10"/>
  <c r="C305" i="10"/>
  <c r="D304" i="10"/>
  <c r="C304" i="10"/>
  <c r="D303" i="10"/>
  <c r="C303" i="10"/>
  <c r="D302" i="10"/>
  <c r="C302" i="10"/>
  <c r="D301" i="10"/>
  <c r="C301" i="10"/>
  <c r="D300" i="10"/>
  <c r="C300" i="10"/>
  <c r="D299" i="10"/>
  <c r="C299" i="10"/>
  <c r="D298" i="10"/>
  <c r="C298" i="10"/>
  <c r="D297" i="10"/>
  <c r="C297" i="10"/>
  <c r="D296" i="10"/>
  <c r="C296" i="10"/>
  <c r="D295" i="10"/>
  <c r="C295" i="10"/>
  <c r="D294" i="10"/>
  <c r="C294" i="10"/>
  <c r="D293" i="10"/>
  <c r="C293" i="10"/>
  <c r="D292" i="10"/>
  <c r="C292" i="10"/>
  <c r="D291" i="10"/>
  <c r="C291" i="10"/>
  <c r="D290" i="10"/>
  <c r="C290" i="10"/>
  <c r="D289" i="10"/>
  <c r="C289" i="10"/>
  <c r="D288" i="10"/>
  <c r="C288" i="10"/>
  <c r="D287" i="10"/>
  <c r="C287" i="10"/>
  <c r="D286" i="10"/>
  <c r="C286" i="10"/>
  <c r="D285" i="10"/>
  <c r="C285" i="10"/>
  <c r="D284" i="10"/>
  <c r="C284" i="10"/>
  <c r="D283" i="10"/>
  <c r="C283" i="10"/>
  <c r="D282" i="10"/>
  <c r="C282" i="10"/>
  <c r="D281" i="10"/>
  <c r="C281" i="10"/>
  <c r="D280" i="10"/>
  <c r="C280" i="10"/>
  <c r="D279" i="10"/>
  <c r="C279" i="10"/>
  <c r="D278" i="10"/>
  <c r="C278" i="10"/>
  <c r="D277" i="10"/>
  <c r="C277" i="10"/>
  <c r="D276" i="10"/>
  <c r="C276" i="10"/>
  <c r="D275" i="10"/>
  <c r="C275" i="10"/>
  <c r="D274" i="10"/>
  <c r="C274" i="10"/>
  <c r="D273" i="10"/>
  <c r="C273" i="10"/>
  <c r="D272" i="10"/>
  <c r="C272" i="10"/>
  <c r="D271" i="10"/>
  <c r="C271" i="10"/>
  <c r="D270" i="10"/>
  <c r="C270" i="10"/>
  <c r="D269" i="10"/>
  <c r="C269" i="10"/>
  <c r="D268" i="10"/>
  <c r="C268" i="10"/>
  <c r="J267" i="10"/>
  <c r="J268" i="10" s="1"/>
  <c r="J269" i="10" s="1"/>
  <c r="J270" i="10" s="1"/>
  <c r="J271" i="10" s="1"/>
  <c r="J272" i="10" s="1"/>
  <c r="J273" i="10" s="1"/>
  <c r="J274" i="10" s="1"/>
  <c r="J275" i="10" s="1"/>
  <c r="J276" i="10" s="1"/>
  <c r="J277" i="10" s="1"/>
  <c r="J278" i="10" s="1"/>
  <c r="J279" i="10" s="1"/>
  <c r="J280" i="10" s="1"/>
  <c r="J281" i="10" s="1"/>
  <c r="J282" i="10" s="1"/>
  <c r="J283" i="10" s="1"/>
  <c r="J284" i="10" s="1"/>
  <c r="J285" i="10" s="1"/>
  <c r="J286" i="10" s="1"/>
  <c r="J287" i="10" s="1"/>
  <c r="J288" i="10" s="1"/>
  <c r="J289" i="10" s="1"/>
  <c r="J290" i="10" s="1"/>
  <c r="J291" i="10" s="1"/>
  <c r="J292" i="10" s="1"/>
  <c r="J293" i="10" s="1"/>
  <c r="J294" i="10" s="1"/>
  <c r="J295" i="10" s="1"/>
  <c r="J296" i="10" s="1"/>
  <c r="J297" i="10" s="1"/>
  <c r="J298" i="10" s="1"/>
  <c r="J299" i="10" s="1"/>
  <c r="J300" i="10" s="1"/>
  <c r="J301" i="10" s="1"/>
  <c r="J302" i="10" s="1"/>
  <c r="J303" i="10" s="1"/>
  <c r="J304" i="10" s="1"/>
  <c r="J305" i="10" s="1"/>
  <c r="J306" i="10" s="1"/>
  <c r="J307" i="10" s="1"/>
  <c r="J308" i="10" s="1"/>
  <c r="J309" i="10" s="1"/>
  <c r="J310" i="10" s="1"/>
  <c r="J311" i="10" s="1"/>
  <c r="J312" i="10" s="1"/>
  <c r="J313" i="10" s="1"/>
  <c r="J314" i="10" s="1"/>
  <c r="J315" i="10" s="1"/>
  <c r="J316" i="10" s="1"/>
  <c r="J317" i="10" s="1"/>
  <c r="J318" i="10" s="1"/>
  <c r="J319" i="10" s="1"/>
  <c r="J320" i="10" s="1"/>
  <c r="J321" i="10" s="1"/>
  <c r="J322" i="10" s="1"/>
  <c r="J323" i="10" s="1"/>
  <c r="J324" i="10" s="1"/>
  <c r="J325" i="10" s="1"/>
  <c r="J326" i="10" s="1"/>
  <c r="D267" i="10"/>
  <c r="C267" i="10"/>
  <c r="D266" i="10"/>
  <c r="C266" i="10"/>
  <c r="D265" i="10"/>
  <c r="C265" i="10"/>
  <c r="D264" i="10"/>
  <c r="C264" i="10"/>
  <c r="D263" i="10"/>
  <c r="C263" i="10"/>
  <c r="D262" i="10"/>
  <c r="C262" i="10"/>
  <c r="D261" i="10"/>
  <c r="C261" i="10"/>
  <c r="D260" i="10"/>
  <c r="C260" i="10"/>
  <c r="D259" i="10"/>
  <c r="C259" i="10"/>
  <c r="D258" i="10"/>
  <c r="C258" i="10"/>
  <c r="D257" i="10"/>
  <c r="C257" i="10"/>
  <c r="D256" i="10"/>
  <c r="C256" i="10"/>
  <c r="D255" i="10"/>
  <c r="C255" i="10"/>
  <c r="D254" i="10"/>
  <c r="C254" i="10"/>
  <c r="D253" i="10"/>
  <c r="C253" i="10"/>
  <c r="D252" i="10"/>
  <c r="C252" i="10"/>
  <c r="D251" i="10"/>
  <c r="C251" i="10"/>
  <c r="D250" i="10"/>
  <c r="C250" i="10"/>
  <c r="D249" i="10"/>
  <c r="C249" i="10"/>
  <c r="D248" i="10"/>
  <c r="C248" i="10"/>
  <c r="D247" i="10"/>
  <c r="C247" i="10"/>
  <c r="D246" i="10"/>
  <c r="C246" i="10"/>
  <c r="D245" i="10"/>
  <c r="C245" i="10"/>
  <c r="D244" i="10"/>
  <c r="C244" i="10"/>
  <c r="D243" i="10"/>
  <c r="C243" i="10"/>
  <c r="D242" i="10"/>
  <c r="C242" i="10"/>
  <c r="D241" i="10"/>
  <c r="C241" i="10"/>
  <c r="D240" i="10"/>
  <c r="C240" i="10"/>
  <c r="D239" i="10"/>
  <c r="C239" i="10"/>
  <c r="D238" i="10"/>
  <c r="C238" i="10"/>
  <c r="D237" i="10"/>
  <c r="C237" i="10"/>
  <c r="D236" i="10"/>
  <c r="C236" i="10"/>
  <c r="D235" i="10"/>
  <c r="C235" i="10"/>
  <c r="D234" i="10"/>
  <c r="C234" i="10"/>
  <c r="D233" i="10"/>
  <c r="C233" i="10"/>
  <c r="I232" i="10"/>
  <c r="I233" i="10" s="1"/>
  <c r="I234" i="10" s="1"/>
  <c r="I235" i="10" s="1"/>
  <c r="I236" i="10" s="1"/>
  <c r="I237" i="10" s="1"/>
  <c r="I238" i="10" s="1"/>
  <c r="I239" i="10" s="1"/>
  <c r="I240" i="10" s="1"/>
  <c r="I241" i="10" s="1"/>
  <c r="I242" i="10" s="1"/>
  <c r="I243" i="10" s="1"/>
  <c r="I244" i="10" s="1"/>
  <c r="I245" i="10" s="1"/>
  <c r="I246" i="10" s="1"/>
  <c r="I247" i="10" s="1"/>
  <c r="I248" i="10" s="1"/>
  <c r="I249" i="10" s="1"/>
  <c r="I250" i="10" s="1"/>
  <c r="I251" i="10" s="1"/>
  <c r="I252" i="10" s="1"/>
  <c r="I253" i="10" s="1"/>
  <c r="I254" i="10" s="1"/>
  <c r="I255" i="10" s="1"/>
  <c r="I256" i="10" s="1"/>
  <c r="I257" i="10" s="1"/>
  <c r="I258" i="10" s="1"/>
  <c r="I259" i="10" s="1"/>
  <c r="I260" i="10" s="1"/>
  <c r="I261" i="10" s="1"/>
  <c r="I262" i="10" s="1"/>
  <c r="I263" i="10" s="1"/>
  <c r="D232" i="10"/>
  <c r="C232" i="10"/>
  <c r="D231" i="10"/>
  <c r="C231" i="10"/>
  <c r="D230" i="10"/>
  <c r="C230" i="10"/>
  <c r="D229" i="10"/>
  <c r="C229" i="10"/>
  <c r="D228" i="10"/>
  <c r="C228" i="10"/>
  <c r="D227" i="10"/>
  <c r="C227" i="10"/>
  <c r="D226" i="10"/>
  <c r="C226" i="10"/>
  <c r="D225" i="10"/>
  <c r="C225" i="10"/>
  <c r="D224" i="10"/>
  <c r="C224" i="10"/>
  <c r="D223" i="10"/>
  <c r="C223" i="10"/>
  <c r="D222" i="10"/>
  <c r="C222" i="10"/>
  <c r="D221" i="10"/>
  <c r="C221" i="10"/>
  <c r="D220" i="10"/>
  <c r="C220" i="10"/>
  <c r="D219" i="10"/>
  <c r="C219" i="10"/>
  <c r="D218" i="10"/>
  <c r="C218" i="10"/>
  <c r="D217" i="10"/>
  <c r="C217" i="10"/>
  <c r="D216" i="10"/>
  <c r="C216" i="10"/>
  <c r="D215" i="10"/>
  <c r="C215" i="10"/>
  <c r="D214" i="10"/>
  <c r="C214" i="10"/>
  <c r="D213" i="10"/>
  <c r="C213" i="10"/>
  <c r="D212" i="10"/>
  <c r="C212" i="10"/>
  <c r="D211" i="10"/>
  <c r="C211" i="10"/>
  <c r="D210" i="10"/>
  <c r="C210" i="10"/>
  <c r="D209" i="10"/>
  <c r="C209" i="10"/>
  <c r="T208" i="10"/>
  <c r="S208" i="10"/>
  <c r="R208" i="10"/>
  <c r="Q208" i="10"/>
  <c r="P208" i="10"/>
  <c r="O208" i="10"/>
  <c r="N208" i="10"/>
  <c r="M208" i="10"/>
  <c r="L208" i="10"/>
  <c r="D208" i="10"/>
  <c r="C208" i="10"/>
  <c r="D207" i="10"/>
  <c r="C207" i="10"/>
  <c r="D206" i="10"/>
  <c r="C206" i="10"/>
  <c r="D205" i="10"/>
  <c r="C205" i="10"/>
  <c r="D204" i="10"/>
  <c r="C204" i="10"/>
  <c r="D203" i="10"/>
  <c r="C203" i="10"/>
  <c r="D202" i="10"/>
  <c r="C202" i="10"/>
  <c r="D201" i="10"/>
  <c r="C201" i="10"/>
  <c r="D200" i="10"/>
  <c r="C200" i="10"/>
  <c r="D199" i="10"/>
  <c r="C199" i="10"/>
  <c r="D198" i="10"/>
  <c r="C198" i="10"/>
  <c r="D197" i="10"/>
  <c r="C197" i="10"/>
  <c r="D196" i="10"/>
  <c r="C196" i="10"/>
  <c r="K195" i="10"/>
  <c r="K196" i="10" s="1"/>
  <c r="K197" i="10" s="1"/>
  <c r="K198" i="10" s="1"/>
  <c r="K199" i="10" s="1"/>
  <c r="K200" i="10" s="1"/>
  <c r="K201" i="10" s="1"/>
  <c r="K202" i="10" s="1"/>
  <c r="K203" i="10" s="1"/>
  <c r="K204" i="10" s="1"/>
  <c r="K205" i="10" s="1"/>
  <c r="K206" i="10" s="1"/>
  <c r="K207" i="10" s="1"/>
  <c r="K208" i="10" s="1"/>
  <c r="K209" i="10" s="1"/>
  <c r="K210" i="10" s="1"/>
  <c r="K211" i="10" s="1"/>
  <c r="K212" i="10" s="1"/>
  <c r="K213" i="10" s="1"/>
  <c r="K214" i="10" s="1"/>
  <c r="K215" i="10" s="1"/>
  <c r="K216" i="10" s="1"/>
  <c r="K217" i="10" s="1"/>
  <c r="K218" i="10" s="1"/>
  <c r="K219" i="10" s="1"/>
  <c r="K220" i="10" s="1"/>
  <c r="K221" i="10" s="1"/>
  <c r="K222" i="10" s="1"/>
  <c r="K223" i="10" s="1"/>
  <c r="K224" i="10" s="1"/>
  <c r="K225" i="10" s="1"/>
  <c r="K226" i="10" s="1"/>
  <c r="K227" i="10" s="1"/>
  <c r="K228" i="10" s="1"/>
  <c r="K229" i="10" s="1"/>
  <c r="K230" i="10" s="1"/>
  <c r="K231" i="10" s="1"/>
  <c r="K232" i="10" s="1"/>
  <c r="K233" i="10" s="1"/>
  <c r="K234" i="10" s="1"/>
  <c r="K235" i="10" s="1"/>
  <c r="K236" i="10" s="1"/>
  <c r="K237" i="10" s="1"/>
  <c r="K238" i="10" s="1"/>
  <c r="K239" i="10" s="1"/>
  <c r="K240" i="10" s="1"/>
  <c r="K241" i="10" s="1"/>
  <c r="K242" i="10" s="1"/>
  <c r="K243" i="10" s="1"/>
  <c r="K244" i="10" s="1"/>
  <c r="K245" i="10" s="1"/>
  <c r="K246" i="10" s="1"/>
  <c r="K247" i="10" s="1"/>
  <c r="K248" i="10" s="1"/>
  <c r="K249" i="10" s="1"/>
  <c r="K250" i="10" s="1"/>
  <c r="K251" i="10" s="1"/>
  <c r="K252" i="10" s="1"/>
  <c r="K253" i="10" s="1"/>
  <c r="K254" i="10" s="1"/>
  <c r="K255" i="10" s="1"/>
  <c r="K256" i="10" s="1"/>
  <c r="K257" i="10" s="1"/>
  <c r="K258" i="10" s="1"/>
  <c r="K259" i="10" s="1"/>
  <c r="K260" i="10" s="1"/>
  <c r="K261" i="10" s="1"/>
  <c r="K262" i="10" s="1"/>
  <c r="K263" i="10" s="1"/>
  <c r="K264" i="10" s="1"/>
  <c r="K265" i="10" s="1"/>
  <c r="K266" i="10" s="1"/>
  <c r="D195" i="10"/>
  <c r="C195" i="10"/>
  <c r="D194" i="10"/>
  <c r="C194" i="10"/>
  <c r="D193" i="10"/>
  <c r="C193" i="10"/>
  <c r="D192" i="10"/>
  <c r="C192" i="10"/>
  <c r="D191" i="10"/>
  <c r="C191" i="10"/>
  <c r="D190" i="10"/>
  <c r="C190" i="10"/>
  <c r="D189" i="10"/>
  <c r="C189" i="10"/>
  <c r="D188" i="10"/>
  <c r="C188" i="10"/>
  <c r="D187" i="10"/>
  <c r="C187" i="10"/>
  <c r="D186" i="10"/>
  <c r="C186" i="10"/>
  <c r="D185" i="10"/>
  <c r="C185" i="10"/>
  <c r="D184" i="10"/>
  <c r="C184" i="10"/>
  <c r="D183" i="10"/>
  <c r="C183" i="10"/>
  <c r="D182" i="10"/>
  <c r="C182" i="10"/>
  <c r="D181" i="10"/>
  <c r="C181" i="10"/>
  <c r="D180" i="10"/>
  <c r="C180" i="10"/>
  <c r="D179" i="10"/>
  <c r="C179" i="10"/>
  <c r="D178" i="10"/>
  <c r="C178" i="10"/>
  <c r="D177" i="10"/>
  <c r="C177" i="10"/>
  <c r="D176" i="10"/>
  <c r="C176" i="10"/>
  <c r="D175" i="10"/>
  <c r="C175" i="10"/>
  <c r="D174" i="10"/>
  <c r="C174" i="10"/>
  <c r="D173" i="10"/>
  <c r="C173" i="10"/>
  <c r="D172" i="10"/>
  <c r="C172" i="10"/>
  <c r="D171" i="10"/>
  <c r="C171" i="10"/>
  <c r="D170" i="10"/>
  <c r="C170" i="10"/>
  <c r="D169" i="10"/>
  <c r="C169" i="10"/>
  <c r="D168" i="10"/>
  <c r="C168" i="10"/>
  <c r="D167" i="10"/>
  <c r="C167" i="10"/>
  <c r="D166" i="10"/>
  <c r="C166" i="10"/>
  <c r="D165" i="10"/>
  <c r="C165" i="10"/>
  <c r="D164" i="10"/>
  <c r="C164" i="10"/>
  <c r="D163" i="10"/>
  <c r="C163" i="10"/>
  <c r="D162" i="10"/>
  <c r="C162" i="10"/>
  <c r="D161" i="10"/>
  <c r="C161" i="10"/>
  <c r="D160" i="10"/>
  <c r="C160" i="10"/>
  <c r="D159" i="10"/>
  <c r="C159" i="10"/>
  <c r="D158" i="10"/>
  <c r="C158" i="10"/>
  <c r="D157" i="10"/>
  <c r="C157" i="10"/>
  <c r="D156" i="10"/>
  <c r="C156" i="10"/>
  <c r="D155" i="10"/>
  <c r="C155" i="10"/>
  <c r="D154" i="10"/>
  <c r="C154" i="10"/>
  <c r="D153" i="10"/>
  <c r="C153" i="10"/>
  <c r="D152" i="10"/>
  <c r="C152" i="10"/>
  <c r="D151" i="10"/>
  <c r="C151" i="10"/>
  <c r="D150" i="10"/>
  <c r="C150" i="10"/>
  <c r="D149" i="10"/>
  <c r="C149" i="10"/>
  <c r="D148" i="10"/>
  <c r="C148" i="10"/>
  <c r="D147" i="10"/>
  <c r="C147" i="10"/>
  <c r="D146" i="10"/>
  <c r="C146" i="10"/>
  <c r="D145" i="10"/>
  <c r="C145" i="10"/>
  <c r="D144" i="10"/>
  <c r="C144" i="10"/>
  <c r="D143" i="10"/>
  <c r="C143" i="10"/>
  <c r="D142" i="10"/>
  <c r="C142" i="10"/>
  <c r="D141" i="10"/>
  <c r="C141" i="10"/>
  <c r="D140" i="10"/>
  <c r="C140" i="10"/>
  <c r="D139" i="10"/>
  <c r="C139" i="10"/>
  <c r="D138" i="10"/>
  <c r="C138" i="10"/>
  <c r="D137" i="10"/>
  <c r="C137" i="10"/>
  <c r="D136" i="10"/>
  <c r="C136" i="10"/>
  <c r="D135" i="10"/>
  <c r="C135" i="10"/>
  <c r="D134" i="10"/>
  <c r="C134" i="10"/>
  <c r="D133" i="10"/>
  <c r="C133" i="10"/>
  <c r="D132" i="10"/>
  <c r="C132" i="10"/>
  <c r="D131" i="10"/>
  <c r="C131" i="10"/>
  <c r="D130" i="10"/>
  <c r="C130" i="10"/>
  <c r="D129" i="10"/>
  <c r="C129" i="10"/>
  <c r="D128" i="10"/>
  <c r="C128" i="10"/>
  <c r="D127" i="10"/>
  <c r="C127" i="10"/>
  <c r="D126" i="10"/>
  <c r="C126" i="10"/>
  <c r="D125" i="10"/>
  <c r="C125" i="10"/>
  <c r="D124" i="10"/>
  <c r="C124" i="10"/>
  <c r="D123" i="10"/>
  <c r="C123" i="10"/>
  <c r="D122" i="10"/>
  <c r="C122" i="10"/>
  <c r="D121" i="10"/>
  <c r="C121" i="10"/>
  <c r="D120" i="10"/>
  <c r="C120" i="10"/>
  <c r="D119" i="10"/>
  <c r="C119" i="10"/>
  <c r="D118" i="10"/>
  <c r="C118" i="10"/>
  <c r="D117" i="10"/>
  <c r="C117" i="10"/>
  <c r="D116" i="10"/>
  <c r="C116" i="10"/>
  <c r="D115" i="10"/>
  <c r="C115" i="10"/>
  <c r="D114" i="10"/>
  <c r="C114" i="10"/>
  <c r="D113" i="10"/>
  <c r="C113" i="10"/>
  <c r="D112" i="10"/>
  <c r="C112" i="10"/>
  <c r="D111" i="10"/>
  <c r="C111" i="10"/>
  <c r="D110" i="10"/>
  <c r="C110" i="10"/>
  <c r="D109" i="10"/>
  <c r="C109" i="10"/>
  <c r="D108" i="10"/>
  <c r="C108" i="10"/>
  <c r="D107" i="10"/>
  <c r="C107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T89" i="10"/>
  <c r="S89" i="10"/>
  <c r="R89" i="10"/>
  <c r="Q89" i="10"/>
  <c r="P89" i="10"/>
  <c r="O89" i="10"/>
  <c r="N89" i="10"/>
  <c r="M89" i="10"/>
  <c r="L89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N82" i="10"/>
  <c r="M82" i="10"/>
  <c r="L82" i="10"/>
  <c r="D82" i="10"/>
  <c r="C82" i="10"/>
  <c r="D81" i="10"/>
  <c r="C81" i="10"/>
  <c r="D80" i="10"/>
  <c r="C80" i="10"/>
  <c r="O79" i="10"/>
  <c r="N79" i="10"/>
  <c r="M79" i="10"/>
  <c r="L79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T42" i="10"/>
  <c r="S42" i="10"/>
  <c r="R42" i="10"/>
  <c r="Q42" i="10"/>
  <c r="P42" i="10"/>
  <c r="O42" i="10"/>
  <c r="N42" i="10"/>
  <c r="M42" i="10"/>
  <c r="L42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S30" i="10"/>
  <c r="R30" i="10"/>
  <c r="Q30" i="10"/>
  <c r="P30" i="10"/>
  <c r="O30" i="10"/>
  <c r="N30" i="10"/>
  <c r="M30" i="10"/>
  <c r="L30" i="10"/>
  <c r="D30" i="10"/>
  <c r="C30" i="10"/>
  <c r="T29" i="10"/>
  <c r="S29" i="10"/>
  <c r="R29" i="10"/>
  <c r="Q29" i="10"/>
  <c r="P29" i="10"/>
  <c r="O29" i="10"/>
  <c r="N29" i="10"/>
  <c r="M29" i="10"/>
  <c r="L29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S17" i="10"/>
  <c r="R17" i="10"/>
  <c r="Q17" i="10"/>
  <c r="P17" i="10"/>
  <c r="O17" i="10"/>
  <c r="N17" i="10"/>
  <c r="M17" i="10"/>
  <c r="L17" i="10"/>
  <c r="D17" i="10"/>
  <c r="C17" i="10"/>
  <c r="T16" i="10"/>
  <c r="D16" i="10"/>
  <c r="C16" i="10"/>
  <c r="T15" i="10"/>
  <c r="S15" i="10"/>
  <c r="R15" i="10"/>
  <c r="Q15" i="10"/>
  <c r="P15" i="10"/>
  <c r="O15" i="10"/>
  <c r="N15" i="10"/>
  <c r="M15" i="10"/>
  <c r="L15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T2" i="1"/>
  <c r="T2" i="7"/>
  <c r="T2" i="8"/>
  <c r="U2" i="9"/>
  <c r="I249" i="12" l="1"/>
  <c r="I264" i="11"/>
  <c r="I264" i="10"/>
  <c r="T15" i="9"/>
  <c r="Q15" i="9"/>
  <c r="T16" i="9"/>
  <c r="M17" i="9"/>
  <c r="N17" i="9"/>
  <c r="O17" i="9"/>
  <c r="P17" i="9"/>
  <c r="Q17" i="9"/>
  <c r="R17" i="9"/>
  <c r="S17" i="9"/>
  <c r="L17" i="9"/>
  <c r="S15" i="9"/>
  <c r="R15" i="9"/>
  <c r="P15" i="9"/>
  <c r="O15" i="9"/>
  <c r="N15" i="9"/>
  <c r="M15" i="9"/>
  <c r="L15" i="9"/>
  <c r="S29" i="9"/>
  <c r="R29" i="9"/>
  <c r="T29" i="9"/>
  <c r="S30" i="9"/>
  <c r="R30" i="9"/>
  <c r="Q30" i="9"/>
  <c r="P30" i="9"/>
  <c r="O30" i="9"/>
  <c r="N30" i="9"/>
  <c r="M30" i="9"/>
  <c r="L30" i="9"/>
  <c r="Q29" i="9"/>
  <c r="P29" i="9"/>
  <c r="O29" i="9"/>
  <c r="N29" i="9"/>
  <c r="M29" i="9"/>
  <c r="L29" i="9"/>
  <c r="T42" i="9"/>
  <c r="S42" i="9"/>
  <c r="Q42" i="9"/>
  <c r="P42" i="9"/>
  <c r="O42" i="9"/>
  <c r="N42" i="9"/>
  <c r="M42" i="9"/>
  <c r="L42" i="9"/>
  <c r="R78" i="9"/>
  <c r="Q79" i="9"/>
  <c r="P70" i="9"/>
  <c r="P80" i="9"/>
  <c r="P79" i="9"/>
  <c r="O81" i="9"/>
  <c r="O71" i="9"/>
  <c r="O79" i="9"/>
  <c r="N82" i="9"/>
  <c r="N65" i="9"/>
  <c r="N72" i="9"/>
  <c r="N79" i="9"/>
  <c r="O89" i="9"/>
  <c r="M66" i="9"/>
  <c r="M73" i="9"/>
  <c r="M82" i="9"/>
  <c r="L68" i="9"/>
  <c r="L73" i="9"/>
  <c r="L74" i="9"/>
  <c r="L82" i="9"/>
  <c r="M79" i="9"/>
  <c r="L79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4" i="9"/>
  <c r="D326" i="9"/>
  <c r="C326" i="9"/>
  <c r="D325" i="9"/>
  <c r="C325" i="9"/>
  <c r="D324" i="9"/>
  <c r="C324" i="9"/>
  <c r="D323" i="9"/>
  <c r="C323" i="9"/>
  <c r="D322" i="9"/>
  <c r="C322" i="9"/>
  <c r="D321" i="9"/>
  <c r="C321" i="9"/>
  <c r="D320" i="9"/>
  <c r="C320" i="9"/>
  <c r="D319" i="9"/>
  <c r="C319" i="9"/>
  <c r="D318" i="9"/>
  <c r="C318" i="9"/>
  <c r="D317" i="9"/>
  <c r="C317" i="9"/>
  <c r="D316" i="9"/>
  <c r="C316" i="9"/>
  <c r="D315" i="9"/>
  <c r="C315" i="9"/>
  <c r="D314" i="9"/>
  <c r="C314" i="9"/>
  <c r="D313" i="9"/>
  <c r="C313" i="9"/>
  <c r="D312" i="9"/>
  <c r="C312" i="9"/>
  <c r="D311" i="9"/>
  <c r="C311" i="9"/>
  <c r="D310" i="9"/>
  <c r="C310" i="9"/>
  <c r="D309" i="9"/>
  <c r="C309" i="9"/>
  <c r="D308" i="9"/>
  <c r="C308" i="9"/>
  <c r="D307" i="9"/>
  <c r="C307" i="9"/>
  <c r="D306" i="9"/>
  <c r="C306" i="9"/>
  <c r="D305" i="9"/>
  <c r="C305" i="9"/>
  <c r="D304" i="9"/>
  <c r="C304" i="9"/>
  <c r="D303" i="9"/>
  <c r="C303" i="9"/>
  <c r="D302" i="9"/>
  <c r="C302" i="9"/>
  <c r="D301" i="9"/>
  <c r="C301" i="9"/>
  <c r="D300" i="9"/>
  <c r="C300" i="9"/>
  <c r="D299" i="9"/>
  <c r="C299" i="9"/>
  <c r="D298" i="9"/>
  <c r="C298" i="9"/>
  <c r="D297" i="9"/>
  <c r="C297" i="9"/>
  <c r="D296" i="9"/>
  <c r="C296" i="9"/>
  <c r="D295" i="9"/>
  <c r="C295" i="9"/>
  <c r="D294" i="9"/>
  <c r="C294" i="9"/>
  <c r="D293" i="9"/>
  <c r="C293" i="9"/>
  <c r="D292" i="9"/>
  <c r="C292" i="9"/>
  <c r="D291" i="9"/>
  <c r="C291" i="9"/>
  <c r="D290" i="9"/>
  <c r="C290" i="9"/>
  <c r="D289" i="9"/>
  <c r="C289" i="9"/>
  <c r="D288" i="9"/>
  <c r="C288" i="9"/>
  <c r="D287" i="9"/>
  <c r="C287" i="9"/>
  <c r="D286" i="9"/>
  <c r="C286" i="9"/>
  <c r="D285" i="9"/>
  <c r="C285" i="9"/>
  <c r="D284" i="9"/>
  <c r="C284" i="9"/>
  <c r="D283" i="9"/>
  <c r="C283" i="9"/>
  <c r="D282" i="9"/>
  <c r="C282" i="9"/>
  <c r="D281" i="9"/>
  <c r="C281" i="9"/>
  <c r="D280" i="9"/>
  <c r="C280" i="9"/>
  <c r="D279" i="9"/>
  <c r="C279" i="9"/>
  <c r="D278" i="9"/>
  <c r="C278" i="9"/>
  <c r="D277" i="9"/>
  <c r="C277" i="9"/>
  <c r="D276" i="9"/>
  <c r="C276" i="9"/>
  <c r="D275" i="9"/>
  <c r="C275" i="9"/>
  <c r="D274" i="9"/>
  <c r="C274" i="9"/>
  <c r="D273" i="9"/>
  <c r="C273" i="9"/>
  <c r="D272" i="9"/>
  <c r="C272" i="9"/>
  <c r="D271" i="9"/>
  <c r="C271" i="9"/>
  <c r="D270" i="9"/>
  <c r="C270" i="9"/>
  <c r="D269" i="9"/>
  <c r="C269" i="9"/>
  <c r="J268" i="9"/>
  <c r="J269" i="9" s="1"/>
  <c r="J270" i="9" s="1"/>
  <c r="J271" i="9" s="1"/>
  <c r="J272" i="9" s="1"/>
  <c r="J273" i="9" s="1"/>
  <c r="J274" i="9" s="1"/>
  <c r="J275" i="9" s="1"/>
  <c r="J276" i="9" s="1"/>
  <c r="J277" i="9" s="1"/>
  <c r="J278" i="9" s="1"/>
  <c r="J279" i="9" s="1"/>
  <c r="J280" i="9" s="1"/>
  <c r="J281" i="9" s="1"/>
  <c r="J282" i="9" s="1"/>
  <c r="J283" i="9" s="1"/>
  <c r="J284" i="9" s="1"/>
  <c r="J285" i="9" s="1"/>
  <c r="J286" i="9" s="1"/>
  <c r="J287" i="9" s="1"/>
  <c r="J288" i="9" s="1"/>
  <c r="J289" i="9" s="1"/>
  <c r="J290" i="9" s="1"/>
  <c r="J291" i="9" s="1"/>
  <c r="J292" i="9" s="1"/>
  <c r="J293" i="9" s="1"/>
  <c r="J294" i="9" s="1"/>
  <c r="J295" i="9" s="1"/>
  <c r="J296" i="9" s="1"/>
  <c r="J297" i="9" s="1"/>
  <c r="J298" i="9" s="1"/>
  <c r="J299" i="9" s="1"/>
  <c r="J300" i="9" s="1"/>
  <c r="J301" i="9" s="1"/>
  <c r="J302" i="9" s="1"/>
  <c r="J303" i="9" s="1"/>
  <c r="J304" i="9" s="1"/>
  <c r="J305" i="9" s="1"/>
  <c r="J306" i="9" s="1"/>
  <c r="J307" i="9" s="1"/>
  <c r="J308" i="9" s="1"/>
  <c r="J309" i="9" s="1"/>
  <c r="J310" i="9" s="1"/>
  <c r="J311" i="9" s="1"/>
  <c r="J312" i="9" s="1"/>
  <c r="J313" i="9" s="1"/>
  <c r="J314" i="9" s="1"/>
  <c r="J315" i="9" s="1"/>
  <c r="J316" i="9" s="1"/>
  <c r="J317" i="9" s="1"/>
  <c r="J318" i="9" s="1"/>
  <c r="J319" i="9" s="1"/>
  <c r="J320" i="9" s="1"/>
  <c r="J321" i="9" s="1"/>
  <c r="J322" i="9" s="1"/>
  <c r="J323" i="9" s="1"/>
  <c r="J324" i="9" s="1"/>
  <c r="J325" i="9" s="1"/>
  <c r="J326" i="9" s="1"/>
  <c r="D268" i="9"/>
  <c r="C268" i="9"/>
  <c r="J267" i="9"/>
  <c r="D267" i="9"/>
  <c r="C267" i="9"/>
  <c r="D266" i="9"/>
  <c r="C266" i="9"/>
  <c r="D265" i="9"/>
  <c r="C265" i="9"/>
  <c r="D264" i="9"/>
  <c r="C264" i="9"/>
  <c r="D263" i="9"/>
  <c r="C263" i="9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K232" i="9"/>
  <c r="K233" i="9" s="1"/>
  <c r="K234" i="9" s="1"/>
  <c r="K235" i="9" s="1"/>
  <c r="K236" i="9" s="1"/>
  <c r="K237" i="9" s="1"/>
  <c r="K238" i="9" s="1"/>
  <c r="K239" i="9" s="1"/>
  <c r="K240" i="9" s="1"/>
  <c r="K241" i="9" s="1"/>
  <c r="K242" i="9" s="1"/>
  <c r="K243" i="9" s="1"/>
  <c r="K244" i="9" s="1"/>
  <c r="K245" i="9" s="1"/>
  <c r="K246" i="9" s="1"/>
  <c r="K247" i="9" s="1"/>
  <c r="K248" i="9" s="1"/>
  <c r="K249" i="9" s="1"/>
  <c r="K250" i="9" s="1"/>
  <c r="K251" i="9" s="1"/>
  <c r="K252" i="9" s="1"/>
  <c r="K253" i="9" s="1"/>
  <c r="K254" i="9" s="1"/>
  <c r="K255" i="9" s="1"/>
  <c r="K256" i="9" s="1"/>
  <c r="K257" i="9" s="1"/>
  <c r="K258" i="9" s="1"/>
  <c r="K259" i="9" s="1"/>
  <c r="K260" i="9" s="1"/>
  <c r="K261" i="9" s="1"/>
  <c r="K262" i="9" s="1"/>
  <c r="K263" i="9" s="1"/>
  <c r="K264" i="9" s="1"/>
  <c r="K265" i="9" s="1"/>
  <c r="K266" i="9" s="1"/>
  <c r="I232" i="9"/>
  <c r="I233" i="9" s="1"/>
  <c r="I234" i="9" s="1"/>
  <c r="I235" i="9" s="1"/>
  <c r="I236" i="9" s="1"/>
  <c r="I237" i="9" s="1"/>
  <c r="I238" i="9" s="1"/>
  <c r="I239" i="9" s="1"/>
  <c r="I240" i="9" s="1"/>
  <c r="I241" i="9" s="1"/>
  <c r="I242" i="9" s="1"/>
  <c r="I243" i="9" s="1"/>
  <c r="I244" i="9" s="1"/>
  <c r="I245" i="9" s="1"/>
  <c r="I246" i="9" s="1"/>
  <c r="I247" i="9" s="1"/>
  <c r="I248" i="9" s="1"/>
  <c r="I249" i="9" s="1"/>
  <c r="I250" i="9" s="1"/>
  <c r="I251" i="9" s="1"/>
  <c r="I252" i="9" s="1"/>
  <c r="I253" i="9" s="1"/>
  <c r="I254" i="9" s="1"/>
  <c r="I255" i="9" s="1"/>
  <c r="I256" i="9" s="1"/>
  <c r="I257" i="9" s="1"/>
  <c r="I258" i="9" s="1"/>
  <c r="I259" i="9" s="1"/>
  <c r="I260" i="9" s="1"/>
  <c r="I261" i="9" s="1"/>
  <c r="I262" i="9" s="1"/>
  <c r="I263" i="9" s="1"/>
  <c r="I264" i="9" s="1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T209" i="9"/>
  <c r="S209" i="9"/>
  <c r="R209" i="9"/>
  <c r="Q209" i="9"/>
  <c r="P209" i="9"/>
  <c r="O209" i="9"/>
  <c r="N209" i="9"/>
  <c r="M209" i="9"/>
  <c r="L209" i="9"/>
  <c r="D209" i="9"/>
  <c r="C209" i="9"/>
  <c r="T208" i="9"/>
  <c r="S208" i="9"/>
  <c r="R208" i="9"/>
  <c r="Q208" i="9"/>
  <c r="P208" i="9"/>
  <c r="O208" i="9"/>
  <c r="N208" i="9"/>
  <c r="M208" i="9"/>
  <c r="L208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K196" i="9"/>
  <c r="K197" i="9" s="1"/>
  <c r="K198" i="9" s="1"/>
  <c r="K199" i="9" s="1"/>
  <c r="K200" i="9" s="1"/>
  <c r="K201" i="9" s="1"/>
  <c r="K202" i="9" s="1"/>
  <c r="K203" i="9" s="1"/>
  <c r="K204" i="9" s="1"/>
  <c r="K205" i="9" s="1"/>
  <c r="K206" i="9" s="1"/>
  <c r="K207" i="9" s="1"/>
  <c r="K208" i="9" s="1"/>
  <c r="K209" i="9" s="1"/>
  <c r="K210" i="9" s="1"/>
  <c r="K211" i="9" s="1"/>
  <c r="K212" i="9" s="1"/>
  <c r="K213" i="9" s="1"/>
  <c r="K214" i="9" s="1"/>
  <c r="K215" i="9" s="1"/>
  <c r="K216" i="9" s="1"/>
  <c r="K217" i="9" s="1"/>
  <c r="K218" i="9" s="1"/>
  <c r="K219" i="9" s="1"/>
  <c r="K220" i="9" s="1"/>
  <c r="K221" i="9" s="1"/>
  <c r="K222" i="9" s="1"/>
  <c r="K223" i="9" s="1"/>
  <c r="K224" i="9" s="1"/>
  <c r="K225" i="9" s="1"/>
  <c r="K226" i="9" s="1"/>
  <c r="K227" i="9" s="1"/>
  <c r="K228" i="9" s="1"/>
  <c r="K229" i="9" s="1"/>
  <c r="K230" i="9" s="1"/>
  <c r="K231" i="9" s="1"/>
  <c r="D196" i="9"/>
  <c r="C196" i="9"/>
  <c r="K195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T89" i="9"/>
  <c r="S89" i="9"/>
  <c r="R89" i="9"/>
  <c r="Q89" i="9"/>
  <c r="P89" i="9"/>
  <c r="N89" i="9"/>
  <c r="M89" i="9"/>
  <c r="L89" i="9"/>
  <c r="D89" i="9"/>
  <c r="C89" i="9"/>
  <c r="D88" i="9"/>
  <c r="C88" i="9"/>
  <c r="D87" i="9"/>
  <c r="C87" i="9"/>
  <c r="D86" i="9"/>
  <c r="C86" i="9"/>
  <c r="D85" i="9"/>
  <c r="C85" i="9"/>
  <c r="L84" i="9"/>
  <c r="D84" i="9"/>
  <c r="C84" i="9"/>
  <c r="M83" i="9"/>
  <c r="D83" i="9"/>
  <c r="C83" i="9"/>
  <c r="D82" i="9"/>
  <c r="C82" i="9"/>
  <c r="D81" i="9"/>
  <c r="C81" i="9"/>
  <c r="D80" i="9"/>
  <c r="C80" i="9"/>
  <c r="D79" i="9"/>
  <c r="C79" i="9"/>
  <c r="D78" i="9"/>
  <c r="C78" i="9"/>
  <c r="S77" i="9"/>
  <c r="D77" i="9"/>
  <c r="C77" i="9"/>
  <c r="T76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Q69" i="9"/>
  <c r="D69" i="9"/>
  <c r="C69" i="9"/>
  <c r="D68" i="9"/>
  <c r="C68" i="9"/>
  <c r="D67" i="9"/>
  <c r="C67" i="9"/>
  <c r="R66" i="9"/>
  <c r="D66" i="9"/>
  <c r="C66" i="9"/>
  <c r="S65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T45" i="9"/>
  <c r="S45" i="9"/>
  <c r="R45" i="9"/>
  <c r="Q45" i="9"/>
  <c r="P45" i="9"/>
  <c r="O45" i="9"/>
  <c r="N45" i="9"/>
  <c r="M45" i="9"/>
  <c r="L45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L37" i="9"/>
  <c r="D37" i="9"/>
  <c r="C37" i="9"/>
  <c r="M36" i="9"/>
  <c r="D36" i="9"/>
  <c r="C36" i="9"/>
  <c r="N35" i="9"/>
  <c r="D35" i="9"/>
  <c r="C35" i="9"/>
  <c r="D34" i="9"/>
  <c r="C34" i="9"/>
  <c r="P33" i="9"/>
  <c r="O33" i="9"/>
  <c r="D33" i="9"/>
  <c r="C33" i="9"/>
  <c r="D32" i="9"/>
  <c r="C32" i="9"/>
  <c r="R31" i="9"/>
  <c r="Q31" i="9"/>
  <c r="L31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R18" i="9"/>
  <c r="Q18" i="9"/>
  <c r="P18" i="9"/>
  <c r="O18" i="9"/>
  <c r="N18" i="9"/>
  <c r="M18" i="9"/>
  <c r="L18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S18" i="8"/>
  <c r="S31" i="8"/>
  <c r="S32" i="8"/>
  <c r="R20" i="8"/>
  <c r="R18" i="8"/>
  <c r="R33" i="8"/>
  <c r="Q22" i="8"/>
  <c r="Q18" i="8"/>
  <c r="Q33" i="8"/>
  <c r="Q34" i="8"/>
  <c r="P18" i="8"/>
  <c r="P25" i="8"/>
  <c r="O17" i="8"/>
  <c r="P35" i="8"/>
  <c r="O26" i="8"/>
  <c r="O27" i="8"/>
  <c r="O36" i="8"/>
  <c r="N20" i="8"/>
  <c r="N10" i="8"/>
  <c r="N18" i="8"/>
  <c r="N29" i="8"/>
  <c r="N37" i="8"/>
  <c r="M11" i="8"/>
  <c r="M18" i="8"/>
  <c r="M24" i="8"/>
  <c r="M31" i="8"/>
  <c r="M38" i="8"/>
  <c r="L12" i="8"/>
  <c r="L20" i="8"/>
  <c r="L18" i="8"/>
  <c r="L26" i="8"/>
  <c r="L27" i="8"/>
  <c r="L33" i="8"/>
  <c r="L39" i="8"/>
  <c r="K13" i="8"/>
  <c r="K18" i="8"/>
  <c r="K23" i="8"/>
  <c r="K28" i="8"/>
  <c r="K34" i="8"/>
  <c r="K33" i="8"/>
  <c r="K40" i="8"/>
  <c r="K39" i="8"/>
  <c r="S45" i="8"/>
  <c r="R45" i="8"/>
  <c r="Q45" i="8"/>
  <c r="P45" i="8"/>
  <c r="O45" i="8"/>
  <c r="N45" i="8"/>
  <c r="M45" i="8"/>
  <c r="L45" i="8"/>
  <c r="K45" i="8"/>
  <c r="S76" i="8"/>
  <c r="R65" i="8"/>
  <c r="R77" i="8"/>
  <c r="Q66" i="8"/>
  <c r="Q78" i="8"/>
  <c r="P69" i="8"/>
  <c r="P79" i="8"/>
  <c r="O71" i="8"/>
  <c r="O80" i="8"/>
  <c r="N65" i="8"/>
  <c r="N73" i="8"/>
  <c r="N81" i="8"/>
  <c r="M68" i="8"/>
  <c r="M75" i="8"/>
  <c r="M82" i="8"/>
  <c r="L65" i="8"/>
  <c r="L71" i="8"/>
  <c r="L77" i="8"/>
  <c r="L83" i="8"/>
  <c r="K69" i="8"/>
  <c r="K74" i="8"/>
  <c r="K79" i="8"/>
  <c r="K84" i="8"/>
  <c r="S113" i="8"/>
  <c r="R113" i="8"/>
  <c r="Q113" i="8"/>
  <c r="P113" i="8"/>
  <c r="O113" i="8"/>
  <c r="N113" i="8"/>
  <c r="M113" i="8"/>
  <c r="L113" i="8"/>
  <c r="K113" i="8"/>
  <c r="S209" i="8"/>
  <c r="R209" i="8"/>
  <c r="Q209" i="8"/>
  <c r="P209" i="8"/>
  <c r="O209" i="8"/>
  <c r="N209" i="8"/>
  <c r="M209" i="8"/>
  <c r="L209" i="8"/>
  <c r="K209" i="8"/>
  <c r="D326" i="8"/>
  <c r="C326" i="8"/>
  <c r="D325" i="8"/>
  <c r="C325" i="8"/>
  <c r="D324" i="8"/>
  <c r="C324" i="8"/>
  <c r="D323" i="8"/>
  <c r="C323" i="8"/>
  <c r="D322" i="8"/>
  <c r="C322" i="8"/>
  <c r="D321" i="8"/>
  <c r="C321" i="8"/>
  <c r="D320" i="8"/>
  <c r="C320" i="8"/>
  <c r="D319" i="8"/>
  <c r="C319" i="8"/>
  <c r="D318" i="8"/>
  <c r="C318" i="8"/>
  <c r="D317" i="8"/>
  <c r="C317" i="8"/>
  <c r="D316" i="8"/>
  <c r="C316" i="8"/>
  <c r="D315" i="8"/>
  <c r="C315" i="8"/>
  <c r="D314" i="8"/>
  <c r="C314" i="8"/>
  <c r="D313" i="8"/>
  <c r="C313" i="8"/>
  <c r="D312" i="8"/>
  <c r="C312" i="8"/>
  <c r="D311" i="8"/>
  <c r="C311" i="8"/>
  <c r="D310" i="8"/>
  <c r="C310" i="8"/>
  <c r="D309" i="8"/>
  <c r="C309" i="8"/>
  <c r="D308" i="8"/>
  <c r="C308" i="8"/>
  <c r="D307" i="8"/>
  <c r="C307" i="8"/>
  <c r="D306" i="8"/>
  <c r="C306" i="8"/>
  <c r="D305" i="8"/>
  <c r="C305" i="8"/>
  <c r="D304" i="8"/>
  <c r="C304" i="8"/>
  <c r="D303" i="8"/>
  <c r="C303" i="8"/>
  <c r="D302" i="8"/>
  <c r="C302" i="8"/>
  <c r="D301" i="8"/>
  <c r="C301" i="8"/>
  <c r="D300" i="8"/>
  <c r="C300" i="8"/>
  <c r="D299" i="8"/>
  <c r="C299" i="8"/>
  <c r="D298" i="8"/>
  <c r="C298" i="8"/>
  <c r="D297" i="8"/>
  <c r="C297" i="8"/>
  <c r="D296" i="8"/>
  <c r="C296" i="8"/>
  <c r="D295" i="8"/>
  <c r="C295" i="8"/>
  <c r="D294" i="8"/>
  <c r="C294" i="8"/>
  <c r="D293" i="8"/>
  <c r="C293" i="8"/>
  <c r="D292" i="8"/>
  <c r="C292" i="8"/>
  <c r="D291" i="8"/>
  <c r="C291" i="8"/>
  <c r="D290" i="8"/>
  <c r="C290" i="8"/>
  <c r="D289" i="8"/>
  <c r="C289" i="8"/>
  <c r="D288" i="8"/>
  <c r="C288" i="8"/>
  <c r="D287" i="8"/>
  <c r="C287" i="8"/>
  <c r="D286" i="8"/>
  <c r="C286" i="8"/>
  <c r="D285" i="8"/>
  <c r="C285" i="8"/>
  <c r="D284" i="8"/>
  <c r="C284" i="8"/>
  <c r="D283" i="8"/>
  <c r="C283" i="8"/>
  <c r="D282" i="8"/>
  <c r="C282" i="8"/>
  <c r="D281" i="8"/>
  <c r="C281" i="8"/>
  <c r="D280" i="8"/>
  <c r="C280" i="8"/>
  <c r="D279" i="8"/>
  <c r="C279" i="8"/>
  <c r="D278" i="8"/>
  <c r="C278" i="8"/>
  <c r="D277" i="8"/>
  <c r="C277" i="8"/>
  <c r="D276" i="8"/>
  <c r="C276" i="8"/>
  <c r="D275" i="8"/>
  <c r="C275" i="8"/>
  <c r="D274" i="8"/>
  <c r="C274" i="8"/>
  <c r="D273" i="8"/>
  <c r="C273" i="8"/>
  <c r="D272" i="8"/>
  <c r="C272" i="8"/>
  <c r="D271" i="8"/>
  <c r="C271" i="8"/>
  <c r="D270" i="8"/>
  <c r="C270" i="8"/>
  <c r="D269" i="8"/>
  <c r="C269" i="8"/>
  <c r="D268" i="8"/>
  <c r="C268" i="8"/>
  <c r="I267" i="8"/>
  <c r="I268" i="8" s="1"/>
  <c r="I269" i="8" s="1"/>
  <c r="I270" i="8" s="1"/>
  <c r="I271" i="8" s="1"/>
  <c r="I272" i="8" s="1"/>
  <c r="I273" i="8" s="1"/>
  <c r="I274" i="8" s="1"/>
  <c r="I275" i="8" s="1"/>
  <c r="I276" i="8" s="1"/>
  <c r="I277" i="8" s="1"/>
  <c r="I278" i="8" s="1"/>
  <c r="I279" i="8" s="1"/>
  <c r="I280" i="8" s="1"/>
  <c r="I281" i="8" s="1"/>
  <c r="I282" i="8" s="1"/>
  <c r="I283" i="8" s="1"/>
  <c r="I284" i="8" s="1"/>
  <c r="I285" i="8" s="1"/>
  <c r="I286" i="8" s="1"/>
  <c r="I287" i="8" s="1"/>
  <c r="I288" i="8" s="1"/>
  <c r="I289" i="8" s="1"/>
  <c r="I290" i="8" s="1"/>
  <c r="I291" i="8" s="1"/>
  <c r="I292" i="8" s="1"/>
  <c r="I293" i="8" s="1"/>
  <c r="I294" i="8" s="1"/>
  <c r="I295" i="8" s="1"/>
  <c r="I296" i="8" s="1"/>
  <c r="I297" i="8" s="1"/>
  <c r="I298" i="8" s="1"/>
  <c r="I299" i="8" s="1"/>
  <c r="I300" i="8" s="1"/>
  <c r="I301" i="8" s="1"/>
  <c r="I302" i="8" s="1"/>
  <c r="I303" i="8" s="1"/>
  <c r="I304" i="8" s="1"/>
  <c r="I305" i="8" s="1"/>
  <c r="I306" i="8" s="1"/>
  <c r="I307" i="8" s="1"/>
  <c r="I308" i="8" s="1"/>
  <c r="I309" i="8" s="1"/>
  <c r="I310" i="8" s="1"/>
  <c r="I311" i="8" s="1"/>
  <c r="I312" i="8" s="1"/>
  <c r="I313" i="8" s="1"/>
  <c r="I314" i="8" s="1"/>
  <c r="I315" i="8" s="1"/>
  <c r="I316" i="8" s="1"/>
  <c r="I317" i="8" s="1"/>
  <c r="I318" i="8" s="1"/>
  <c r="I319" i="8" s="1"/>
  <c r="I320" i="8" s="1"/>
  <c r="I321" i="8" s="1"/>
  <c r="I322" i="8" s="1"/>
  <c r="I323" i="8" s="1"/>
  <c r="I324" i="8" s="1"/>
  <c r="I325" i="8" s="1"/>
  <c r="I326" i="8" s="1"/>
  <c r="D267" i="8"/>
  <c r="C267" i="8"/>
  <c r="D266" i="8"/>
  <c r="C266" i="8"/>
  <c r="D265" i="8"/>
  <c r="C265" i="8"/>
  <c r="D264" i="8"/>
  <c r="C264" i="8"/>
  <c r="D263" i="8"/>
  <c r="C263" i="8"/>
  <c r="D262" i="8"/>
  <c r="C262" i="8"/>
  <c r="D261" i="8"/>
  <c r="C261" i="8"/>
  <c r="D260" i="8"/>
  <c r="C260" i="8"/>
  <c r="D259" i="8"/>
  <c r="C259" i="8"/>
  <c r="D258" i="8"/>
  <c r="C258" i="8"/>
  <c r="D257" i="8"/>
  <c r="C257" i="8"/>
  <c r="D256" i="8"/>
  <c r="C256" i="8"/>
  <c r="D255" i="8"/>
  <c r="C255" i="8"/>
  <c r="D254" i="8"/>
  <c r="C254" i="8"/>
  <c r="D253" i="8"/>
  <c r="C253" i="8"/>
  <c r="D252" i="8"/>
  <c r="C252" i="8"/>
  <c r="D251" i="8"/>
  <c r="C251" i="8"/>
  <c r="D250" i="8"/>
  <c r="C250" i="8"/>
  <c r="D249" i="8"/>
  <c r="C249" i="8"/>
  <c r="D248" i="8"/>
  <c r="C248" i="8"/>
  <c r="D247" i="8"/>
  <c r="C247" i="8"/>
  <c r="D246" i="8"/>
  <c r="C246" i="8"/>
  <c r="D245" i="8"/>
  <c r="C245" i="8"/>
  <c r="D244" i="8"/>
  <c r="C244" i="8"/>
  <c r="D243" i="8"/>
  <c r="C243" i="8"/>
  <c r="D242" i="8"/>
  <c r="C242" i="8"/>
  <c r="D241" i="8"/>
  <c r="C241" i="8"/>
  <c r="D240" i="8"/>
  <c r="C240" i="8"/>
  <c r="D239" i="8"/>
  <c r="C239" i="8"/>
  <c r="D238" i="8"/>
  <c r="C238" i="8"/>
  <c r="D237" i="8"/>
  <c r="C237" i="8"/>
  <c r="D236" i="8"/>
  <c r="C236" i="8"/>
  <c r="D235" i="8"/>
  <c r="C235" i="8"/>
  <c r="D234" i="8"/>
  <c r="C234" i="8"/>
  <c r="D233" i="8"/>
  <c r="C233" i="8"/>
  <c r="H232" i="8"/>
  <c r="H233" i="8" s="1"/>
  <c r="H234" i="8" s="1"/>
  <c r="H235" i="8" s="1"/>
  <c r="H236" i="8" s="1"/>
  <c r="H237" i="8" s="1"/>
  <c r="H238" i="8" s="1"/>
  <c r="H239" i="8" s="1"/>
  <c r="H240" i="8" s="1"/>
  <c r="H241" i="8" s="1"/>
  <c r="H242" i="8" s="1"/>
  <c r="H243" i="8" s="1"/>
  <c r="H244" i="8" s="1"/>
  <c r="H245" i="8" s="1"/>
  <c r="H246" i="8" s="1"/>
  <c r="H247" i="8" s="1"/>
  <c r="H248" i="8" s="1"/>
  <c r="D232" i="8"/>
  <c r="C232" i="8"/>
  <c r="D231" i="8"/>
  <c r="C231" i="8"/>
  <c r="D230" i="8"/>
  <c r="C230" i="8"/>
  <c r="D229" i="8"/>
  <c r="C229" i="8"/>
  <c r="D228" i="8"/>
  <c r="C228" i="8"/>
  <c r="D227" i="8"/>
  <c r="C227" i="8"/>
  <c r="D226" i="8"/>
  <c r="C226" i="8"/>
  <c r="D225" i="8"/>
  <c r="C225" i="8"/>
  <c r="D224" i="8"/>
  <c r="C224" i="8"/>
  <c r="D223" i="8"/>
  <c r="C223" i="8"/>
  <c r="D222" i="8"/>
  <c r="C222" i="8"/>
  <c r="D221" i="8"/>
  <c r="C221" i="8"/>
  <c r="D220" i="8"/>
  <c r="C220" i="8"/>
  <c r="D219" i="8"/>
  <c r="C219" i="8"/>
  <c r="D218" i="8"/>
  <c r="C218" i="8"/>
  <c r="D217" i="8"/>
  <c r="C217" i="8"/>
  <c r="D216" i="8"/>
  <c r="C216" i="8"/>
  <c r="D215" i="8"/>
  <c r="C215" i="8"/>
  <c r="D214" i="8"/>
  <c r="C214" i="8"/>
  <c r="D213" i="8"/>
  <c r="C213" i="8"/>
  <c r="D212" i="8"/>
  <c r="C212" i="8"/>
  <c r="D211" i="8"/>
  <c r="C211" i="8"/>
  <c r="D210" i="8"/>
  <c r="C210" i="8"/>
  <c r="D209" i="8"/>
  <c r="C209" i="8"/>
  <c r="D208" i="8"/>
  <c r="C208" i="8"/>
  <c r="D207" i="8"/>
  <c r="C207" i="8"/>
  <c r="D206" i="8"/>
  <c r="C206" i="8"/>
  <c r="D205" i="8"/>
  <c r="C205" i="8"/>
  <c r="D204" i="8"/>
  <c r="C204" i="8"/>
  <c r="D203" i="8"/>
  <c r="C203" i="8"/>
  <c r="D202" i="8"/>
  <c r="C202" i="8"/>
  <c r="D201" i="8"/>
  <c r="C201" i="8"/>
  <c r="D200" i="8"/>
  <c r="C200" i="8"/>
  <c r="D199" i="8"/>
  <c r="C199" i="8"/>
  <c r="D198" i="8"/>
  <c r="C198" i="8"/>
  <c r="D197" i="8"/>
  <c r="C197" i="8"/>
  <c r="D196" i="8"/>
  <c r="C196" i="8"/>
  <c r="J195" i="8"/>
  <c r="J196" i="8" s="1"/>
  <c r="J197" i="8" s="1"/>
  <c r="J198" i="8" s="1"/>
  <c r="J199" i="8" s="1"/>
  <c r="J200" i="8" s="1"/>
  <c r="J201" i="8" s="1"/>
  <c r="J202" i="8" s="1"/>
  <c r="J203" i="8" s="1"/>
  <c r="J204" i="8" s="1"/>
  <c r="J205" i="8" s="1"/>
  <c r="J206" i="8" s="1"/>
  <c r="J207" i="8" s="1"/>
  <c r="J208" i="8" s="1"/>
  <c r="J209" i="8" s="1"/>
  <c r="J210" i="8" s="1"/>
  <c r="J211" i="8" s="1"/>
  <c r="J212" i="8" s="1"/>
  <c r="J213" i="8" s="1"/>
  <c r="J214" i="8" s="1"/>
  <c r="J215" i="8" s="1"/>
  <c r="J216" i="8" s="1"/>
  <c r="J217" i="8" s="1"/>
  <c r="J218" i="8" s="1"/>
  <c r="J219" i="8" s="1"/>
  <c r="J220" i="8" s="1"/>
  <c r="J221" i="8" s="1"/>
  <c r="J222" i="8" s="1"/>
  <c r="J223" i="8" s="1"/>
  <c r="J224" i="8" s="1"/>
  <c r="J225" i="8" s="1"/>
  <c r="J226" i="8" s="1"/>
  <c r="J227" i="8" s="1"/>
  <c r="J228" i="8" s="1"/>
  <c r="J229" i="8" s="1"/>
  <c r="J230" i="8" s="1"/>
  <c r="J231" i="8" s="1"/>
  <c r="J232" i="8" s="1"/>
  <c r="J233" i="8" s="1"/>
  <c r="J234" i="8" s="1"/>
  <c r="J235" i="8" s="1"/>
  <c r="J236" i="8" s="1"/>
  <c r="J237" i="8" s="1"/>
  <c r="J238" i="8" s="1"/>
  <c r="J239" i="8" s="1"/>
  <c r="J240" i="8" s="1"/>
  <c r="J241" i="8" s="1"/>
  <c r="J242" i="8" s="1"/>
  <c r="J243" i="8" s="1"/>
  <c r="J244" i="8" s="1"/>
  <c r="J245" i="8" s="1"/>
  <c r="J246" i="8" s="1"/>
  <c r="J247" i="8" s="1"/>
  <c r="J248" i="8" s="1"/>
  <c r="J249" i="8" s="1"/>
  <c r="J250" i="8" s="1"/>
  <c r="J251" i="8" s="1"/>
  <c r="J252" i="8" s="1"/>
  <c r="J253" i="8" s="1"/>
  <c r="J254" i="8" s="1"/>
  <c r="J255" i="8" s="1"/>
  <c r="J256" i="8" s="1"/>
  <c r="J257" i="8" s="1"/>
  <c r="J258" i="8" s="1"/>
  <c r="J259" i="8" s="1"/>
  <c r="J260" i="8" s="1"/>
  <c r="J261" i="8" s="1"/>
  <c r="J262" i="8" s="1"/>
  <c r="J263" i="8" s="1"/>
  <c r="J264" i="8" s="1"/>
  <c r="J265" i="8" s="1"/>
  <c r="J266" i="8" s="1"/>
  <c r="D195" i="8"/>
  <c r="C195" i="8"/>
  <c r="D194" i="8"/>
  <c r="C194" i="8"/>
  <c r="D193" i="8"/>
  <c r="C193" i="8"/>
  <c r="D192" i="8"/>
  <c r="C192" i="8"/>
  <c r="D191" i="8"/>
  <c r="C191" i="8"/>
  <c r="D190" i="8"/>
  <c r="C190" i="8"/>
  <c r="D189" i="8"/>
  <c r="C189" i="8"/>
  <c r="D188" i="8"/>
  <c r="C188" i="8"/>
  <c r="D187" i="8"/>
  <c r="C187" i="8"/>
  <c r="D186" i="8"/>
  <c r="C186" i="8"/>
  <c r="D185" i="8"/>
  <c r="C185" i="8"/>
  <c r="D184" i="8"/>
  <c r="C184" i="8"/>
  <c r="D183" i="8"/>
  <c r="C183" i="8"/>
  <c r="D182" i="8"/>
  <c r="C182" i="8"/>
  <c r="D181" i="8"/>
  <c r="C181" i="8"/>
  <c r="D180" i="8"/>
  <c r="C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D171" i="8"/>
  <c r="C171" i="8"/>
  <c r="D170" i="8"/>
  <c r="C170" i="8"/>
  <c r="D169" i="8"/>
  <c r="C169" i="8"/>
  <c r="D168" i="8"/>
  <c r="C168" i="8"/>
  <c r="D167" i="8"/>
  <c r="C167" i="8"/>
  <c r="D166" i="8"/>
  <c r="C166" i="8"/>
  <c r="D165" i="8"/>
  <c r="C165" i="8"/>
  <c r="D164" i="8"/>
  <c r="C164" i="8"/>
  <c r="D163" i="8"/>
  <c r="C163" i="8"/>
  <c r="D162" i="8"/>
  <c r="C162" i="8"/>
  <c r="D161" i="8"/>
  <c r="C161" i="8"/>
  <c r="D160" i="8"/>
  <c r="C160" i="8"/>
  <c r="D159" i="8"/>
  <c r="C159" i="8"/>
  <c r="D158" i="8"/>
  <c r="C158" i="8"/>
  <c r="D157" i="8"/>
  <c r="C157" i="8"/>
  <c r="D156" i="8"/>
  <c r="C156" i="8"/>
  <c r="D155" i="8"/>
  <c r="C155" i="8"/>
  <c r="D154" i="8"/>
  <c r="C154" i="8"/>
  <c r="D153" i="8"/>
  <c r="C153" i="8"/>
  <c r="D152" i="8"/>
  <c r="C152" i="8"/>
  <c r="D151" i="8"/>
  <c r="C151" i="8"/>
  <c r="D150" i="8"/>
  <c r="C150" i="8"/>
  <c r="D149" i="8"/>
  <c r="C149" i="8"/>
  <c r="D148" i="8"/>
  <c r="C148" i="8"/>
  <c r="D147" i="8"/>
  <c r="C147" i="8"/>
  <c r="D146" i="8"/>
  <c r="C146" i="8"/>
  <c r="D145" i="8"/>
  <c r="C145" i="8"/>
  <c r="D144" i="8"/>
  <c r="C144" i="8"/>
  <c r="D143" i="8"/>
  <c r="C143" i="8"/>
  <c r="D142" i="8"/>
  <c r="C142" i="8"/>
  <c r="D141" i="8"/>
  <c r="C141" i="8"/>
  <c r="D140" i="8"/>
  <c r="C140" i="8"/>
  <c r="D139" i="8"/>
  <c r="C139" i="8"/>
  <c r="D138" i="8"/>
  <c r="C138" i="8"/>
  <c r="D137" i="8"/>
  <c r="C137" i="8"/>
  <c r="D136" i="8"/>
  <c r="C136" i="8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D116" i="8"/>
  <c r="C116" i="8"/>
  <c r="D115" i="8"/>
  <c r="C115" i="8"/>
  <c r="D114" i="8"/>
  <c r="C114" i="8"/>
  <c r="D113" i="8"/>
  <c r="C113" i="8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S89" i="8"/>
  <c r="R89" i="8"/>
  <c r="Q89" i="8"/>
  <c r="P89" i="8"/>
  <c r="O89" i="8"/>
  <c r="N89" i="8"/>
  <c r="M89" i="8"/>
  <c r="L89" i="8"/>
  <c r="K89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M10" i="7"/>
  <c r="M17" i="7"/>
  <c r="L11" i="7"/>
  <c r="O33" i="7"/>
  <c r="N33" i="7"/>
  <c r="M35" i="7"/>
  <c r="L36" i="7"/>
  <c r="K12" i="7"/>
  <c r="K37" i="7"/>
  <c r="K31" i="7"/>
  <c r="P31" i="7"/>
  <c r="Q31" i="7"/>
  <c r="R65" i="7"/>
  <c r="Q66" i="7"/>
  <c r="K66" i="7"/>
  <c r="P69" i="7"/>
  <c r="S76" i="7"/>
  <c r="R77" i="7"/>
  <c r="Q78" i="7"/>
  <c r="P79" i="7"/>
  <c r="O71" i="7"/>
  <c r="O80" i="7"/>
  <c r="N65" i="7"/>
  <c r="N73" i="7"/>
  <c r="N81" i="7"/>
  <c r="M68" i="7"/>
  <c r="M75" i="7"/>
  <c r="M82" i="7"/>
  <c r="L70" i="7"/>
  <c r="L76" i="7"/>
  <c r="L83" i="7"/>
  <c r="K84" i="7"/>
  <c r="S89" i="7"/>
  <c r="R89" i="7"/>
  <c r="Q89" i="7"/>
  <c r="P89" i="7"/>
  <c r="O89" i="7"/>
  <c r="N89" i="7"/>
  <c r="M89" i="7"/>
  <c r="L89" i="7"/>
  <c r="K89" i="7"/>
  <c r="L209" i="7"/>
  <c r="M209" i="7"/>
  <c r="N209" i="7"/>
  <c r="O209" i="7"/>
  <c r="P209" i="7"/>
  <c r="Q209" i="7"/>
  <c r="R209" i="7"/>
  <c r="S209" i="7"/>
  <c r="K209" i="7"/>
  <c r="S208" i="7"/>
  <c r="R208" i="7"/>
  <c r="Q208" i="7"/>
  <c r="P208" i="7"/>
  <c r="O208" i="7"/>
  <c r="N208" i="7"/>
  <c r="M208" i="7"/>
  <c r="L208" i="7"/>
  <c r="K208" i="7"/>
  <c r="N79" i="6"/>
  <c r="L79" i="1"/>
  <c r="K72" i="7"/>
  <c r="K77" i="7"/>
  <c r="L82" i="7"/>
  <c r="K82" i="7"/>
  <c r="K18" i="7"/>
  <c r="L18" i="7"/>
  <c r="M18" i="7"/>
  <c r="N18" i="7"/>
  <c r="O18" i="7"/>
  <c r="P18" i="7"/>
  <c r="Q18" i="7"/>
  <c r="R18" i="7"/>
  <c r="R42" i="7"/>
  <c r="S16" i="7"/>
  <c r="S29" i="7"/>
  <c r="S45" i="7"/>
  <c r="R45" i="7"/>
  <c r="Q45" i="7"/>
  <c r="P45" i="7"/>
  <c r="O45" i="7"/>
  <c r="N45" i="7"/>
  <c r="M45" i="7"/>
  <c r="L45" i="7"/>
  <c r="K45" i="7"/>
  <c r="S42" i="7"/>
  <c r="Q42" i="7"/>
  <c r="P42" i="7"/>
  <c r="O42" i="7"/>
  <c r="N42" i="7"/>
  <c r="M42" i="7"/>
  <c r="L42" i="7"/>
  <c r="K42" i="7"/>
  <c r="R30" i="7"/>
  <c r="Q30" i="7"/>
  <c r="P30" i="7"/>
  <c r="O30" i="7"/>
  <c r="N30" i="7"/>
  <c r="M30" i="7"/>
  <c r="L30" i="7"/>
  <c r="K30" i="7"/>
  <c r="K17" i="7"/>
  <c r="L17" i="7"/>
  <c r="N17" i="7"/>
  <c r="O17" i="7"/>
  <c r="P17" i="7"/>
  <c r="Q17" i="7"/>
  <c r="R17" i="7"/>
  <c r="D326" i="7"/>
  <c r="C326" i="7"/>
  <c r="D325" i="7"/>
  <c r="C325" i="7"/>
  <c r="D324" i="7"/>
  <c r="C324" i="7"/>
  <c r="D323" i="7"/>
  <c r="C323" i="7"/>
  <c r="D322" i="7"/>
  <c r="C322" i="7"/>
  <c r="D321" i="7"/>
  <c r="C321" i="7"/>
  <c r="D320" i="7"/>
  <c r="C320" i="7"/>
  <c r="D319" i="7"/>
  <c r="C319" i="7"/>
  <c r="D318" i="7"/>
  <c r="C318" i="7"/>
  <c r="D317" i="7"/>
  <c r="C317" i="7"/>
  <c r="D316" i="7"/>
  <c r="C316" i="7"/>
  <c r="D315" i="7"/>
  <c r="C315" i="7"/>
  <c r="D314" i="7"/>
  <c r="C314" i="7"/>
  <c r="D313" i="7"/>
  <c r="C313" i="7"/>
  <c r="D312" i="7"/>
  <c r="C312" i="7"/>
  <c r="D311" i="7"/>
  <c r="C311" i="7"/>
  <c r="D310" i="7"/>
  <c r="C310" i="7"/>
  <c r="D309" i="7"/>
  <c r="C309" i="7"/>
  <c r="D308" i="7"/>
  <c r="C308" i="7"/>
  <c r="D307" i="7"/>
  <c r="C307" i="7"/>
  <c r="D306" i="7"/>
  <c r="C306" i="7"/>
  <c r="D305" i="7"/>
  <c r="C305" i="7"/>
  <c r="D304" i="7"/>
  <c r="C304" i="7"/>
  <c r="D303" i="7"/>
  <c r="C303" i="7"/>
  <c r="D302" i="7"/>
  <c r="C302" i="7"/>
  <c r="D301" i="7"/>
  <c r="C301" i="7"/>
  <c r="D300" i="7"/>
  <c r="C300" i="7"/>
  <c r="D299" i="7"/>
  <c r="C299" i="7"/>
  <c r="D298" i="7"/>
  <c r="C298" i="7"/>
  <c r="D297" i="7"/>
  <c r="C297" i="7"/>
  <c r="D296" i="7"/>
  <c r="C296" i="7"/>
  <c r="D295" i="7"/>
  <c r="C295" i="7"/>
  <c r="D294" i="7"/>
  <c r="C294" i="7"/>
  <c r="D293" i="7"/>
  <c r="C293" i="7"/>
  <c r="D292" i="7"/>
  <c r="C292" i="7"/>
  <c r="D291" i="7"/>
  <c r="C291" i="7"/>
  <c r="D290" i="7"/>
  <c r="C290" i="7"/>
  <c r="D289" i="7"/>
  <c r="C289" i="7"/>
  <c r="D288" i="7"/>
  <c r="C288" i="7"/>
  <c r="D287" i="7"/>
  <c r="C287" i="7"/>
  <c r="D286" i="7"/>
  <c r="C286" i="7"/>
  <c r="D285" i="7"/>
  <c r="C285" i="7"/>
  <c r="D284" i="7"/>
  <c r="C284" i="7"/>
  <c r="D283" i="7"/>
  <c r="C283" i="7"/>
  <c r="D282" i="7"/>
  <c r="C282" i="7"/>
  <c r="D281" i="7"/>
  <c r="C281" i="7"/>
  <c r="D280" i="7"/>
  <c r="C280" i="7"/>
  <c r="D279" i="7"/>
  <c r="C279" i="7"/>
  <c r="D278" i="7"/>
  <c r="C278" i="7"/>
  <c r="D277" i="7"/>
  <c r="C277" i="7"/>
  <c r="D276" i="7"/>
  <c r="C276" i="7"/>
  <c r="D275" i="7"/>
  <c r="C275" i="7"/>
  <c r="D274" i="7"/>
  <c r="C274" i="7"/>
  <c r="D273" i="7"/>
  <c r="C273" i="7"/>
  <c r="D272" i="7"/>
  <c r="C272" i="7"/>
  <c r="D271" i="7"/>
  <c r="C271" i="7"/>
  <c r="D270" i="7"/>
  <c r="C270" i="7"/>
  <c r="D269" i="7"/>
  <c r="C269" i="7"/>
  <c r="D268" i="7"/>
  <c r="C268" i="7"/>
  <c r="I267" i="7"/>
  <c r="I268" i="7" s="1"/>
  <c r="I269" i="7" s="1"/>
  <c r="I270" i="7" s="1"/>
  <c r="I271" i="7" s="1"/>
  <c r="I272" i="7" s="1"/>
  <c r="I273" i="7" s="1"/>
  <c r="I274" i="7" s="1"/>
  <c r="I275" i="7" s="1"/>
  <c r="I276" i="7" s="1"/>
  <c r="I277" i="7" s="1"/>
  <c r="I278" i="7" s="1"/>
  <c r="I279" i="7" s="1"/>
  <c r="I280" i="7" s="1"/>
  <c r="I281" i="7" s="1"/>
  <c r="I282" i="7" s="1"/>
  <c r="I283" i="7" s="1"/>
  <c r="I284" i="7" s="1"/>
  <c r="I285" i="7" s="1"/>
  <c r="I286" i="7" s="1"/>
  <c r="I287" i="7" s="1"/>
  <c r="I288" i="7" s="1"/>
  <c r="I289" i="7" s="1"/>
  <c r="I290" i="7" s="1"/>
  <c r="I291" i="7" s="1"/>
  <c r="I292" i="7" s="1"/>
  <c r="I293" i="7" s="1"/>
  <c r="I294" i="7" s="1"/>
  <c r="I295" i="7" s="1"/>
  <c r="I296" i="7" s="1"/>
  <c r="I297" i="7" s="1"/>
  <c r="I298" i="7" s="1"/>
  <c r="I299" i="7" s="1"/>
  <c r="I300" i="7" s="1"/>
  <c r="I301" i="7" s="1"/>
  <c r="I302" i="7" s="1"/>
  <c r="I303" i="7" s="1"/>
  <c r="I304" i="7" s="1"/>
  <c r="I305" i="7" s="1"/>
  <c r="I306" i="7" s="1"/>
  <c r="I307" i="7" s="1"/>
  <c r="I308" i="7" s="1"/>
  <c r="I309" i="7" s="1"/>
  <c r="I310" i="7" s="1"/>
  <c r="I311" i="7" s="1"/>
  <c r="I312" i="7" s="1"/>
  <c r="I313" i="7" s="1"/>
  <c r="I314" i="7" s="1"/>
  <c r="I315" i="7" s="1"/>
  <c r="I316" i="7" s="1"/>
  <c r="I317" i="7" s="1"/>
  <c r="I318" i="7" s="1"/>
  <c r="I319" i="7" s="1"/>
  <c r="I320" i="7" s="1"/>
  <c r="I321" i="7" s="1"/>
  <c r="I322" i="7" s="1"/>
  <c r="I323" i="7" s="1"/>
  <c r="I324" i="7" s="1"/>
  <c r="I325" i="7" s="1"/>
  <c r="I326" i="7" s="1"/>
  <c r="D267" i="7"/>
  <c r="C267" i="7"/>
  <c r="D266" i="7"/>
  <c r="C266" i="7"/>
  <c r="D265" i="7"/>
  <c r="C265" i="7"/>
  <c r="D264" i="7"/>
  <c r="C264" i="7"/>
  <c r="D263" i="7"/>
  <c r="C263" i="7"/>
  <c r="D262" i="7"/>
  <c r="C262" i="7"/>
  <c r="D261" i="7"/>
  <c r="C261" i="7"/>
  <c r="D260" i="7"/>
  <c r="C260" i="7"/>
  <c r="D259" i="7"/>
  <c r="C259" i="7"/>
  <c r="D258" i="7"/>
  <c r="C258" i="7"/>
  <c r="D257" i="7"/>
  <c r="C257" i="7"/>
  <c r="D256" i="7"/>
  <c r="C256" i="7"/>
  <c r="D255" i="7"/>
  <c r="C255" i="7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47" i="7"/>
  <c r="C247" i="7"/>
  <c r="D246" i="7"/>
  <c r="C246" i="7"/>
  <c r="D245" i="7"/>
  <c r="C245" i="7"/>
  <c r="D244" i="7"/>
  <c r="C244" i="7"/>
  <c r="D243" i="7"/>
  <c r="C243" i="7"/>
  <c r="D242" i="7"/>
  <c r="C242" i="7"/>
  <c r="D241" i="7"/>
  <c r="C241" i="7"/>
  <c r="D240" i="7"/>
  <c r="C240" i="7"/>
  <c r="D239" i="7"/>
  <c r="C239" i="7"/>
  <c r="D238" i="7"/>
  <c r="C238" i="7"/>
  <c r="D237" i="7"/>
  <c r="C237" i="7"/>
  <c r="D236" i="7"/>
  <c r="C236" i="7"/>
  <c r="D235" i="7"/>
  <c r="C235" i="7"/>
  <c r="D234" i="7"/>
  <c r="C234" i="7"/>
  <c r="D233" i="7"/>
  <c r="C233" i="7"/>
  <c r="H232" i="7"/>
  <c r="H233" i="7" s="1"/>
  <c r="H234" i="7" s="1"/>
  <c r="H235" i="7" s="1"/>
  <c r="H236" i="7" s="1"/>
  <c r="H237" i="7" s="1"/>
  <c r="H238" i="7" s="1"/>
  <c r="H239" i="7" s="1"/>
  <c r="H240" i="7" s="1"/>
  <c r="H241" i="7" s="1"/>
  <c r="H242" i="7" s="1"/>
  <c r="H243" i="7" s="1"/>
  <c r="H244" i="7" s="1"/>
  <c r="H245" i="7" s="1"/>
  <c r="H246" i="7" s="1"/>
  <c r="H247" i="7" s="1"/>
  <c r="H248" i="7" s="1"/>
  <c r="H249" i="7" s="1"/>
  <c r="H250" i="7" s="1"/>
  <c r="H251" i="7" s="1"/>
  <c r="H252" i="7" s="1"/>
  <c r="H253" i="7" s="1"/>
  <c r="H254" i="7" s="1"/>
  <c r="H255" i="7" s="1"/>
  <c r="H256" i="7" s="1"/>
  <c r="H257" i="7" s="1"/>
  <c r="H258" i="7" s="1"/>
  <c r="H259" i="7" s="1"/>
  <c r="H260" i="7" s="1"/>
  <c r="H261" i="7" s="1"/>
  <c r="H262" i="7" s="1"/>
  <c r="H263" i="7" s="1"/>
  <c r="D232" i="7"/>
  <c r="C232" i="7"/>
  <c r="D231" i="7"/>
  <c r="C231" i="7"/>
  <c r="D230" i="7"/>
  <c r="C230" i="7"/>
  <c r="D229" i="7"/>
  <c r="C229" i="7"/>
  <c r="D228" i="7"/>
  <c r="C228" i="7"/>
  <c r="D227" i="7"/>
  <c r="C227" i="7"/>
  <c r="D226" i="7"/>
  <c r="C226" i="7"/>
  <c r="D225" i="7"/>
  <c r="C225" i="7"/>
  <c r="D224" i="7"/>
  <c r="C224" i="7"/>
  <c r="D223" i="7"/>
  <c r="C223" i="7"/>
  <c r="D222" i="7"/>
  <c r="C222" i="7"/>
  <c r="D221" i="7"/>
  <c r="C221" i="7"/>
  <c r="D220" i="7"/>
  <c r="C220" i="7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C208" i="7"/>
  <c r="D207" i="7"/>
  <c r="C207" i="7"/>
  <c r="D206" i="7"/>
  <c r="C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J195" i="7"/>
  <c r="J196" i="7" s="1"/>
  <c r="J197" i="7" s="1"/>
  <c r="J198" i="7" s="1"/>
  <c r="J199" i="7" s="1"/>
  <c r="J200" i="7" s="1"/>
  <c r="J201" i="7" s="1"/>
  <c r="J202" i="7" s="1"/>
  <c r="J203" i="7" s="1"/>
  <c r="J204" i="7" s="1"/>
  <c r="J205" i="7" s="1"/>
  <c r="J206" i="7" s="1"/>
  <c r="J207" i="7" s="1"/>
  <c r="J208" i="7" s="1"/>
  <c r="J209" i="7" s="1"/>
  <c r="J210" i="7" s="1"/>
  <c r="J211" i="7" s="1"/>
  <c r="J212" i="7" s="1"/>
  <c r="J213" i="7" s="1"/>
  <c r="J214" i="7" s="1"/>
  <c r="J215" i="7" s="1"/>
  <c r="J216" i="7" s="1"/>
  <c r="J217" i="7" s="1"/>
  <c r="J218" i="7" s="1"/>
  <c r="J219" i="7" s="1"/>
  <c r="J220" i="7" s="1"/>
  <c r="J221" i="7" s="1"/>
  <c r="J222" i="7" s="1"/>
  <c r="J223" i="7" s="1"/>
  <c r="J224" i="7" s="1"/>
  <c r="J225" i="7" s="1"/>
  <c r="J226" i="7" s="1"/>
  <c r="J227" i="7" s="1"/>
  <c r="J228" i="7" s="1"/>
  <c r="J229" i="7" s="1"/>
  <c r="J230" i="7" s="1"/>
  <c r="J231" i="7" s="1"/>
  <c r="J232" i="7" s="1"/>
  <c r="J233" i="7" s="1"/>
  <c r="J234" i="7" s="1"/>
  <c r="J235" i="7" s="1"/>
  <c r="J236" i="7" s="1"/>
  <c r="J237" i="7" s="1"/>
  <c r="J238" i="7" s="1"/>
  <c r="J239" i="7" s="1"/>
  <c r="J240" i="7" s="1"/>
  <c r="J241" i="7" s="1"/>
  <c r="J242" i="7" s="1"/>
  <c r="J243" i="7" s="1"/>
  <c r="J244" i="7" s="1"/>
  <c r="J245" i="7" s="1"/>
  <c r="J246" i="7" s="1"/>
  <c r="J247" i="7" s="1"/>
  <c r="J248" i="7" s="1"/>
  <c r="J249" i="7" s="1"/>
  <c r="J250" i="7" s="1"/>
  <c r="J251" i="7" s="1"/>
  <c r="J252" i="7" s="1"/>
  <c r="J253" i="7" s="1"/>
  <c r="J254" i="7" s="1"/>
  <c r="J255" i="7" s="1"/>
  <c r="J256" i="7" s="1"/>
  <c r="J257" i="7" s="1"/>
  <c r="J258" i="7" s="1"/>
  <c r="J259" i="7" s="1"/>
  <c r="J260" i="7" s="1"/>
  <c r="J261" i="7" s="1"/>
  <c r="J262" i="7" s="1"/>
  <c r="J263" i="7" s="1"/>
  <c r="J264" i="7" s="1"/>
  <c r="J265" i="7" s="1"/>
  <c r="J266" i="7" s="1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S79" i="6"/>
  <c r="R79" i="6"/>
  <c r="Q79" i="6"/>
  <c r="P79" i="6"/>
  <c r="O79" i="6"/>
  <c r="M79" i="6"/>
  <c r="L79" i="6"/>
  <c r="K79" i="6"/>
  <c r="S15" i="6"/>
  <c r="R15" i="6"/>
  <c r="Q15" i="6"/>
  <c r="P15" i="6"/>
  <c r="O15" i="6"/>
  <c r="N15" i="6"/>
  <c r="M15" i="6"/>
  <c r="L15" i="6"/>
  <c r="K15" i="6"/>
  <c r="S29" i="6"/>
  <c r="R29" i="6"/>
  <c r="Q29" i="6"/>
  <c r="P29" i="6"/>
  <c r="O29" i="6"/>
  <c r="N29" i="6"/>
  <c r="M29" i="6"/>
  <c r="L29" i="6"/>
  <c r="K29" i="6"/>
  <c r="S42" i="6"/>
  <c r="R42" i="6"/>
  <c r="Q42" i="6"/>
  <c r="P42" i="6"/>
  <c r="O42" i="6"/>
  <c r="N42" i="6"/>
  <c r="M42" i="6"/>
  <c r="L42" i="6"/>
  <c r="K42" i="6"/>
  <c r="S72" i="1"/>
  <c r="R72" i="1"/>
  <c r="Q72" i="1"/>
  <c r="P72" i="1"/>
  <c r="O72" i="1"/>
  <c r="N72" i="1"/>
  <c r="M72" i="1"/>
  <c r="L72" i="1"/>
  <c r="K72" i="1"/>
  <c r="S208" i="6"/>
  <c r="R208" i="6"/>
  <c r="Q208" i="6"/>
  <c r="P208" i="6"/>
  <c r="O208" i="6"/>
  <c r="N208" i="6"/>
  <c r="M208" i="6"/>
  <c r="L208" i="6"/>
  <c r="K208" i="6"/>
  <c r="O89" i="6"/>
  <c r="P89" i="6"/>
  <c r="Q89" i="6"/>
  <c r="R89" i="6"/>
  <c r="S89" i="6"/>
  <c r="N89" i="6"/>
  <c r="M89" i="6"/>
  <c r="L89" i="6"/>
  <c r="K89" i="6"/>
  <c r="S16" i="6"/>
  <c r="L82" i="6"/>
  <c r="M82" i="6"/>
  <c r="K82" i="6"/>
  <c r="L30" i="6"/>
  <c r="M30" i="6"/>
  <c r="N30" i="6"/>
  <c r="O30" i="6"/>
  <c r="P30" i="6"/>
  <c r="Q30" i="6"/>
  <c r="R30" i="6"/>
  <c r="K30" i="6"/>
  <c r="L17" i="6"/>
  <c r="M17" i="6"/>
  <c r="N17" i="6"/>
  <c r="O17" i="6"/>
  <c r="P17" i="6"/>
  <c r="Q17" i="6"/>
  <c r="R17" i="6"/>
  <c r="K17" i="6"/>
  <c r="D326" i="6"/>
  <c r="C326" i="6"/>
  <c r="D325" i="6"/>
  <c r="C325" i="6"/>
  <c r="D324" i="6"/>
  <c r="C324" i="6"/>
  <c r="D323" i="6"/>
  <c r="C323" i="6"/>
  <c r="D322" i="6"/>
  <c r="C322" i="6"/>
  <c r="D321" i="6"/>
  <c r="C321" i="6"/>
  <c r="D320" i="6"/>
  <c r="C320" i="6"/>
  <c r="D319" i="6"/>
  <c r="C319" i="6"/>
  <c r="D318" i="6"/>
  <c r="C318" i="6"/>
  <c r="D317" i="6"/>
  <c r="C317" i="6"/>
  <c r="D316" i="6"/>
  <c r="C316" i="6"/>
  <c r="D315" i="6"/>
  <c r="C315" i="6"/>
  <c r="D314" i="6"/>
  <c r="C314" i="6"/>
  <c r="D313" i="6"/>
  <c r="C313" i="6"/>
  <c r="D312" i="6"/>
  <c r="C312" i="6"/>
  <c r="D311" i="6"/>
  <c r="C311" i="6"/>
  <c r="D310" i="6"/>
  <c r="C310" i="6"/>
  <c r="D309" i="6"/>
  <c r="C309" i="6"/>
  <c r="D308" i="6"/>
  <c r="C308" i="6"/>
  <c r="D307" i="6"/>
  <c r="C307" i="6"/>
  <c r="D306" i="6"/>
  <c r="C306" i="6"/>
  <c r="D305" i="6"/>
  <c r="C305" i="6"/>
  <c r="D304" i="6"/>
  <c r="C304" i="6"/>
  <c r="D303" i="6"/>
  <c r="C303" i="6"/>
  <c r="D302" i="6"/>
  <c r="C302" i="6"/>
  <c r="D301" i="6"/>
  <c r="C301" i="6"/>
  <c r="D300" i="6"/>
  <c r="C300" i="6"/>
  <c r="D299" i="6"/>
  <c r="C299" i="6"/>
  <c r="D298" i="6"/>
  <c r="C298" i="6"/>
  <c r="D297" i="6"/>
  <c r="C297" i="6"/>
  <c r="D296" i="6"/>
  <c r="C296" i="6"/>
  <c r="D295" i="6"/>
  <c r="C295" i="6"/>
  <c r="D294" i="6"/>
  <c r="C294" i="6"/>
  <c r="D293" i="6"/>
  <c r="C293" i="6"/>
  <c r="D292" i="6"/>
  <c r="C292" i="6"/>
  <c r="D291" i="6"/>
  <c r="C291" i="6"/>
  <c r="D290" i="6"/>
  <c r="C290" i="6"/>
  <c r="D289" i="6"/>
  <c r="C289" i="6"/>
  <c r="D288" i="6"/>
  <c r="C288" i="6"/>
  <c r="D287" i="6"/>
  <c r="C287" i="6"/>
  <c r="D286" i="6"/>
  <c r="C286" i="6"/>
  <c r="D285" i="6"/>
  <c r="C285" i="6"/>
  <c r="D284" i="6"/>
  <c r="C284" i="6"/>
  <c r="D283" i="6"/>
  <c r="C283" i="6"/>
  <c r="D282" i="6"/>
  <c r="C282" i="6"/>
  <c r="D281" i="6"/>
  <c r="C281" i="6"/>
  <c r="D280" i="6"/>
  <c r="C280" i="6"/>
  <c r="D279" i="6"/>
  <c r="C279" i="6"/>
  <c r="D278" i="6"/>
  <c r="C278" i="6"/>
  <c r="D277" i="6"/>
  <c r="C277" i="6"/>
  <c r="D276" i="6"/>
  <c r="C276" i="6"/>
  <c r="D275" i="6"/>
  <c r="C275" i="6"/>
  <c r="D274" i="6"/>
  <c r="C274" i="6"/>
  <c r="D273" i="6"/>
  <c r="C273" i="6"/>
  <c r="D272" i="6"/>
  <c r="C272" i="6"/>
  <c r="D271" i="6"/>
  <c r="C271" i="6"/>
  <c r="D270" i="6"/>
  <c r="C270" i="6"/>
  <c r="D269" i="6"/>
  <c r="C269" i="6"/>
  <c r="D268" i="6"/>
  <c r="C268" i="6"/>
  <c r="I267" i="6"/>
  <c r="I268" i="6" s="1"/>
  <c r="I269" i="6" s="1"/>
  <c r="I270" i="6" s="1"/>
  <c r="I271" i="6" s="1"/>
  <c r="I272" i="6" s="1"/>
  <c r="I273" i="6" s="1"/>
  <c r="I274" i="6" s="1"/>
  <c r="I275" i="6" s="1"/>
  <c r="I276" i="6" s="1"/>
  <c r="I277" i="6" s="1"/>
  <c r="I278" i="6" s="1"/>
  <c r="I279" i="6" s="1"/>
  <c r="I280" i="6" s="1"/>
  <c r="I281" i="6" s="1"/>
  <c r="I282" i="6" s="1"/>
  <c r="I283" i="6" s="1"/>
  <c r="I284" i="6" s="1"/>
  <c r="I285" i="6" s="1"/>
  <c r="I286" i="6" s="1"/>
  <c r="I287" i="6" s="1"/>
  <c r="I288" i="6" s="1"/>
  <c r="I289" i="6" s="1"/>
  <c r="I290" i="6" s="1"/>
  <c r="I291" i="6" s="1"/>
  <c r="I292" i="6" s="1"/>
  <c r="I293" i="6" s="1"/>
  <c r="I294" i="6" s="1"/>
  <c r="I295" i="6" s="1"/>
  <c r="I296" i="6" s="1"/>
  <c r="I297" i="6" s="1"/>
  <c r="I298" i="6" s="1"/>
  <c r="I299" i="6" s="1"/>
  <c r="I300" i="6" s="1"/>
  <c r="I301" i="6" s="1"/>
  <c r="I302" i="6" s="1"/>
  <c r="I303" i="6" s="1"/>
  <c r="I304" i="6" s="1"/>
  <c r="I305" i="6" s="1"/>
  <c r="I306" i="6" s="1"/>
  <c r="I307" i="6" s="1"/>
  <c r="I308" i="6" s="1"/>
  <c r="I309" i="6" s="1"/>
  <c r="I310" i="6" s="1"/>
  <c r="I311" i="6" s="1"/>
  <c r="I312" i="6" s="1"/>
  <c r="I313" i="6" s="1"/>
  <c r="I314" i="6" s="1"/>
  <c r="I315" i="6" s="1"/>
  <c r="I316" i="6" s="1"/>
  <c r="I317" i="6" s="1"/>
  <c r="I318" i="6" s="1"/>
  <c r="I319" i="6" s="1"/>
  <c r="I320" i="6" s="1"/>
  <c r="I321" i="6" s="1"/>
  <c r="I322" i="6" s="1"/>
  <c r="I323" i="6" s="1"/>
  <c r="I324" i="6" s="1"/>
  <c r="I325" i="6" s="1"/>
  <c r="I326" i="6" s="1"/>
  <c r="D267" i="6"/>
  <c r="C267" i="6"/>
  <c r="D266" i="6"/>
  <c r="C266" i="6"/>
  <c r="D265" i="6"/>
  <c r="C265" i="6"/>
  <c r="D264" i="6"/>
  <c r="C264" i="6"/>
  <c r="D263" i="6"/>
  <c r="C263" i="6"/>
  <c r="D262" i="6"/>
  <c r="C262" i="6"/>
  <c r="D261" i="6"/>
  <c r="C261" i="6"/>
  <c r="D260" i="6"/>
  <c r="C260" i="6"/>
  <c r="D259" i="6"/>
  <c r="C259" i="6"/>
  <c r="D258" i="6"/>
  <c r="C258" i="6"/>
  <c r="D257" i="6"/>
  <c r="C257" i="6"/>
  <c r="D256" i="6"/>
  <c r="C256" i="6"/>
  <c r="D255" i="6"/>
  <c r="C255" i="6"/>
  <c r="D254" i="6"/>
  <c r="C254" i="6"/>
  <c r="D253" i="6"/>
  <c r="C253" i="6"/>
  <c r="D252" i="6"/>
  <c r="C252" i="6"/>
  <c r="D251" i="6"/>
  <c r="C251" i="6"/>
  <c r="D250" i="6"/>
  <c r="C250" i="6"/>
  <c r="D249" i="6"/>
  <c r="C249" i="6"/>
  <c r="D248" i="6"/>
  <c r="C248" i="6"/>
  <c r="D247" i="6"/>
  <c r="C247" i="6"/>
  <c r="D246" i="6"/>
  <c r="C246" i="6"/>
  <c r="D245" i="6"/>
  <c r="C245" i="6"/>
  <c r="D244" i="6"/>
  <c r="C244" i="6"/>
  <c r="D243" i="6"/>
  <c r="C243" i="6"/>
  <c r="D242" i="6"/>
  <c r="C242" i="6"/>
  <c r="D241" i="6"/>
  <c r="C241" i="6"/>
  <c r="D240" i="6"/>
  <c r="C240" i="6"/>
  <c r="D239" i="6"/>
  <c r="C239" i="6"/>
  <c r="D238" i="6"/>
  <c r="C238" i="6"/>
  <c r="D237" i="6"/>
  <c r="C237" i="6"/>
  <c r="D236" i="6"/>
  <c r="C236" i="6"/>
  <c r="D235" i="6"/>
  <c r="C235" i="6"/>
  <c r="D234" i="6"/>
  <c r="C234" i="6"/>
  <c r="D233" i="6"/>
  <c r="C233" i="6"/>
  <c r="H232" i="6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D232" i="6"/>
  <c r="C232" i="6"/>
  <c r="D231" i="6"/>
  <c r="C231" i="6"/>
  <c r="D230" i="6"/>
  <c r="C230" i="6"/>
  <c r="D229" i="6"/>
  <c r="C229" i="6"/>
  <c r="D228" i="6"/>
  <c r="C228" i="6"/>
  <c r="D227" i="6"/>
  <c r="C227" i="6"/>
  <c r="D226" i="6"/>
  <c r="C226" i="6"/>
  <c r="D225" i="6"/>
  <c r="C225" i="6"/>
  <c r="D224" i="6"/>
  <c r="C224" i="6"/>
  <c r="D223" i="6"/>
  <c r="C223" i="6"/>
  <c r="D222" i="6"/>
  <c r="C222" i="6"/>
  <c r="D221" i="6"/>
  <c r="C221" i="6"/>
  <c r="D220" i="6"/>
  <c r="C220" i="6"/>
  <c r="D219" i="6"/>
  <c r="C219" i="6"/>
  <c r="D218" i="6"/>
  <c r="C218" i="6"/>
  <c r="D217" i="6"/>
  <c r="C217" i="6"/>
  <c r="D216" i="6"/>
  <c r="C216" i="6"/>
  <c r="D215" i="6"/>
  <c r="C215" i="6"/>
  <c r="D214" i="6"/>
  <c r="C214" i="6"/>
  <c r="D213" i="6"/>
  <c r="C213" i="6"/>
  <c r="D212" i="6"/>
  <c r="C212" i="6"/>
  <c r="D211" i="6"/>
  <c r="C211" i="6"/>
  <c r="D210" i="6"/>
  <c r="C210" i="6"/>
  <c r="D209" i="6"/>
  <c r="C209" i="6"/>
  <c r="D208" i="6"/>
  <c r="C208" i="6"/>
  <c r="D207" i="6"/>
  <c r="C207" i="6"/>
  <c r="D206" i="6"/>
  <c r="C206" i="6"/>
  <c r="D205" i="6"/>
  <c r="C205" i="6"/>
  <c r="D204" i="6"/>
  <c r="C204" i="6"/>
  <c r="D203" i="6"/>
  <c r="C203" i="6"/>
  <c r="D202" i="6"/>
  <c r="C202" i="6"/>
  <c r="D201" i="6"/>
  <c r="C201" i="6"/>
  <c r="D200" i="6"/>
  <c r="C200" i="6"/>
  <c r="D199" i="6"/>
  <c r="C199" i="6"/>
  <c r="D198" i="6"/>
  <c r="C198" i="6"/>
  <c r="D197" i="6"/>
  <c r="C197" i="6"/>
  <c r="D196" i="6"/>
  <c r="C196" i="6"/>
  <c r="J195" i="6"/>
  <c r="J196" i="6" s="1"/>
  <c r="J197" i="6" s="1"/>
  <c r="J198" i="6" s="1"/>
  <c r="J199" i="6" s="1"/>
  <c r="J200" i="6" s="1"/>
  <c r="J201" i="6" s="1"/>
  <c r="J202" i="6" s="1"/>
  <c r="J203" i="6" s="1"/>
  <c r="J204" i="6" s="1"/>
  <c r="J205" i="6" s="1"/>
  <c r="J206" i="6" s="1"/>
  <c r="J207" i="6" s="1"/>
  <c r="J208" i="6" s="1"/>
  <c r="J209" i="6" s="1"/>
  <c r="J210" i="6" s="1"/>
  <c r="J211" i="6" s="1"/>
  <c r="J212" i="6" s="1"/>
  <c r="J213" i="6" s="1"/>
  <c r="J214" i="6" s="1"/>
  <c r="J215" i="6" s="1"/>
  <c r="J216" i="6" s="1"/>
  <c r="J217" i="6" s="1"/>
  <c r="J218" i="6" s="1"/>
  <c r="J219" i="6" s="1"/>
  <c r="J220" i="6" s="1"/>
  <c r="J221" i="6" s="1"/>
  <c r="J222" i="6" s="1"/>
  <c r="J223" i="6" s="1"/>
  <c r="J224" i="6" s="1"/>
  <c r="J225" i="6" s="1"/>
  <c r="J226" i="6" s="1"/>
  <c r="J227" i="6" s="1"/>
  <c r="J228" i="6" s="1"/>
  <c r="J229" i="6" s="1"/>
  <c r="J230" i="6" s="1"/>
  <c r="J231" i="6" s="1"/>
  <c r="J232" i="6" s="1"/>
  <c r="J233" i="6" s="1"/>
  <c r="J234" i="6" s="1"/>
  <c r="J235" i="6" s="1"/>
  <c r="J236" i="6" s="1"/>
  <c r="J237" i="6" s="1"/>
  <c r="J238" i="6" s="1"/>
  <c r="J239" i="6" s="1"/>
  <c r="J240" i="6" s="1"/>
  <c r="J241" i="6" s="1"/>
  <c r="J242" i="6" s="1"/>
  <c r="J243" i="6" s="1"/>
  <c r="J244" i="6" s="1"/>
  <c r="J245" i="6" s="1"/>
  <c r="J246" i="6" s="1"/>
  <c r="J247" i="6" s="1"/>
  <c r="J248" i="6" s="1"/>
  <c r="J249" i="6" s="1"/>
  <c r="J250" i="6" s="1"/>
  <c r="J251" i="6" s="1"/>
  <c r="J252" i="6" s="1"/>
  <c r="J253" i="6" s="1"/>
  <c r="J254" i="6" s="1"/>
  <c r="J255" i="6" s="1"/>
  <c r="J256" i="6" s="1"/>
  <c r="J257" i="6" s="1"/>
  <c r="J258" i="6" s="1"/>
  <c r="J259" i="6" s="1"/>
  <c r="J260" i="6" s="1"/>
  <c r="J261" i="6" s="1"/>
  <c r="J262" i="6" s="1"/>
  <c r="J263" i="6" s="1"/>
  <c r="J264" i="6" s="1"/>
  <c r="J265" i="6" s="1"/>
  <c r="J266" i="6" s="1"/>
  <c r="D195" i="6"/>
  <c r="C195" i="6"/>
  <c r="D194" i="6"/>
  <c r="C194" i="6"/>
  <c r="D193" i="6"/>
  <c r="C193" i="6"/>
  <c r="D192" i="6"/>
  <c r="C192" i="6"/>
  <c r="D191" i="6"/>
  <c r="C191" i="6"/>
  <c r="D190" i="6"/>
  <c r="C190" i="6"/>
  <c r="D189" i="6"/>
  <c r="C189" i="6"/>
  <c r="D188" i="6"/>
  <c r="C188" i="6"/>
  <c r="D187" i="6"/>
  <c r="C187" i="6"/>
  <c r="D186" i="6"/>
  <c r="C186" i="6"/>
  <c r="D185" i="6"/>
  <c r="C185" i="6"/>
  <c r="D184" i="6"/>
  <c r="C184" i="6"/>
  <c r="D183" i="6"/>
  <c r="C183" i="6"/>
  <c r="D182" i="6"/>
  <c r="C182" i="6"/>
  <c r="D181" i="6"/>
  <c r="C181" i="6"/>
  <c r="D180" i="6"/>
  <c r="C180" i="6"/>
  <c r="D179" i="6"/>
  <c r="C179" i="6"/>
  <c r="D178" i="6"/>
  <c r="C178" i="6"/>
  <c r="D177" i="6"/>
  <c r="C177" i="6"/>
  <c r="D176" i="6"/>
  <c r="C176" i="6"/>
  <c r="D175" i="6"/>
  <c r="C175" i="6"/>
  <c r="D174" i="6"/>
  <c r="C174" i="6"/>
  <c r="D173" i="6"/>
  <c r="C173" i="6"/>
  <c r="D172" i="6"/>
  <c r="C172" i="6"/>
  <c r="D171" i="6"/>
  <c r="C171" i="6"/>
  <c r="D170" i="6"/>
  <c r="C170" i="6"/>
  <c r="D169" i="6"/>
  <c r="C169" i="6"/>
  <c r="D168" i="6"/>
  <c r="C168" i="6"/>
  <c r="D167" i="6"/>
  <c r="C167" i="6"/>
  <c r="D166" i="6"/>
  <c r="C166" i="6"/>
  <c r="D165" i="6"/>
  <c r="C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D149" i="6"/>
  <c r="C149" i="6"/>
  <c r="D148" i="6"/>
  <c r="C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D126" i="6"/>
  <c r="C126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4" i="1"/>
  <c r="S79" i="1"/>
  <c r="R79" i="1"/>
  <c r="Q79" i="1"/>
  <c r="P79" i="1"/>
  <c r="O79" i="1"/>
  <c r="N79" i="1"/>
  <c r="M79" i="1"/>
  <c r="K79" i="1"/>
  <c r="C79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K73" i="1"/>
  <c r="L73" i="1"/>
  <c r="S42" i="1"/>
  <c r="R42" i="1"/>
  <c r="Q42" i="1"/>
  <c r="P42" i="1"/>
  <c r="O42" i="1"/>
  <c r="N42" i="1"/>
  <c r="M42" i="1"/>
  <c r="L42" i="1"/>
  <c r="K42" i="1"/>
  <c r="K29" i="1"/>
  <c r="L29" i="1"/>
  <c r="M29" i="1"/>
  <c r="N29" i="1"/>
  <c r="O29" i="1"/>
  <c r="P29" i="1"/>
  <c r="Q29" i="1"/>
  <c r="R29" i="1"/>
  <c r="S29" i="1"/>
  <c r="S15" i="1"/>
  <c r="K15" i="1"/>
  <c r="R15" i="1"/>
  <c r="Q15" i="1"/>
  <c r="P15" i="1"/>
  <c r="O15" i="1"/>
  <c r="N15" i="1"/>
  <c r="M15" i="1"/>
  <c r="L15" i="1"/>
  <c r="C4" i="1"/>
  <c r="I250" i="12" l="1"/>
  <c r="I265" i="11"/>
  <c r="I265" i="10"/>
  <c r="H249" i="8"/>
  <c r="I265" i="9"/>
  <c r="H264" i="7"/>
  <c r="H264" i="6"/>
  <c r="I267" i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J195" i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H232" i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I251" i="12" l="1"/>
  <c r="I266" i="11"/>
  <c r="I266" i="10"/>
  <c r="H250" i="8"/>
  <c r="I266" i="9"/>
  <c r="H265" i="7"/>
  <c r="H265" i="6"/>
  <c r="H264" i="1"/>
  <c r="I252" i="12" l="1"/>
  <c r="I267" i="11"/>
  <c r="I267" i="10"/>
  <c r="H251" i="8"/>
  <c r="I267" i="9"/>
  <c r="H266" i="7"/>
  <c r="H266" i="6"/>
  <c r="H265" i="1"/>
  <c r="I253" i="12" l="1"/>
  <c r="I268" i="11"/>
  <c r="K267" i="11"/>
  <c r="I268" i="10"/>
  <c r="K267" i="10"/>
  <c r="H252" i="8"/>
  <c r="K267" i="9"/>
  <c r="I268" i="9"/>
  <c r="H267" i="7"/>
  <c r="H267" i="6"/>
  <c r="H266" i="1"/>
  <c r="I254" i="12" l="1"/>
  <c r="K268" i="11"/>
  <c r="I269" i="11"/>
  <c r="K268" i="10"/>
  <c r="I269" i="10"/>
  <c r="H253" i="8"/>
  <c r="I269" i="9"/>
  <c r="K268" i="9"/>
  <c r="H268" i="7"/>
  <c r="J267" i="7"/>
  <c r="H268" i="6"/>
  <c r="J267" i="6"/>
  <c r="H267" i="1"/>
  <c r="I255" i="12" l="1"/>
  <c r="K269" i="11"/>
  <c r="I270" i="11"/>
  <c r="K269" i="10"/>
  <c r="I270" i="10"/>
  <c r="H254" i="8"/>
  <c r="K269" i="9"/>
  <c r="I270" i="9"/>
  <c r="J268" i="7"/>
  <c r="H269" i="7"/>
  <c r="H269" i="6"/>
  <c r="J268" i="6"/>
  <c r="H268" i="1"/>
  <c r="J267" i="1"/>
  <c r="I256" i="12" l="1"/>
  <c r="K270" i="11"/>
  <c r="I271" i="11"/>
  <c r="I271" i="10"/>
  <c r="K270" i="10"/>
  <c r="L270" i="9"/>
  <c r="H255" i="8"/>
  <c r="I271" i="9"/>
  <c r="K270" i="9"/>
  <c r="J269" i="7"/>
  <c r="H270" i="7"/>
  <c r="J269" i="6"/>
  <c r="H270" i="6"/>
  <c r="H269" i="1"/>
  <c r="J268" i="1"/>
  <c r="I257" i="12" l="1"/>
  <c r="I258" i="12" s="1"/>
  <c r="I259" i="12" s="1"/>
  <c r="I260" i="12" s="1"/>
  <c r="I272" i="11"/>
  <c r="K271" i="11"/>
  <c r="I272" i="10"/>
  <c r="K271" i="10"/>
  <c r="H256" i="8"/>
  <c r="K271" i="9"/>
  <c r="I272" i="9"/>
  <c r="J270" i="7"/>
  <c r="H271" i="7"/>
  <c r="J270" i="6"/>
  <c r="H271" i="6"/>
  <c r="H270" i="1"/>
  <c r="J269" i="1"/>
  <c r="J270" i="1" s="1"/>
  <c r="I261" i="12" l="1"/>
  <c r="I262" i="12" s="1"/>
  <c r="I263" i="12" s="1"/>
  <c r="I264" i="12" s="1"/>
  <c r="T260" i="12"/>
  <c r="S260" i="12"/>
  <c r="R260" i="12"/>
  <c r="Q260" i="12"/>
  <c r="P260" i="12"/>
  <c r="O260" i="12"/>
  <c r="N260" i="12"/>
  <c r="M260" i="12"/>
  <c r="L260" i="12"/>
  <c r="I273" i="11"/>
  <c r="K272" i="11"/>
  <c r="I273" i="10"/>
  <c r="K272" i="10"/>
  <c r="H257" i="8"/>
  <c r="H258" i="8" s="1"/>
  <c r="H259" i="8" s="1"/>
  <c r="H260" i="8" s="1"/>
  <c r="K260" i="8"/>
  <c r="I273" i="9"/>
  <c r="K272" i="9"/>
  <c r="H272" i="7"/>
  <c r="J271" i="7"/>
  <c r="J271" i="6"/>
  <c r="H272" i="6"/>
  <c r="H271" i="1"/>
  <c r="I265" i="12" l="1"/>
  <c r="K273" i="11"/>
  <c r="I274" i="11"/>
  <c r="K273" i="10"/>
  <c r="I274" i="10"/>
  <c r="H261" i="8"/>
  <c r="H262" i="8" s="1"/>
  <c r="H263" i="8" s="1"/>
  <c r="H264" i="8" s="1"/>
  <c r="H265" i="8" s="1"/>
  <c r="H266" i="8" s="1"/>
  <c r="H267" i="8" s="1"/>
  <c r="S260" i="8"/>
  <c r="R260" i="8"/>
  <c r="Q260" i="8"/>
  <c r="P260" i="8"/>
  <c r="O260" i="8"/>
  <c r="N260" i="8"/>
  <c r="M260" i="8"/>
  <c r="L260" i="8"/>
  <c r="K273" i="9"/>
  <c r="I274" i="9"/>
  <c r="H273" i="7"/>
  <c r="J272" i="7"/>
  <c r="H273" i="6"/>
  <c r="J272" i="6"/>
  <c r="H272" i="1"/>
  <c r="H273" i="1" s="1"/>
  <c r="H274" i="1" s="1"/>
  <c r="J271" i="1"/>
  <c r="J272" i="1" s="1"/>
  <c r="J273" i="1" s="1"/>
  <c r="I266" i="12" l="1"/>
  <c r="K274" i="11"/>
  <c r="I275" i="11"/>
  <c r="K274" i="10"/>
  <c r="I275" i="10"/>
  <c r="H268" i="8"/>
  <c r="J267" i="8"/>
  <c r="I275" i="9"/>
  <c r="K274" i="9"/>
  <c r="H274" i="7"/>
  <c r="J273" i="7"/>
  <c r="H274" i="6"/>
  <c r="J273" i="6"/>
  <c r="H275" i="1"/>
  <c r="J274" i="1"/>
  <c r="I267" i="12" l="1"/>
  <c r="K275" i="11"/>
  <c r="I276" i="11"/>
  <c r="T275" i="11"/>
  <c r="S275" i="11"/>
  <c r="R275" i="11"/>
  <c r="Q275" i="11"/>
  <c r="P275" i="11"/>
  <c r="O275" i="11"/>
  <c r="N275" i="11"/>
  <c r="M275" i="11"/>
  <c r="L275" i="11"/>
  <c r="K275" i="10"/>
  <c r="I276" i="10"/>
  <c r="L276" i="10" s="1"/>
  <c r="S275" i="1"/>
  <c r="R275" i="1"/>
  <c r="Q275" i="1"/>
  <c r="P275" i="1"/>
  <c r="O275" i="1"/>
  <c r="N275" i="1"/>
  <c r="M275" i="1"/>
  <c r="L275" i="1"/>
  <c r="K275" i="1"/>
  <c r="L276" i="9"/>
  <c r="S275" i="9"/>
  <c r="M276" i="9"/>
  <c r="N276" i="9"/>
  <c r="O276" i="9"/>
  <c r="P276" i="9"/>
  <c r="T275" i="9"/>
  <c r="R275" i="9"/>
  <c r="Q275" i="9"/>
  <c r="P275" i="9"/>
  <c r="O275" i="9"/>
  <c r="N275" i="9"/>
  <c r="M275" i="9"/>
  <c r="L275" i="9"/>
  <c r="H269" i="8"/>
  <c r="J268" i="8"/>
  <c r="K275" i="9"/>
  <c r="I276" i="9"/>
  <c r="Q276" i="9" s="1"/>
  <c r="J274" i="7"/>
  <c r="H275" i="7"/>
  <c r="H275" i="6"/>
  <c r="J274" i="6"/>
  <c r="H276" i="1"/>
  <c r="H277" i="1" s="1"/>
  <c r="H278" i="1" s="1"/>
  <c r="H279" i="1" s="1"/>
  <c r="H280" i="1" s="1"/>
  <c r="H281" i="1" s="1"/>
  <c r="H282" i="1" s="1"/>
  <c r="J275" i="1"/>
  <c r="J276" i="1" s="1"/>
  <c r="K267" i="12" l="1"/>
  <c r="I268" i="12"/>
  <c r="I277" i="11"/>
  <c r="K276" i="11"/>
  <c r="I277" i="10"/>
  <c r="K276" i="10"/>
  <c r="S276" i="10"/>
  <c r="T276" i="10"/>
  <c r="O276" i="10"/>
  <c r="M276" i="10"/>
  <c r="N276" i="10"/>
  <c r="P276" i="10"/>
  <c r="Q276" i="10"/>
  <c r="R276" i="10"/>
  <c r="S276" i="9"/>
  <c r="R276" i="9"/>
  <c r="T276" i="9"/>
  <c r="J269" i="8"/>
  <c r="H270" i="8"/>
  <c r="I277" i="9"/>
  <c r="K276" i="9"/>
  <c r="S275" i="6"/>
  <c r="R275" i="6"/>
  <c r="Q275" i="6"/>
  <c r="P275" i="6"/>
  <c r="O275" i="6"/>
  <c r="N275" i="6"/>
  <c r="M275" i="6"/>
  <c r="L275" i="6"/>
  <c r="K275" i="6"/>
  <c r="H276" i="7"/>
  <c r="J275" i="7"/>
  <c r="H276" i="6"/>
  <c r="N276" i="6" s="1"/>
  <c r="J275" i="6"/>
  <c r="J277" i="1"/>
  <c r="J278" i="1" s="1"/>
  <c r="J279" i="1" s="1"/>
  <c r="J280" i="1" s="1"/>
  <c r="J281" i="1" s="1"/>
  <c r="J282" i="1" s="1"/>
  <c r="H283" i="1"/>
  <c r="I269" i="12" l="1"/>
  <c r="K268" i="12"/>
  <c r="I278" i="11"/>
  <c r="K277" i="11"/>
  <c r="K277" i="10"/>
  <c r="I278" i="10"/>
  <c r="J270" i="8"/>
  <c r="H271" i="8"/>
  <c r="J283" i="1"/>
  <c r="J284" i="1" s="1"/>
  <c r="I278" i="9"/>
  <c r="K277" i="9"/>
  <c r="S276" i="7"/>
  <c r="R276" i="7"/>
  <c r="Q276" i="7"/>
  <c r="P276" i="7"/>
  <c r="O276" i="7"/>
  <c r="N276" i="7"/>
  <c r="M276" i="7"/>
  <c r="L276" i="7"/>
  <c r="K276" i="7"/>
  <c r="P276" i="6"/>
  <c r="O276" i="6"/>
  <c r="R276" i="6"/>
  <c r="Q276" i="6"/>
  <c r="M276" i="6"/>
  <c r="K276" i="6"/>
  <c r="L276" i="6"/>
  <c r="S276" i="6"/>
  <c r="J276" i="7"/>
  <c r="H277" i="7"/>
  <c r="H277" i="6"/>
  <c r="J276" i="6"/>
  <c r="H284" i="1"/>
  <c r="I270" i="12" l="1"/>
  <c r="K269" i="12"/>
  <c r="K278" i="11"/>
  <c r="I279" i="11"/>
  <c r="I279" i="10"/>
  <c r="K278" i="10"/>
  <c r="J271" i="8"/>
  <c r="H272" i="8"/>
  <c r="K278" i="9"/>
  <c r="I279" i="9"/>
  <c r="H278" i="7"/>
  <c r="J277" i="7"/>
  <c r="H278" i="6"/>
  <c r="J277" i="6"/>
  <c r="H285" i="1"/>
  <c r="I271" i="12" l="1"/>
  <c r="K270" i="12"/>
  <c r="I280" i="11"/>
  <c r="K279" i="11"/>
  <c r="K279" i="10"/>
  <c r="I280" i="10"/>
  <c r="H273" i="8"/>
  <c r="J272" i="8"/>
  <c r="I280" i="9"/>
  <c r="K279" i="9"/>
  <c r="H279" i="7"/>
  <c r="J278" i="7"/>
  <c r="J278" i="6"/>
  <c r="H279" i="6"/>
  <c r="H286" i="1"/>
  <c r="J285" i="1"/>
  <c r="J286" i="1" s="1"/>
  <c r="I272" i="12" l="1"/>
  <c r="K271" i="12"/>
  <c r="I281" i="11"/>
  <c r="K280" i="11"/>
  <c r="K280" i="10"/>
  <c r="I281" i="10"/>
  <c r="J273" i="8"/>
  <c r="H274" i="8"/>
  <c r="K280" i="9"/>
  <c r="I281" i="9"/>
  <c r="H280" i="7"/>
  <c r="J279" i="7"/>
  <c r="J279" i="6"/>
  <c r="H280" i="6"/>
  <c r="J287" i="1"/>
  <c r="H287" i="1"/>
  <c r="I273" i="12" l="1"/>
  <c r="K272" i="12"/>
  <c r="I282" i="11"/>
  <c r="K281" i="11"/>
  <c r="I282" i="10"/>
  <c r="K281" i="10"/>
  <c r="H275" i="8"/>
  <c r="J274" i="8"/>
  <c r="I282" i="9"/>
  <c r="K281" i="9"/>
  <c r="J280" i="7"/>
  <c r="H281" i="7"/>
  <c r="J280" i="6"/>
  <c r="H281" i="6"/>
  <c r="H288" i="1"/>
  <c r="K273" i="12" l="1"/>
  <c r="I274" i="12"/>
  <c r="K282" i="11"/>
  <c r="I283" i="11"/>
  <c r="I283" i="10"/>
  <c r="K282" i="10"/>
  <c r="J275" i="8"/>
  <c r="H276" i="8"/>
  <c r="K282" i="9"/>
  <c r="I283" i="9"/>
  <c r="J281" i="7"/>
  <c r="H282" i="7"/>
  <c r="H282" i="6"/>
  <c r="J281" i="6"/>
  <c r="H289" i="1"/>
  <c r="J288" i="1"/>
  <c r="J289" i="1" s="1"/>
  <c r="K274" i="12" l="1"/>
  <c r="I275" i="12"/>
  <c r="K283" i="11"/>
  <c r="I284" i="11"/>
  <c r="I284" i="10"/>
  <c r="K283" i="10"/>
  <c r="H277" i="8"/>
  <c r="P276" i="8"/>
  <c r="O276" i="8"/>
  <c r="N276" i="8"/>
  <c r="J276" i="8"/>
  <c r="R276" i="8"/>
  <c r="Q276" i="8"/>
  <c r="S276" i="8"/>
  <c r="M276" i="8"/>
  <c r="L276" i="8"/>
  <c r="K276" i="8"/>
  <c r="I284" i="9"/>
  <c r="K283" i="9"/>
  <c r="J282" i="7"/>
  <c r="H283" i="7"/>
  <c r="H283" i="6"/>
  <c r="J282" i="6"/>
  <c r="H290" i="1"/>
  <c r="I276" i="12" l="1"/>
  <c r="K275" i="12"/>
  <c r="I285" i="11"/>
  <c r="K284" i="11"/>
  <c r="I285" i="10"/>
  <c r="K284" i="10"/>
  <c r="H278" i="8"/>
  <c r="J277" i="8"/>
  <c r="K284" i="9"/>
  <c r="I285" i="9"/>
  <c r="H284" i="7"/>
  <c r="J283" i="7"/>
  <c r="H284" i="6"/>
  <c r="J283" i="6"/>
  <c r="H291" i="1"/>
  <c r="H292" i="1" s="1"/>
  <c r="H293" i="1" s="1"/>
  <c r="H294" i="1" s="1"/>
  <c r="J290" i="1"/>
  <c r="J291" i="1" s="1"/>
  <c r="J292" i="1" s="1"/>
  <c r="J293" i="1" s="1"/>
  <c r="J294" i="1" s="1"/>
  <c r="K276" i="12" l="1"/>
  <c r="I277" i="12"/>
  <c r="I286" i="11"/>
  <c r="K285" i="11"/>
  <c r="I286" i="10"/>
  <c r="K285" i="10"/>
  <c r="S294" i="1"/>
  <c r="R294" i="1"/>
  <c r="Q294" i="1"/>
  <c r="P294" i="1"/>
  <c r="O294" i="1"/>
  <c r="N294" i="1"/>
  <c r="M294" i="1"/>
  <c r="L294" i="1"/>
  <c r="J278" i="8"/>
  <c r="H279" i="8"/>
  <c r="M278" i="8"/>
  <c r="N278" i="8"/>
  <c r="P278" i="8"/>
  <c r="S278" i="8"/>
  <c r="O278" i="8"/>
  <c r="R278" i="8"/>
  <c r="L278" i="8"/>
  <c r="Q278" i="8"/>
  <c r="K278" i="8"/>
  <c r="K294" i="1"/>
  <c r="I286" i="9"/>
  <c r="K285" i="9"/>
  <c r="H285" i="7"/>
  <c r="J284" i="7"/>
  <c r="J284" i="6"/>
  <c r="H285" i="6"/>
  <c r="H295" i="1"/>
  <c r="J295" i="1" s="1"/>
  <c r="I278" i="12" l="1"/>
  <c r="K277" i="12"/>
  <c r="I287" i="11"/>
  <c r="K286" i="11"/>
  <c r="K286" i="10"/>
  <c r="I287" i="10"/>
  <c r="J279" i="8"/>
  <c r="H280" i="8"/>
  <c r="K286" i="9"/>
  <c r="I287" i="9"/>
  <c r="H286" i="7"/>
  <c r="J285" i="7"/>
  <c r="J285" i="6"/>
  <c r="H286" i="6"/>
  <c r="H296" i="1"/>
  <c r="K278" i="12" l="1"/>
  <c r="I279" i="12"/>
  <c r="T278" i="12"/>
  <c r="L278" i="12"/>
  <c r="P278" i="12"/>
  <c r="S278" i="12"/>
  <c r="Q278" i="12"/>
  <c r="O278" i="12"/>
  <c r="M278" i="12"/>
  <c r="R278" i="12"/>
  <c r="N278" i="12"/>
  <c r="I288" i="11"/>
  <c r="K287" i="11"/>
  <c r="K287" i="10"/>
  <c r="I288" i="10"/>
  <c r="J280" i="8"/>
  <c r="H281" i="8"/>
  <c r="I288" i="9"/>
  <c r="K287" i="9"/>
  <c r="J286" i="7"/>
  <c r="H287" i="7"/>
  <c r="J286" i="6"/>
  <c r="H287" i="6"/>
  <c r="H297" i="1"/>
  <c r="J296" i="1"/>
  <c r="I280" i="12" l="1"/>
  <c r="K279" i="12"/>
  <c r="I289" i="11"/>
  <c r="K288" i="11"/>
  <c r="K288" i="10"/>
  <c r="I289" i="10"/>
  <c r="H282" i="8"/>
  <c r="J281" i="8"/>
  <c r="I289" i="9"/>
  <c r="K288" i="9"/>
  <c r="J287" i="7"/>
  <c r="H288" i="7"/>
  <c r="H288" i="6"/>
  <c r="J287" i="6"/>
  <c r="H298" i="1"/>
  <c r="J297" i="1"/>
  <c r="J298" i="1" s="1"/>
  <c r="I281" i="12" l="1"/>
  <c r="K280" i="12"/>
  <c r="I290" i="11"/>
  <c r="K289" i="11"/>
  <c r="I290" i="10"/>
  <c r="K289" i="10"/>
  <c r="H283" i="8"/>
  <c r="J282" i="8"/>
  <c r="I290" i="9"/>
  <c r="K289" i="9"/>
  <c r="J288" i="7"/>
  <c r="H289" i="7"/>
  <c r="H289" i="6"/>
  <c r="J288" i="6"/>
  <c r="H299" i="1"/>
  <c r="J299" i="1" s="1"/>
  <c r="I282" i="12" l="1"/>
  <c r="K281" i="12"/>
  <c r="I291" i="11"/>
  <c r="K290" i="11"/>
  <c r="I291" i="10"/>
  <c r="K290" i="10"/>
  <c r="H284" i="8"/>
  <c r="J283" i="8"/>
  <c r="K290" i="9"/>
  <c r="I291" i="9"/>
  <c r="H290" i="7"/>
  <c r="J289" i="7"/>
  <c r="H290" i="6"/>
  <c r="J289" i="6"/>
  <c r="H300" i="1"/>
  <c r="I283" i="12" l="1"/>
  <c r="K282" i="12"/>
  <c r="I292" i="11"/>
  <c r="K291" i="11"/>
  <c r="K291" i="10"/>
  <c r="I292" i="10"/>
  <c r="J284" i="8"/>
  <c r="H285" i="8"/>
  <c r="I292" i="9"/>
  <c r="K291" i="9"/>
  <c r="H291" i="7"/>
  <c r="J290" i="7"/>
  <c r="J290" i="6"/>
  <c r="H291" i="6"/>
  <c r="H301" i="1"/>
  <c r="H302" i="1" s="1"/>
  <c r="H303" i="1" s="1"/>
  <c r="H304" i="1" s="1"/>
  <c r="K304" i="1" s="1"/>
  <c r="J300" i="1"/>
  <c r="J301" i="1" s="1"/>
  <c r="J302" i="1" s="1"/>
  <c r="J303" i="1" s="1"/>
  <c r="J304" i="1" s="1"/>
  <c r="I284" i="12" l="1"/>
  <c r="K283" i="12"/>
  <c r="K292" i="11"/>
  <c r="I293" i="11"/>
  <c r="I293" i="10"/>
  <c r="K292" i="10"/>
  <c r="J285" i="8"/>
  <c r="H286" i="8"/>
  <c r="K2" i="1"/>
  <c r="K3" i="1"/>
  <c r="K292" i="9"/>
  <c r="I293" i="9"/>
  <c r="H292" i="7"/>
  <c r="J291" i="7"/>
  <c r="J291" i="6"/>
  <c r="H292" i="6"/>
  <c r="H305" i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Q304" i="1"/>
  <c r="S304" i="1"/>
  <c r="R304" i="1"/>
  <c r="P304" i="1"/>
  <c r="O304" i="1"/>
  <c r="N304" i="1"/>
  <c r="M304" i="1"/>
  <c r="L304" i="1"/>
  <c r="I285" i="12" l="1"/>
  <c r="K284" i="12"/>
  <c r="K293" i="11"/>
  <c r="I294" i="11"/>
  <c r="I294" i="10"/>
  <c r="K293" i="10"/>
  <c r="S2" i="1"/>
  <c r="S3" i="1"/>
  <c r="P2" i="1"/>
  <c r="P3" i="1"/>
  <c r="R2" i="1"/>
  <c r="R3" i="1"/>
  <c r="Q2" i="1"/>
  <c r="Q3" i="1"/>
  <c r="R293" i="9"/>
  <c r="L2" i="1"/>
  <c r="L3" i="1"/>
  <c r="H287" i="8"/>
  <c r="J286" i="8"/>
  <c r="M2" i="1"/>
  <c r="M3" i="1"/>
  <c r="N2" i="1"/>
  <c r="N3" i="1"/>
  <c r="O2" i="1"/>
  <c r="O3" i="1"/>
  <c r="K293" i="9"/>
  <c r="I294" i="9"/>
  <c r="J292" i="7"/>
  <c r="H293" i="7"/>
  <c r="J292" i="6"/>
  <c r="H293" i="6"/>
  <c r="J305" i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K285" i="12" l="1"/>
  <c r="I286" i="12"/>
  <c r="I295" i="11"/>
  <c r="K294" i="11"/>
  <c r="T294" i="11"/>
  <c r="S294" i="11"/>
  <c r="R294" i="11"/>
  <c r="Q294" i="11"/>
  <c r="P294" i="11"/>
  <c r="O294" i="11"/>
  <c r="N294" i="11"/>
  <c r="M294" i="11"/>
  <c r="L294" i="11"/>
  <c r="K294" i="10"/>
  <c r="I295" i="10"/>
  <c r="J287" i="8"/>
  <c r="H288" i="8"/>
  <c r="Q294" i="9"/>
  <c r="P294" i="9"/>
  <c r="O294" i="9"/>
  <c r="N294" i="9"/>
  <c r="M294" i="9"/>
  <c r="L294" i="9"/>
  <c r="K294" i="9"/>
  <c r="I295" i="9"/>
  <c r="R293" i="7"/>
  <c r="J293" i="7"/>
  <c r="H294" i="7"/>
  <c r="H294" i="6"/>
  <c r="J293" i="6"/>
  <c r="I287" i="12" l="1"/>
  <c r="K286" i="12"/>
  <c r="I296" i="11"/>
  <c r="K295" i="11"/>
  <c r="I296" i="10"/>
  <c r="K295" i="10"/>
  <c r="H289" i="8"/>
  <c r="J288" i="8"/>
  <c r="P295" i="9"/>
  <c r="K295" i="9"/>
  <c r="I296" i="9"/>
  <c r="Q294" i="7"/>
  <c r="P294" i="6"/>
  <c r="O294" i="6"/>
  <c r="N294" i="6"/>
  <c r="M294" i="6"/>
  <c r="L294" i="6"/>
  <c r="K294" i="6"/>
  <c r="J294" i="7"/>
  <c r="H295" i="7"/>
  <c r="K295" i="7" s="1"/>
  <c r="P294" i="7"/>
  <c r="O294" i="7"/>
  <c r="N294" i="7"/>
  <c r="M294" i="7"/>
  <c r="L294" i="7"/>
  <c r="K294" i="7"/>
  <c r="H295" i="6"/>
  <c r="J294" i="6"/>
  <c r="I288" i="12" l="1"/>
  <c r="K287" i="12"/>
  <c r="I297" i="11"/>
  <c r="K296" i="11"/>
  <c r="I297" i="10"/>
  <c r="K296" i="10"/>
  <c r="H290" i="8"/>
  <c r="J289" i="8"/>
  <c r="M296" i="9"/>
  <c r="O296" i="9"/>
  <c r="N296" i="9"/>
  <c r="L296" i="9"/>
  <c r="K296" i="9"/>
  <c r="I297" i="9"/>
  <c r="P295" i="7"/>
  <c r="H296" i="7"/>
  <c r="J295" i="7"/>
  <c r="J295" i="6"/>
  <c r="H296" i="6"/>
  <c r="I289" i="12" l="1"/>
  <c r="K288" i="12"/>
  <c r="I298" i="11"/>
  <c r="K297" i="11"/>
  <c r="K297" i="10"/>
  <c r="I298" i="10"/>
  <c r="J290" i="8"/>
  <c r="H291" i="8"/>
  <c r="I298" i="9"/>
  <c r="K297" i="9"/>
  <c r="O296" i="7"/>
  <c r="L296" i="7"/>
  <c r="N296" i="7"/>
  <c r="M296" i="7"/>
  <c r="H297" i="7"/>
  <c r="J296" i="7"/>
  <c r="H297" i="6"/>
  <c r="J296" i="6"/>
  <c r="I290" i="12" l="1"/>
  <c r="K289" i="12"/>
  <c r="I299" i="11"/>
  <c r="K298" i="11"/>
  <c r="I299" i="10"/>
  <c r="K298" i="10"/>
  <c r="J291" i="8"/>
  <c r="H292" i="8"/>
  <c r="K298" i="9"/>
  <c r="I299" i="9"/>
  <c r="H298" i="7"/>
  <c r="J297" i="7"/>
  <c r="H298" i="6"/>
  <c r="J297" i="6"/>
  <c r="I291" i="12" l="1"/>
  <c r="K290" i="12"/>
  <c r="I300" i="11"/>
  <c r="K299" i="11"/>
  <c r="I300" i="10"/>
  <c r="K299" i="10"/>
  <c r="J292" i="8"/>
  <c r="H293" i="8"/>
  <c r="I300" i="9"/>
  <c r="K299" i="9"/>
  <c r="J298" i="7"/>
  <c r="H299" i="7"/>
  <c r="H299" i="6"/>
  <c r="J298" i="6"/>
  <c r="K291" i="12" l="1"/>
  <c r="I292" i="12"/>
  <c r="I301" i="11"/>
  <c r="K300" i="11"/>
  <c r="I301" i="10"/>
  <c r="K300" i="10"/>
  <c r="J293" i="8"/>
  <c r="H294" i="8"/>
  <c r="R293" i="8"/>
  <c r="K300" i="9"/>
  <c r="I301" i="9"/>
  <c r="J299" i="7"/>
  <c r="H300" i="7"/>
  <c r="J299" i="6"/>
  <c r="H300" i="6"/>
  <c r="K292" i="12" l="1"/>
  <c r="I293" i="12"/>
  <c r="K301" i="11"/>
  <c r="I302" i="11"/>
  <c r="I302" i="10"/>
  <c r="K301" i="10"/>
  <c r="Q294" i="8"/>
  <c r="J294" i="8"/>
  <c r="H295" i="8"/>
  <c r="K301" i="9"/>
  <c r="I302" i="9"/>
  <c r="K300" i="7"/>
  <c r="H301" i="7"/>
  <c r="J300" i="7"/>
  <c r="J300" i="6"/>
  <c r="H301" i="6"/>
  <c r="I294" i="12" l="1"/>
  <c r="K293" i="12"/>
  <c r="I303" i="11"/>
  <c r="K302" i="11"/>
  <c r="I303" i="10"/>
  <c r="K302" i="10"/>
  <c r="P295" i="8"/>
  <c r="J295" i="8"/>
  <c r="H296" i="8"/>
  <c r="K295" i="8"/>
  <c r="I303" i="9"/>
  <c r="K302" i="9"/>
  <c r="H302" i="7"/>
  <c r="J301" i="7"/>
  <c r="J301" i="6"/>
  <c r="H302" i="6"/>
  <c r="K294" i="12" l="1"/>
  <c r="I295" i="12"/>
  <c r="I304" i="11"/>
  <c r="K303" i="11"/>
  <c r="K303" i="10"/>
  <c r="I304" i="10"/>
  <c r="O296" i="8"/>
  <c r="N296" i="8"/>
  <c r="H297" i="8"/>
  <c r="J296" i="8"/>
  <c r="M296" i="8"/>
  <c r="L296" i="8"/>
  <c r="I304" i="9"/>
  <c r="K303" i="9"/>
  <c r="H303" i="7"/>
  <c r="J302" i="7"/>
  <c r="H303" i="6"/>
  <c r="J302" i="6"/>
  <c r="K295" i="12" l="1"/>
  <c r="I296" i="12"/>
  <c r="K304" i="11"/>
  <c r="I305" i="11"/>
  <c r="R304" i="11"/>
  <c r="T304" i="11"/>
  <c r="S304" i="11"/>
  <c r="Q304" i="11"/>
  <c r="P304" i="11"/>
  <c r="O304" i="11"/>
  <c r="N304" i="11"/>
  <c r="M304" i="11"/>
  <c r="L304" i="11"/>
  <c r="K304" i="10"/>
  <c r="I305" i="10"/>
  <c r="T305" i="10" s="1"/>
  <c r="T304" i="10"/>
  <c r="S304" i="10"/>
  <c r="R304" i="10"/>
  <c r="Q304" i="10"/>
  <c r="P304" i="10"/>
  <c r="O304" i="10"/>
  <c r="N304" i="10"/>
  <c r="M304" i="10"/>
  <c r="L304" i="10"/>
  <c r="H298" i="8"/>
  <c r="J297" i="8"/>
  <c r="M297" i="8"/>
  <c r="R305" i="9"/>
  <c r="Q305" i="9"/>
  <c r="P305" i="9"/>
  <c r="O305" i="9"/>
  <c r="N305" i="9"/>
  <c r="M305" i="9"/>
  <c r="L305" i="9"/>
  <c r="T304" i="9"/>
  <c r="S304" i="9"/>
  <c r="R304" i="9"/>
  <c r="Q304" i="9"/>
  <c r="P304" i="9"/>
  <c r="O304" i="9"/>
  <c r="N304" i="9"/>
  <c r="M304" i="9"/>
  <c r="L304" i="9"/>
  <c r="N297" i="8"/>
  <c r="I305" i="9"/>
  <c r="T305" i="9" s="1"/>
  <c r="K304" i="9"/>
  <c r="J303" i="7"/>
  <c r="H304" i="7"/>
  <c r="H304" i="6"/>
  <c r="J303" i="6"/>
  <c r="I297" i="12" l="1"/>
  <c r="N297" i="12"/>
  <c r="K296" i="12"/>
  <c r="M2" i="11"/>
  <c r="M3" i="11"/>
  <c r="L3" i="11"/>
  <c r="L2" i="11"/>
  <c r="N2" i="11"/>
  <c r="N3" i="11"/>
  <c r="Q3" i="11"/>
  <c r="Q2" i="11"/>
  <c r="I306" i="11"/>
  <c r="K305" i="11"/>
  <c r="O2" i="11"/>
  <c r="O3" i="11"/>
  <c r="P3" i="11"/>
  <c r="P2" i="11"/>
  <c r="S3" i="11"/>
  <c r="S2" i="11"/>
  <c r="T3" i="11"/>
  <c r="T2" i="11"/>
  <c r="R2" i="11"/>
  <c r="U2" i="11" s="1"/>
  <c r="R3" i="11"/>
  <c r="L305" i="10"/>
  <c r="M305" i="10"/>
  <c r="Q305" i="10"/>
  <c r="R305" i="10"/>
  <c r="S305" i="10"/>
  <c r="O3" i="10"/>
  <c r="P3" i="10"/>
  <c r="R2" i="10"/>
  <c r="U2" i="10" s="1"/>
  <c r="R3" i="10"/>
  <c r="S3" i="10"/>
  <c r="S2" i="10"/>
  <c r="T3" i="10"/>
  <c r="T2" i="10"/>
  <c r="Q2" i="10"/>
  <c r="Q3" i="10"/>
  <c r="K305" i="10"/>
  <c r="I306" i="10"/>
  <c r="N305" i="10"/>
  <c r="N3" i="10" s="1"/>
  <c r="L2" i="10"/>
  <c r="L3" i="10"/>
  <c r="O305" i="10"/>
  <c r="O2" i="10" s="1"/>
  <c r="M2" i="10"/>
  <c r="M3" i="10"/>
  <c r="P305" i="10"/>
  <c r="P2" i="10" s="1"/>
  <c r="S305" i="9"/>
  <c r="J298" i="8"/>
  <c r="H299" i="8"/>
  <c r="I306" i="9"/>
  <c r="K305" i="9"/>
  <c r="S304" i="6"/>
  <c r="R304" i="6"/>
  <c r="Q304" i="6"/>
  <c r="P304" i="6"/>
  <c r="O304" i="6"/>
  <c r="N304" i="6"/>
  <c r="M304" i="6"/>
  <c r="L304" i="6"/>
  <c r="K304" i="6"/>
  <c r="H305" i="7"/>
  <c r="J304" i="7"/>
  <c r="H305" i="6"/>
  <c r="N305" i="6" s="1"/>
  <c r="J304" i="6"/>
  <c r="I298" i="12" l="1"/>
  <c r="K297" i="12"/>
  <c r="O297" i="12"/>
  <c r="I307" i="11"/>
  <c r="K306" i="11"/>
  <c r="I307" i="10"/>
  <c r="K306" i="10"/>
  <c r="N2" i="10"/>
  <c r="N2" i="6"/>
  <c r="N3" i="6"/>
  <c r="J299" i="8"/>
  <c r="H300" i="8"/>
  <c r="L299" i="8"/>
  <c r="K306" i="9"/>
  <c r="I307" i="9"/>
  <c r="S305" i="7"/>
  <c r="R305" i="7"/>
  <c r="Q305" i="7"/>
  <c r="P305" i="7"/>
  <c r="O305" i="7"/>
  <c r="N305" i="7"/>
  <c r="M305" i="7"/>
  <c r="L305" i="7"/>
  <c r="K305" i="7"/>
  <c r="O305" i="6"/>
  <c r="L305" i="6"/>
  <c r="R305" i="6"/>
  <c r="P305" i="6"/>
  <c r="M305" i="6"/>
  <c r="K305" i="6"/>
  <c r="S305" i="6"/>
  <c r="Q305" i="6"/>
  <c r="H306" i="7"/>
  <c r="J305" i="7"/>
  <c r="H306" i="6"/>
  <c r="J305" i="6"/>
  <c r="I299" i="12" l="1"/>
  <c r="K298" i="12"/>
  <c r="K307" i="11"/>
  <c r="I308" i="11"/>
  <c r="I308" i="10"/>
  <c r="K307" i="10"/>
  <c r="S2" i="6"/>
  <c r="S3" i="6"/>
  <c r="M2" i="6"/>
  <c r="M3" i="6"/>
  <c r="Q2" i="6"/>
  <c r="T2" i="6" s="1"/>
  <c r="Q3" i="6"/>
  <c r="K2" i="6"/>
  <c r="K3" i="6"/>
  <c r="P2" i="6"/>
  <c r="P3" i="6"/>
  <c r="H301" i="8"/>
  <c r="J300" i="8"/>
  <c r="K300" i="8"/>
  <c r="R2" i="6"/>
  <c r="R3" i="6"/>
  <c r="L2" i="6"/>
  <c r="L3" i="6"/>
  <c r="O2" i="6"/>
  <c r="O3" i="6"/>
  <c r="I308" i="9"/>
  <c r="K307" i="9"/>
  <c r="H307" i="7"/>
  <c r="J306" i="7"/>
  <c r="H307" i="6"/>
  <c r="J306" i="6"/>
  <c r="I300" i="12" l="1"/>
  <c r="K299" i="12"/>
  <c r="M299" i="12"/>
  <c r="I309" i="11"/>
  <c r="K308" i="11"/>
  <c r="I309" i="10"/>
  <c r="K308" i="10"/>
  <c r="J301" i="8"/>
  <c r="H302" i="8"/>
  <c r="K308" i="9"/>
  <c r="I309" i="9"/>
  <c r="H308" i="7"/>
  <c r="J307" i="7"/>
  <c r="H308" i="6"/>
  <c r="J307" i="6"/>
  <c r="I301" i="12" l="1"/>
  <c r="K300" i="12"/>
  <c r="I310" i="11"/>
  <c r="K309" i="11"/>
  <c r="I310" i="10"/>
  <c r="K309" i="10"/>
  <c r="H303" i="8"/>
  <c r="J302" i="8"/>
  <c r="I310" i="9"/>
  <c r="K309" i="9"/>
  <c r="H309" i="7"/>
  <c r="J308" i="7"/>
  <c r="J308" i="6"/>
  <c r="H309" i="6"/>
  <c r="I302" i="12" l="1"/>
  <c r="K301" i="12"/>
  <c r="K310" i="11"/>
  <c r="I311" i="11"/>
  <c r="K310" i="10"/>
  <c r="I311" i="10"/>
  <c r="H304" i="8"/>
  <c r="J303" i="8"/>
  <c r="K310" i="9"/>
  <c r="I311" i="9"/>
  <c r="J309" i="7"/>
  <c r="H310" i="7"/>
  <c r="J309" i="6"/>
  <c r="H310" i="6"/>
  <c r="I303" i="12" l="1"/>
  <c r="K302" i="12"/>
  <c r="I312" i="11"/>
  <c r="K311" i="11"/>
  <c r="K311" i="10"/>
  <c r="I312" i="10"/>
  <c r="H305" i="8"/>
  <c r="J304" i="8"/>
  <c r="I312" i="9"/>
  <c r="K311" i="9"/>
  <c r="J310" i="7"/>
  <c r="H311" i="7"/>
  <c r="J310" i="6"/>
  <c r="H311" i="6"/>
  <c r="K303" i="12" l="1"/>
  <c r="I304" i="12"/>
  <c r="I313" i="11"/>
  <c r="K312" i="11"/>
  <c r="I313" i="10"/>
  <c r="K312" i="10"/>
  <c r="J305" i="8"/>
  <c r="Q305" i="8"/>
  <c r="H306" i="8"/>
  <c r="S305" i="8"/>
  <c r="R305" i="8"/>
  <c r="M305" i="8"/>
  <c r="P305" i="8"/>
  <c r="O305" i="8"/>
  <c r="N305" i="8"/>
  <c r="L305" i="8"/>
  <c r="K305" i="8"/>
  <c r="I313" i="9"/>
  <c r="K312" i="9"/>
  <c r="J311" i="7"/>
  <c r="H312" i="7"/>
  <c r="H312" i="6"/>
  <c r="J311" i="6"/>
  <c r="K304" i="12" l="1"/>
  <c r="I305" i="12"/>
  <c r="K313" i="11"/>
  <c r="I314" i="11"/>
  <c r="I314" i="10"/>
  <c r="K313" i="10"/>
  <c r="J306" i="8"/>
  <c r="H307" i="8"/>
  <c r="I314" i="9"/>
  <c r="K313" i="9"/>
  <c r="H313" i="7"/>
  <c r="J312" i="7"/>
  <c r="H313" i="6"/>
  <c r="J312" i="6"/>
  <c r="I306" i="12" l="1"/>
  <c r="K305" i="12"/>
  <c r="K314" i="11"/>
  <c r="I315" i="11"/>
  <c r="I315" i="10"/>
  <c r="K314" i="10"/>
  <c r="J307" i="8"/>
  <c r="H308" i="8"/>
  <c r="K314" i="9"/>
  <c r="I315" i="9"/>
  <c r="H314" i="7"/>
  <c r="J313" i="7"/>
  <c r="H314" i="6"/>
  <c r="J313" i="6"/>
  <c r="K306" i="12" l="1"/>
  <c r="I307" i="12"/>
  <c r="K315" i="11"/>
  <c r="I316" i="11"/>
  <c r="K315" i="10"/>
  <c r="I316" i="10"/>
  <c r="J308" i="8"/>
  <c r="H309" i="8"/>
  <c r="I316" i="9"/>
  <c r="K315" i="9"/>
  <c r="H315" i="7"/>
  <c r="J314" i="7"/>
  <c r="J314" i="6"/>
  <c r="H315" i="6"/>
  <c r="I308" i="12" l="1"/>
  <c r="K307" i="12"/>
  <c r="I317" i="11"/>
  <c r="K316" i="11"/>
  <c r="I317" i="10"/>
  <c r="K316" i="10"/>
  <c r="J309" i="8"/>
  <c r="H310" i="8"/>
  <c r="K316" i="9"/>
  <c r="I317" i="9"/>
  <c r="J315" i="7"/>
  <c r="H316" i="7"/>
  <c r="J315" i="6"/>
  <c r="H316" i="6"/>
  <c r="I309" i="12" l="1"/>
  <c r="K308" i="12"/>
  <c r="I318" i="11"/>
  <c r="K317" i="11"/>
  <c r="I318" i="10"/>
  <c r="K317" i="10"/>
  <c r="J310" i="8"/>
  <c r="H311" i="8"/>
  <c r="I318" i="9"/>
  <c r="K317" i="9"/>
  <c r="J316" i="7"/>
  <c r="H317" i="7"/>
  <c r="J316" i="6"/>
  <c r="H317" i="6"/>
  <c r="I310" i="12" l="1"/>
  <c r="K309" i="12"/>
  <c r="K318" i="11"/>
  <c r="I319" i="11"/>
  <c r="I319" i="10"/>
  <c r="K318" i="10"/>
  <c r="H312" i="8"/>
  <c r="J311" i="8"/>
  <c r="I319" i="9"/>
  <c r="K318" i="9"/>
  <c r="J317" i="7"/>
  <c r="H318" i="7"/>
  <c r="H318" i="6"/>
  <c r="J317" i="6"/>
  <c r="I311" i="12" l="1"/>
  <c r="K310" i="12"/>
  <c r="I320" i="11"/>
  <c r="K319" i="11"/>
  <c r="I320" i="10"/>
  <c r="K319" i="10"/>
  <c r="H313" i="8"/>
  <c r="J312" i="8"/>
  <c r="I320" i="9"/>
  <c r="K319" i="9"/>
  <c r="H319" i="7"/>
  <c r="J318" i="7"/>
  <c r="H319" i="6"/>
  <c r="J318" i="6"/>
  <c r="I312" i="12" l="1"/>
  <c r="K311" i="12"/>
  <c r="I321" i="11"/>
  <c r="K320" i="11"/>
  <c r="I321" i="10"/>
  <c r="K320" i="10"/>
  <c r="H314" i="8"/>
  <c r="J313" i="8"/>
  <c r="K320" i="9"/>
  <c r="I321" i="9"/>
  <c r="H320" i="7"/>
  <c r="J319" i="7"/>
  <c r="H320" i="6"/>
  <c r="J319" i="6"/>
  <c r="K312" i="12" l="1"/>
  <c r="I313" i="12"/>
  <c r="I322" i="11"/>
  <c r="K321" i="11"/>
  <c r="K321" i="10"/>
  <c r="I322" i="10"/>
  <c r="J314" i="8"/>
  <c r="H315" i="8"/>
  <c r="K321" i="9"/>
  <c r="I322" i="9"/>
  <c r="H321" i="7"/>
  <c r="J320" i="7"/>
  <c r="J320" i="6"/>
  <c r="H321" i="6"/>
  <c r="K313" i="12" l="1"/>
  <c r="I314" i="12"/>
  <c r="K322" i="11"/>
  <c r="I323" i="11"/>
  <c r="K322" i="10"/>
  <c r="I323" i="10"/>
  <c r="J315" i="8"/>
  <c r="H316" i="8"/>
  <c r="K322" i="9"/>
  <c r="I323" i="9"/>
  <c r="J321" i="7"/>
  <c r="H322" i="7"/>
  <c r="J321" i="6"/>
  <c r="H322" i="6"/>
  <c r="I315" i="12" l="1"/>
  <c r="K314" i="12"/>
  <c r="I324" i="11"/>
  <c r="K323" i="11"/>
  <c r="I324" i="10"/>
  <c r="K323" i="10"/>
  <c r="J316" i="8"/>
  <c r="H317" i="8"/>
  <c r="I324" i="9"/>
  <c r="K323" i="9"/>
  <c r="J322" i="7"/>
  <c r="H323" i="7"/>
  <c r="J322" i="6"/>
  <c r="H323" i="6"/>
  <c r="I316" i="12" l="1"/>
  <c r="K315" i="12"/>
  <c r="I325" i="11"/>
  <c r="K324" i="11"/>
  <c r="I325" i="10"/>
  <c r="K324" i="10"/>
  <c r="J317" i="8"/>
  <c r="H318" i="8"/>
  <c r="K324" i="9"/>
  <c r="I325" i="9"/>
  <c r="J323" i="7"/>
  <c r="H324" i="7"/>
  <c r="H324" i="6"/>
  <c r="J323" i="6"/>
  <c r="I317" i="12" l="1"/>
  <c r="K316" i="12"/>
  <c r="I326" i="11"/>
  <c r="K325" i="11"/>
  <c r="I326" i="10"/>
  <c r="K325" i="10"/>
  <c r="H319" i="8"/>
  <c r="J318" i="8"/>
  <c r="I326" i="9"/>
  <c r="S326" i="9" s="1"/>
  <c r="S3" i="9" s="1"/>
  <c r="K325" i="9"/>
  <c r="M326" i="9"/>
  <c r="T325" i="9"/>
  <c r="S325" i="9"/>
  <c r="R325" i="9"/>
  <c r="Q325" i="9"/>
  <c r="P325" i="9"/>
  <c r="O325" i="9"/>
  <c r="N325" i="9"/>
  <c r="M325" i="9"/>
  <c r="L325" i="9"/>
  <c r="H325" i="7"/>
  <c r="J324" i="7"/>
  <c r="H325" i="6"/>
  <c r="J324" i="6"/>
  <c r="K317" i="12" l="1"/>
  <c r="I318" i="12"/>
  <c r="K326" i="11"/>
  <c r="K326" i="10"/>
  <c r="Q326" i="9"/>
  <c r="L326" i="9"/>
  <c r="H320" i="8"/>
  <c r="J319" i="8"/>
  <c r="L2" i="9"/>
  <c r="L3" i="9"/>
  <c r="Q2" i="9"/>
  <c r="Q3" i="9"/>
  <c r="K326" i="9"/>
  <c r="R326" i="9"/>
  <c r="M3" i="9"/>
  <c r="M2" i="9"/>
  <c r="R2" i="9"/>
  <c r="R3" i="9"/>
  <c r="O326" i="9"/>
  <c r="N326" i="9"/>
  <c r="S2" i="9"/>
  <c r="P326" i="9"/>
  <c r="T326" i="9"/>
  <c r="T2" i="9" s="1"/>
  <c r="P326" i="7"/>
  <c r="P3" i="7" s="1"/>
  <c r="M326" i="7"/>
  <c r="S325" i="7"/>
  <c r="R325" i="7"/>
  <c r="Q325" i="7"/>
  <c r="P325" i="7"/>
  <c r="O325" i="7"/>
  <c r="N325" i="7"/>
  <c r="M325" i="7"/>
  <c r="L325" i="7"/>
  <c r="K325" i="7"/>
  <c r="H326" i="7"/>
  <c r="Q326" i="7" s="1"/>
  <c r="J325" i="7"/>
  <c r="H326" i="6"/>
  <c r="J325" i="6"/>
  <c r="K318" i="12" l="1"/>
  <c r="I319" i="12"/>
  <c r="Q3" i="7"/>
  <c r="J320" i="8"/>
  <c r="H321" i="8"/>
  <c r="P2" i="9"/>
  <c r="P3" i="9"/>
  <c r="N3" i="9"/>
  <c r="N2" i="9"/>
  <c r="T3" i="9"/>
  <c r="O3" i="9"/>
  <c r="O2" i="9"/>
  <c r="Q2" i="7"/>
  <c r="R326" i="7"/>
  <c r="R3" i="7" s="1"/>
  <c r="N326" i="7"/>
  <c r="N3" i="7" s="1"/>
  <c r="M2" i="7"/>
  <c r="M3" i="7"/>
  <c r="S2" i="7"/>
  <c r="O326" i="7"/>
  <c r="O3" i="7" s="1"/>
  <c r="N2" i="7"/>
  <c r="S326" i="7"/>
  <c r="S3" i="7" s="1"/>
  <c r="K326" i="7"/>
  <c r="K3" i="7" s="1"/>
  <c r="P2" i="7"/>
  <c r="L326" i="7"/>
  <c r="L2" i="7" s="1"/>
  <c r="J326" i="6"/>
  <c r="J326" i="7"/>
  <c r="K319" i="12" l="1"/>
  <c r="I320" i="12"/>
  <c r="R2" i="7"/>
  <c r="H322" i="8"/>
  <c r="J321" i="8"/>
  <c r="L3" i="7"/>
  <c r="K2" i="7"/>
  <c r="O2" i="7"/>
  <c r="I321" i="12" l="1"/>
  <c r="K320" i="12"/>
  <c r="J322" i="8"/>
  <c r="H323" i="8"/>
  <c r="I322" i="12" l="1"/>
  <c r="K321" i="12"/>
  <c r="H324" i="8"/>
  <c r="J323" i="8"/>
  <c r="I323" i="12" l="1"/>
  <c r="K322" i="12"/>
  <c r="H325" i="8"/>
  <c r="J324" i="8"/>
  <c r="I324" i="12" l="1"/>
  <c r="K323" i="12"/>
  <c r="H326" i="8"/>
  <c r="J325" i="8"/>
  <c r="K324" i="12" l="1"/>
  <c r="I325" i="12"/>
  <c r="S326" i="8"/>
  <c r="R326" i="8"/>
  <c r="Q326" i="8"/>
  <c r="P326" i="8"/>
  <c r="O326" i="8"/>
  <c r="J326" i="8"/>
  <c r="N326" i="8"/>
  <c r="M326" i="8"/>
  <c r="L326" i="8"/>
  <c r="K326" i="8"/>
  <c r="I326" i="12" l="1"/>
  <c r="K325" i="12"/>
  <c r="K3" i="8"/>
  <c r="K2" i="8"/>
  <c r="M2" i="8"/>
  <c r="M3" i="8"/>
  <c r="P3" i="8"/>
  <c r="P2" i="8"/>
  <c r="L3" i="8"/>
  <c r="L2" i="8"/>
  <c r="N3" i="8"/>
  <c r="N2" i="8"/>
  <c r="O3" i="8"/>
  <c r="O2" i="8"/>
  <c r="Q2" i="8"/>
  <c r="Q3" i="8"/>
  <c r="R3" i="8"/>
  <c r="R2" i="8"/>
  <c r="S2" i="8"/>
  <c r="S3" i="8"/>
  <c r="K326" i="12" l="1"/>
  <c r="O2" i="12" l="1"/>
  <c r="O3" i="12"/>
  <c r="Q2" i="12"/>
  <c r="Q3" i="12"/>
  <c r="S2" i="12"/>
  <c r="S3" i="12"/>
  <c r="L3" i="12"/>
  <c r="L2" i="12"/>
  <c r="N2" i="12"/>
  <c r="N3" i="12"/>
  <c r="R3" i="12"/>
  <c r="R2" i="12"/>
  <c r="U2" i="12" s="1"/>
  <c r="M2" i="12"/>
  <c r="M3" i="12"/>
  <c r="P3" i="12"/>
  <c r="P2" i="12"/>
  <c r="T2" i="12"/>
  <c r="T3" i="12"/>
</calcChain>
</file>

<file path=xl/sharedStrings.xml><?xml version="1.0" encoding="utf-8"?>
<sst xmlns="http://schemas.openxmlformats.org/spreadsheetml/2006/main" count="176" uniqueCount="26">
  <si>
    <t>KOSPI</t>
  </si>
  <si>
    <t>KOSPI 200</t>
  </si>
  <si>
    <t>KOSPI PBR</t>
    <phoneticPr fontId="1" type="noConversion"/>
  </si>
  <si>
    <t>월</t>
    <phoneticPr fontId="1" type="noConversion"/>
  </si>
  <si>
    <t>V-KOSPI 200</t>
  </si>
  <si>
    <t>F-KOSPI 200</t>
  </si>
  <si>
    <t>KOSDAQ</t>
  </si>
  <si>
    <t>KOSDAQ150</t>
    <phoneticPr fontId="1" type="noConversion"/>
  </si>
  <si>
    <t>6개월</t>
    <phoneticPr fontId="1" type="noConversion"/>
  </si>
  <si>
    <t>4개월</t>
    <phoneticPr fontId="1" type="noConversion"/>
  </si>
  <si>
    <t>5개월</t>
    <phoneticPr fontId="1" type="noConversion"/>
  </si>
  <si>
    <t>7개월</t>
    <phoneticPr fontId="1" type="noConversion"/>
  </si>
  <si>
    <t>8개월</t>
    <phoneticPr fontId="1" type="noConversion"/>
  </si>
  <si>
    <t>9개월</t>
    <phoneticPr fontId="1" type="noConversion"/>
  </si>
  <si>
    <t>10개월</t>
    <phoneticPr fontId="1" type="noConversion"/>
  </si>
  <si>
    <t>11개월</t>
    <phoneticPr fontId="1" type="noConversion"/>
  </si>
  <si>
    <t>12개월</t>
    <phoneticPr fontId="1" type="noConversion"/>
  </si>
  <si>
    <t>Boost 기간 중 다시 시그널 발생 시 2배신호 아니면 무시</t>
    <phoneticPr fontId="1" type="noConversion"/>
  </si>
  <si>
    <t>수익률 0%이하 숫자</t>
    <phoneticPr fontId="1" type="noConversion"/>
  </si>
  <si>
    <t>*3</t>
    <phoneticPr fontId="1" type="noConversion"/>
  </si>
  <si>
    <t>*2</t>
    <phoneticPr fontId="1" type="noConversion"/>
  </si>
  <si>
    <t>*1</t>
    <phoneticPr fontId="1" type="noConversion"/>
  </si>
  <si>
    <t>0.85-0.80-0.75</t>
    <phoneticPr fontId="1" type="noConversion"/>
  </si>
  <si>
    <t>0.9-0.85-0.8</t>
    <phoneticPr fontId="1" type="noConversion"/>
  </si>
  <si>
    <t>1.0-0.95-0.9</t>
    <phoneticPr fontId="1" type="noConversion"/>
  </si>
  <si>
    <t>limit MDD 10%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</si>
</sst>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.0"/>
    <numFmt numFmtId="177" formatCode="0.00_);[Red]\(0.00\)"/>
    <numFmt numFmtId="178" formatCode="0.0%"/>
    <numFmt numFmtId="179" formatCode="0_);[Red]\(0\)"/>
    <numFmt numFmtId="180" formatCode="_-* #,##0_-;\-* #,##0_-;_-* &quot;-&quot;??_-;_-@_-"/>
  </numFmts>
  <fonts count="9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ajor"/>
    </font>
    <font>
      <sz val="11"/>
      <color rgb="FF9900FF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1"/>
      <color rgb="FFFF000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b/>
      <sz val="11"/>
      <color rgb="FF0070C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FF"/>
        <bgColor indexed="64"/>
      </patternFill>
    </fill>
    <fill>
      <patternFill patternType="solid">
        <fgColor rgb="FFF4FFD1"/>
        <bgColor indexed="64"/>
      </patternFill>
    </fill>
    <fill>
      <patternFill patternType="solid">
        <fgColor rgb="FFCBE47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horizontal="left"/>
    </xf>
    <xf numFmtId="0" fontId="2" fillId="0" borderId="0" xfId="0" applyFont="1">
      <alignment vertical="center"/>
    </xf>
    <xf numFmtId="177" fontId="2" fillId="0" borderId="1" xfId="0" applyNumberFormat="1" applyFon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6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2" fontId="2" fillId="4" borderId="1" xfId="0" applyNumberFormat="1" applyFont="1" applyFill="1" applyBorder="1" applyAlignment="1">
      <alignment horizontal="right" vertical="center" wrapText="1"/>
    </xf>
    <xf numFmtId="2" fontId="2" fillId="6" borderId="1" xfId="0" applyNumberFormat="1" applyFont="1" applyFill="1" applyBorder="1" applyAlignment="1">
      <alignment horizontal="right" vertical="center" wrapText="1"/>
    </xf>
    <xf numFmtId="2" fontId="2" fillId="5" borderId="1" xfId="0" applyNumberFormat="1" applyFont="1" applyFill="1" applyBorder="1" applyAlignment="1">
      <alignment horizontal="right" vertical="center" wrapText="1"/>
    </xf>
    <xf numFmtId="2" fontId="2" fillId="7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/>
    </xf>
    <xf numFmtId="2" fontId="3" fillId="4" borderId="1" xfId="0" applyNumberFormat="1" applyFont="1" applyFill="1" applyBorder="1" applyAlignment="1">
      <alignment horizontal="right" vertical="center" wrapText="1"/>
    </xf>
    <xf numFmtId="2" fontId="3" fillId="6" borderId="1" xfId="0" applyNumberFormat="1" applyFont="1" applyFill="1" applyBorder="1" applyAlignment="1">
      <alignment horizontal="right" vertical="center" wrapText="1"/>
    </xf>
    <xf numFmtId="2" fontId="3" fillId="5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Border="1" applyAlignment="1">
      <alignment horizontal="right" vertical="center" wrapText="1"/>
    </xf>
    <xf numFmtId="2" fontId="3" fillId="7" borderId="1" xfId="0" applyNumberFormat="1" applyFont="1" applyFill="1" applyBorder="1" applyAlignment="1">
      <alignment horizontal="right" vertical="center" wrapText="1"/>
    </xf>
    <xf numFmtId="2" fontId="4" fillId="0" borderId="1" xfId="0" applyNumberFormat="1" applyFont="1" applyBorder="1">
      <alignment vertical="center"/>
    </xf>
    <xf numFmtId="4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8" borderId="1" xfId="0" applyFont="1" applyFill="1" applyBorder="1">
      <alignment vertical="center"/>
    </xf>
    <xf numFmtId="0" fontId="2" fillId="8" borderId="2" xfId="0" applyFont="1" applyFill="1" applyBorder="1">
      <alignment vertical="center"/>
    </xf>
    <xf numFmtId="2" fontId="2" fillId="9" borderId="1" xfId="0" applyNumberFormat="1" applyFont="1" applyFill="1" applyBorder="1">
      <alignment vertical="center"/>
    </xf>
    <xf numFmtId="2" fontId="2" fillId="10" borderId="1" xfId="0" applyNumberFormat="1" applyFont="1" applyFill="1" applyBorder="1">
      <alignment vertical="center"/>
    </xf>
    <xf numFmtId="0" fontId="2" fillId="8" borderId="3" xfId="0" applyFont="1" applyFill="1" applyBorder="1">
      <alignment vertical="center"/>
    </xf>
    <xf numFmtId="4" fontId="0" fillId="0" borderId="2" xfId="0" applyNumberForma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2" fontId="2" fillId="0" borderId="0" xfId="0" applyNumberFormat="1" applyFont="1">
      <alignment vertical="center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/>
    </xf>
    <xf numFmtId="4" fontId="0" fillId="0" borderId="4" xfId="0" applyNumberFormat="1" applyBorder="1" applyAlignment="1">
      <alignment horizontal="right"/>
    </xf>
    <xf numFmtId="0" fontId="2" fillId="8" borderId="4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2" applyFont="1" applyFill="1" applyBorder="1" applyAlignment="1">
      <alignment horizontal="right"/>
    </xf>
    <xf numFmtId="9" fontId="8" fillId="2" borderId="1" xfId="2" applyFont="1" applyFill="1" applyBorder="1" applyAlignment="1">
      <alignment horizontal="right"/>
    </xf>
    <xf numFmtId="178" fontId="2" fillId="0" borderId="0" xfId="2" applyNumberFormat="1" applyFont="1">
      <alignment vertical="center"/>
    </xf>
    <xf numFmtId="0" fontId="0" fillId="0" borderId="5" xfId="0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177" fontId="2" fillId="2" borderId="1" xfId="0" applyNumberFormat="1" applyFont="1" applyFill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center" vertical="center" wrapText="1"/>
    </xf>
    <xf numFmtId="177" fontId="2" fillId="6" borderId="1" xfId="0" applyNumberFormat="1" applyFont="1" applyFill="1" applyBorder="1" applyAlignment="1">
      <alignment horizontal="center" vertical="center" wrapText="1"/>
    </xf>
    <xf numFmtId="177" fontId="2" fillId="7" borderId="1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79" fontId="0" fillId="2" borderId="1" xfId="2" applyNumberFormat="1" applyFont="1" applyFill="1" applyBorder="1" applyAlignment="1">
      <alignment horizontal="right"/>
    </xf>
    <xf numFmtId="4" fontId="0" fillId="0" borderId="6" xfId="0" applyNumberFormat="1" applyBorder="1" applyAlignment="1">
      <alignment horizontal="right"/>
    </xf>
    <xf numFmtId="2" fontId="2" fillId="9" borderId="7" xfId="0" applyNumberFormat="1" applyFont="1" applyFill="1" applyBorder="1">
      <alignment vertical="center"/>
    </xf>
    <xf numFmtId="2" fontId="6" fillId="2" borderId="1" xfId="0" applyNumberFormat="1" applyFont="1" applyFill="1" applyBorder="1" applyAlignment="1">
      <alignment horizontal="center" vertical="center"/>
    </xf>
    <xf numFmtId="2" fontId="2" fillId="10" borderId="2" xfId="0" applyNumberFormat="1" applyFont="1" applyFill="1" applyBorder="1">
      <alignment vertical="center"/>
    </xf>
    <xf numFmtId="2" fontId="2" fillId="9" borderId="3" xfId="0" applyNumberFormat="1" applyFont="1" applyFill="1" applyBorder="1">
      <alignment vertical="center"/>
    </xf>
    <xf numFmtId="2" fontId="2" fillId="11" borderId="1" xfId="0" applyNumberFormat="1" applyFont="1" applyFill="1" applyBorder="1">
      <alignment vertical="center"/>
    </xf>
    <xf numFmtId="41" fontId="0" fillId="0" borderId="5" xfId="1" applyFont="1" applyFill="1" applyBorder="1" applyAlignment="1">
      <alignment horizontal="left"/>
    </xf>
    <xf numFmtId="41" fontId="0" fillId="0" borderId="0" xfId="1" applyFont="1" applyFill="1" applyBorder="1" applyAlignment="1">
      <alignment horizontal="left"/>
    </xf>
    <xf numFmtId="41" fontId="2" fillId="0" borderId="0" xfId="1" applyFont="1">
      <alignment vertical="center"/>
    </xf>
    <xf numFmtId="180" fontId="2" fillId="0" borderId="0" xfId="0" applyNumberFormat="1" applyFont="1">
      <alignment vertical="center"/>
    </xf>
    <xf numFmtId="9" fontId="0" fillId="0" borderId="0" xfId="2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9" fontId="0" fillId="2" borderId="2" xfId="2" applyFont="1" applyFill="1" applyBorder="1" applyAlignment="1">
      <alignment horizontal="right"/>
    </xf>
    <xf numFmtId="179" fontId="0" fillId="2" borderId="2" xfId="2" applyNumberFormat="1" applyFont="1" applyFill="1" applyBorder="1" applyAlignment="1">
      <alignment horizontal="right"/>
    </xf>
    <xf numFmtId="0" fontId="0" fillId="2" borderId="7" xfId="0" applyFill="1" applyBorder="1" applyAlignment="1">
      <alignment horizontal="center"/>
    </xf>
    <xf numFmtId="9" fontId="0" fillId="2" borderId="7" xfId="2" applyFont="1" applyFill="1" applyBorder="1" applyAlignment="1">
      <alignment horizontal="right"/>
    </xf>
    <xf numFmtId="179" fontId="0" fillId="2" borderId="7" xfId="2" applyNumberFormat="1" applyFont="1" applyFill="1" applyBorder="1" applyAlignment="1">
      <alignment horizontal="right"/>
    </xf>
    <xf numFmtId="0" fontId="8" fillId="2" borderId="8" xfId="0" applyFont="1" applyFill="1" applyBorder="1" applyAlignment="1">
      <alignment horizontal="center"/>
    </xf>
    <xf numFmtId="9" fontId="8" fillId="2" borderId="9" xfId="2" applyFont="1" applyFill="1" applyBorder="1" applyAlignment="1">
      <alignment horizontal="right"/>
    </xf>
    <xf numFmtId="179" fontId="0" fillId="2" borderId="10" xfId="2" applyNumberFormat="1" applyFont="1" applyFill="1" applyBorder="1" applyAlignment="1">
      <alignment horizontal="right"/>
    </xf>
  </cellXfs>
  <cellStyles count="3">
    <cellStyle name="백분율" xfId="2" builtinId="5"/>
    <cellStyle name="쉼표 [0]" xfId="1" builtinId="6"/>
    <cellStyle name="표준" xfId="0" builtinId="0"/>
  </cellStyles>
  <dxfs count="6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9900FF"/>
      <color rgb="FFF4FFD1"/>
      <color rgb="FFCBE4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6"/>
  <sheetViews>
    <sheetView zoomScale="85" zoomScaleNormal="85" workbookViewId="0">
      <pane ySplit="1" topLeftCell="A304" activePane="bottomLeft" state="frozen"/>
      <selection pane="bottomLeft" activeCell="Q304" sqref="Q304"/>
    </sheetView>
  </sheetViews>
  <sheetFormatPr defaultColWidth="21" defaultRowHeight="16.5"/>
  <cols>
    <col min="1" max="1" width="11.625" style="2" customWidth="1"/>
    <col min="2" max="2" width="10.375" style="6" customWidth="1"/>
    <col min="3" max="4" width="7.75" style="31" customWidth="1"/>
    <col min="5" max="5" width="8.875" style="6" customWidth="1"/>
    <col min="6" max="6" width="11.625" style="6" hidden="1" customWidth="1"/>
    <col min="7" max="8" width="11.625" style="6" customWidth="1"/>
    <col min="9" max="10" width="11.625" style="2" hidden="1" customWidth="1"/>
    <col min="11" max="19" width="8.75" style="2" customWidth="1"/>
    <col min="20" max="16384" width="21" style="2"/>
  </cols>
  <sheetData>
    <row r="1" spans="1:20" ht="18" customHeight="1">
      <c r="A1" s="10" t="s">
        <v>3</v>
      </c>
      <c r="B1" s="45" t="s">
        <v>2</v>
      </c>
      <c r="C1" s="46">
        <v>0.85</v>
      </c>
      <c r="D1" s="46">
        <v>0.8</v>
      </c>
      <c r="E1" s="47" t="s">
        <v>0</v>
      </c>
      <c r="F1" s="47" t="s">
        <v>1</v>
      </c>
      <c r="G1" s="47" t="s">
        <v>4</v>
      </c>
      <c r="H1" s="48" t="s">
        <v>5</v>
      </c>
      <c r="I1" s="49" t="s">
        <v>6</v>
      </c>
      <c r="J1" s="49" t="s">
        <v>7</v>
      </c>
      <c r="K1" s="49" t="s">
        <v>9</v>
      </c>
      <c r="L1" s="49" t="s">
        <v>10</v>
      </c>
      <c r="M1" s="49" t="s">
        <v>8</v>
      </c>
      <c r="N1" s="49" t="s">
        <v>11</v>
      </c>
      <c r="O1" s="49" t="s">
        <v>12</v>
      </c>
      <c r="P1" s="49" t="s">
        <v>13</v>
      </c>
      <c r="Q1" s="54" t="s">
        <v>14</v>
      </c>
      <c r="R1" s="49" t="s">
        <v>15</v>
      </c>
      <c r="S1" s="49" t="s">
        <v>16</v>
      </c>
      <c r="T1" s="53" t="s">
        <v>17</v>
      </c>
    </row>
    <row r="2" spans="1:20" ht="18" customHeight="1">
      <c r="A2" s="10"/>
      <c r="B2" s="45"/>
      <c r="C2" s="46" t="s">
        <v>21</v>
      </c>
      <c r="D2" s="46" t="s">
        <v>20</v>
      </c>
      <c r="E2" s="47"/>
      <c r="F2" s="47"/>
      <c r="G2" s="47"/>
      <c r="H2" s="48"/>
      <c r="I2" s="49"/>
      <c r="J2" s="49"/>
      <c r="K2" s="50">
        <f>PRODUCT(K4:K326)</f>
        <v>7.5530080189596074</v>
      </c>
      <c r="L2" s="50">
        <f t="shared" ref="L2:S2" si="0">PRODUCT(L4:L326)</f>
        <v>9.33910067784349</v>
      </c>
      <c r="M2" s="50">
        <f t="shared" si="0"/>
        <v>16.913890010256054</v>
      </c>
      <c r="N2" s="50">
        <f t="shared" si="0"/>
        <v>13.822373549892218</v>
      </c>
      <c r="O2" s="50">
        <f t="shared" si="0"/>
        <v>16.315424229652667</v>
      </c>
      <c r="P2" s="50">
        <f t="shared" si="0"/>
        <v>21.049225681311491</v>
      </c>
      <c r="Q2" s="51">
        <f t="shared" si="0"/>
        <v>23.215017453436371</v>
      </c>
      <c r="R2" s="50">
        <f t="shared" si="0"/>
        <v>21.088625611985822</v>
      </c>
      <c r="S2" s="50">
        <f t="shared" si="0"/>
        <v>16.144314790997583</v>
      </c>
      <c r="T2" s="78">
        <f>Q2^(1/27)-1</f>
        <v>0.12352835549720487</v>
      </c>
    </row>
    <row r="3" spans="1:20" ht="18" customHeight="1">
      <c r="A3" s="10"/>
      <c r="B3" s="62"/>
      <c r="C3" s="63"/>
      <c r="D3" s="63"/>
      <c r="E3" s="64"/>
      <c r="F3" s="64"/>
      <c r="G3" s="64"/>
      <c r="H3" s="65"/>
      <c r="I3" s="66"/>
      <c r="J3" s="66"/>
      <c r="K3" s="67">
        <f>COUNTIF(K4:K326, "&lt;1")</f>
        <v>1</v>
      </c>
      <c r="L3" s="67">
        <f t="shared" ref="L3:S3" si="1">COUNTIF(L4:L326, "&lt;1")</f>
        <v>1</v>
      </c>
      <c r="M3" s="67">
        <f t="shared" si="1"/>
        <v>0</v>
      </c>
      <c r="N3" s="67">
        <f t="shared" si="1"/>
        <v>1</v>
      </c>
      <c r="O3" s="67">
        <f t="shared" si="1"/>
        <v>1</v>
      </c>
      <c r="P3" s="67">
        <f t="shared" si="1"/>
        <v>1</v>
      </c>
      <c r="Q3" s="67">
        <f t="shared" si="1"/>
        <v>2</v>
      </c>
      <c r="R3" s="67">
        <f t="shared" si="1"/>
        <v>2</v>
      </c>
      <c r="S3" s="67">
        <f t="shared" si="1"/>
        <v>2</v>
      </c>
      <c r="T3" s="1" t="s">
        <v>18</v>
      </c>
    </row>
    <row r="4" spans="1:20" ht="18" customHeight="1">
      <c r="A4" s="9">
        <v>45962</v>
      </c>
      <c r="B4" s="40">
        <v>1.29</v>
      </c>
      <c r="C4" s="41" t="str">
        <f t="shared" ref="C4:C67" si="2">IF(B4&lt;=C$1, "Risk", "")</f>
        <v/>
      </c>
      <c r="D4" s="41" t="str">
        <f>IF(B4&lt;=D$1, "Risk", "")</f>
        <v/>
      </c>
      <c r="E4" s="42">
        <v>3853.26</v>
      </c>
      <c r="F4" s="42">
        <v>540.36</v>
      </c>
      <c r="G4" s="42">
        <v>41.88</v>
      </c>
      <c r="H4" s="42">
        <v>2666.12</v>
      </c>
      <c r="I4" s="43">
        <v>863.95</v>
      </c>
      <c r="J4" s="43">
        <v>1517.92</v>
      </c>
      <c r="R4" s="44"/>
      <c r="S4" s="44"/>
    </row>
    <row r="5" spans="1:20" ht="18" customHeight="1">
      <c r="A5" s="9">
        <v>45931</v>
      </c>
      <c r="B5" s="10">
        <v>1.38</v>
      </c>
      <c r="C5" s="30" t="str">
        <f t="shared" si="2"/>
        <v/>
      </c>
      <c r="D5" s="41" t="str">
        <f t="shared" ref="D5:D68" si="3">IF(B5&lt;=D$1, "Risk", "")</f>
        <v/>
      </c>
      <c r="E5" s="16">
        <v>4107.5</v>
      </c>
      <c r="F5" s="16">
        <v>579.46</v>
      </c>
      <c r="G5" s="16">
        <v>30.4</v>
      </c>
      <c r="H5" s="16">
        <v>2862.4</v>
      </c>
      <c r="I5" s="14">
        <v>900.42</v>
      </c>
      <c r="J5" s="14">
        <v>1549.34</v>
      </c>
      <c r="Q5" s="33"/>
      <c r="R5" s="32"/>
      <c r="S5" s="32"/>
    </row>
    <row r="6" spans="1:20" ht="18" customHeight="1">
      <c r="A6" s="9">
        <v>45901</v>
      </c>
      <c r="B6" s="3">
        <v>1.146595</v>
      </c>
      <c r="C6" s="30" t="str">
        <f t="shared" si="2"/>
        <v/>
      </c>
      <c r="D6" s="41" t="str">
        <f t="shared" si="3"/>
        <v/>
      </c>
      <c r="E6" s="16">
        <v>3424.6</v>
      </c>
      <c r="F6" s="16">
        <v>474.03</v>
      </c>
      <c r="G6" s="16">
        <v>20.62</v>
      </c>
      <c r="H6" s="16">
        <v>2343.75</v>
      </c>
      <c r="I6" s="14">
        <v>841.99</v>
      </c>
      <c r="J6" s="14">
        <v>1407.18</v>
      </c>
      <c r="P6" s="33"/>
      <c r="Q6" s="33"/>
      <c r="R6" s="32"/>
      <c r="S6" s="32"/>
    </row>
    <row r="7" spans="1:20" ht="18" customHeight="1">
      <c r="A7" s="9">
        <v>45870</v>
      </c>
      <c r="B7" s="3">
        <v>1.072565</v>
      </c>
      <c r="C7" s="30" t="str">
        <f t="shared" si="2"/>
        <v/>
      </c>
      <c r="D7" s="41" t="str">
        <f t="shared" si="3"/>
        <v/>
      </c>
      <c r="E7" s="16">
        <v>3186.01</v>
      </c>
      <c r="F7" s="16">
        <v>430.12</v>
      </c>
      <c r="G7" s="16">
        <v>19.52</v>
      </c>
      <c r="H7" s="16">
        <v>2127.69</v>
      </c>
      <c r="I7" s="14">
        <v>796.91</v>
      </c>
      <c r="J7" s="14">
        <v>1336.98</v>
      </c>
      <c r="K7" s="68"/>
      <c r="O7" s="33"/>
      <c r="P7" s="33"/>
      <c r="Q7" s="33"/>
      <c r="R7" s="32"/>
      <c r="S7" s="32"/>
    </row>
    <row r="8" spans="1:20" ht="18" customHeight="1">
      <c r="A8" s="9">
        <v>45839</v>
      </c>
      <c r="B8" s="3">
        <v>1.091499</v>
      </c>
      <c r="C8" s="30" t="str">
        <f t="shared" si="2"/>
        <v/>
      </c>
      <c r="D8" s="41" t="str">
        <f t="shared" si="3"/>
        <v/>
      </c>
      <c r="E8" s="16">
        <v>3245.44</v>
      </c>
      <c r="F8" s="16">
        <v>438.6</v>
      </c>
      <c r="G8" s="16">
        <v>21.85</v>
      </c>
      <c r="H8" s="16">
        <v>2163.7600000000002</v>
      </c>
      <c r="I8" s="14">
        <v>805.24</v>
      </c>
      <c r="J8" s="14">
        <v>1352.23</v>
      </c>
      <c r="N8" s="33"/>
      <c r="O8" s="33"/>
      <c r="P8" s="33"/>
      <c r="Q8" s="33"/>
      <c r="R8" s="32"/>
      <c r="S8" s="32"/>
    </row>
    <row r="9" spans="1:20" ht="18" customHeight="1">
      <c r="A9" s="9">
        <v>45809</v>
      </c>
      <c r="B9" s="11">
        <v>1.032691</v>
      </c>
      <c r="C9" s="30" t="str">
        <f t="shared" si="2"/>
        <v/>
      </c>
      <c r="D9" s="41" t="str">
        <f t="shared" si="3"/>
        <v/>
      </c>
      <c r="E9" s="16">
        <v>3071.7</v>
      </c>
      <c r="F9" s="16">
        <v>414.6</v>
      </c>
      <c r="G9" s="16">
        <v>23.99</v>
      </c>
      <c r="H9" s="16">
        <v>2056.29</v>
      </c>
      <c r="I9" s="13">
        <v>781.5</v>
      </c>
      <c r="J9" s="14">
        <v>1267.1300000000001</v>
      </c>
      <c r="M9" s="33"/>
      <c r="N9" s="33"/>
      <c r="O9" s="33"/>
      <c r="P9" s="33"/>
      <c r="Q9" s="33"/>
      <c r="R9" s="32"/>
      <c r="S9" s="32"/>
    </row>
    <row r="10" spans="1:20" ht="18" customHeight="1">
      <c r="A10" s="9">
        <v>45778</v>
      </c>
      <c r="B10" s="11">
        <v>0.91562399999999999</v>
      </c>
      <c r="C10" s="30" t="str">
        <f t="shared" si="2"/>
        <v/>
      </c>
      <c r="D10" s="41" t="str">
        <f t="shared" si="3"/>
        <v/>
      </c>
      <c r="E10" s="16">
        <v>2697.67</v>
      </c>
      <c r="F10" s="16">
        <v>359.62</v>
      </c>
      <c r="G10" s="16">
        <v>22.55</v>
      </c>
      <c r="H10" s="16">
        <v>1782.88</v>
      </c>
      <c r="I10" s="14">
        <v>734.35</v>
      </c>
      <c r="J10" s="14">
        <v>1194.26</v>
      </c>
      <c r="L10" s="33"/>
      <c r="M10" s="33"/>
      <c r="N10" s="33"/>
      <c r="O10" s="33"/>
      <c r="P10" s="33"/>
      <c r="Q10" s="33"/>
      <c r="R10" s="32"/>
      <c r="S10" s="32"/>
    </row>
    <row r="11" spans="1:20" ht="18" customHeight="1">
      <c r="A11" s="9">
        <v>45748</v>
      </c>
      <c r="B11" s="11">
        <v>0.89342200000000005</v>
      </c>
      <c r="C11" s="30" t="str">
        <f t="shared" si="2"/>
        <v/>
      </c>
      <c r="D11" s="41" t="str">
        <f t="shared" si="3"/>
        <v/>
      </c>
      <c r="E11" s="16">
        <v>2556.61</v>
      </c>
      <c r="F11" s="16">
        <v>338.74</v>
      </c>
      <c r="G11" s="16">
        <v>20.74</v>
      </c>
      <c r="H11" s="16">
        <v>1677.67</v>
      </c>
      <c r="I11" s="14">
        <v>717.24</v>
      </c>
      <c r="J11" s="14">
        <v>1169.69</v>
      </c>
      <c r="K11" s="33"/>
      <c r="L11" s="33"/>
      <c r="M11" s="33"/>
      <c r="N11" s="33"/>
      <c r="O11" s="33"/>
      <c r="P11" s="33"/>
      <c r="Q11" s="33"/>
      <c r="R11" s="32"/>
      <c r="S11" s="32"/>
    </row>
    <row r="12" spans="1:20" ht="18" customHeight="1">
      <c r="A12" s="9">
        <v>45717</v>
      </c>
      <c r="B12" s="11">
        <v>0.86726999999999999</v>
      </c>
      <c r="C12" s="30" t="str">
        <f t="shared" si="2"/>
        <v/>
      </c>
      <c r="D12" s="41" t="str">
        <f t="shared" si="3"/>
        <v/>
      </c>
      <c r="E12" s="16">
        <v>2481.12</v>
      </c>
      <c r="F12" s="16">
        <v>332.4</v>
      </c>
      <c r="G12" s="16">
        <v>25.35</v>
      </c>
      <c r="H12" s="16">
        <v>1652.67</v>
      </c>
      <c r="I12" s="14">
        <v>672.85</v>
      </c>
      <c r="J12" s="14">
        <v>1112.8900000000001</v>
      </c>
      <c r="K12" s="33"/>
      <c r="L12" s="33"/>
      <c r="M12" s="33"/>
      <c r="N12" s="33"/>
      <c r="O12" s="33"/>
      <c r="P12" s="33"/>
      <c r="Q12" s="33"/>
      <c r="R12" s="32"/>
      <c r="S12" s="32"/>
    </row>
    <row r="13" spans="1:20" ht="18" customHeight="1">
      <c r="A13" s="9">
        <v>45689</v>
      </c>
      <c r="B13" s="11">
        <v>0.88822400000000001</v>
      </c>
      <c r="C13" s="30" t="str">
        <f t="shared" si="2"/>
        <v/>
      </c>
      <c r="D13" s="41" t="str">
        <f t="shared" si="3"/>
        <v/>
      </c>
      <c r="E13" s="16">
        <v>2532.7800000000002</v>
      </c>
      <c r="F13" s="16">
        <v>334.27</v>
      </c>
      <c r="G13" s="16">
        <v>22.86</v>
      </c>
      <c r="H13" s="16">
        <v>1648.2</v>
      </c>
      <c r="I13" s="14">
        <v>743.96</v>
      </c>
      <c r="J13" s="14">
        <v>1262.71</v>
      </c>
      <c r="K13" s="33"/>
      <c r="L13" s="33"/>
      <c r="M13" s="33"/>
      <c r="N13" s="33"/>
      <c r="O13" s="33"/>
      <c r="P13" s="33"/>
      <c r="Q13" s="33"/>
      <c r="R13" s="32"/>
      <c r="S13" s="32"/>
    </row>
    <row r="14" spans="1:20" ht="18" customHeight="1">
      <c r="A14" s="9">
        <v>45658</v>
      </c>
      <c r="B14" s="11">
        <v>0.88211099999999998</v>
      </c>
      <c r="C14" s="30" t="str">
        <f t="shared" si="2"/>
        <v/>
      </c>
      <c r="D14" s="41" t="str">
        <f t="shared" si="3"/>
        <v/>
      </c>
      <c r="E14" s="16">
        <v>2517.37</v>
      </c>
      <c r="F14" s="16">
        <v>333.36</v>
      </c>
      <c r="G14" s="16">
        <v>18.79</v>
      </c>
      <c r="H14" s="16">
        <v>1642.77</v>
      </c>
      <c r="I14" s="14">
        <v>728.29</v>
      </c>
      <c r="J14" s="14">
        <v>1233.1600000000001</v>
      </c>
      <c r="K14" s="33"/>
      <c r="L14" s="33"/>
      <c r="M14" s="33"/>
      <c r="N14" s="33"/>
      <c r="O14" s="33"/>
      <c r="P14" s="33"/>
      <c r="Q14" s="33"/>
      <c r="R14" s="32"/>
      <c r="S14" s="32"/>
    </row>
    <row r="15" spans="1:20" ht="18" customHeight="1">
      <c r="A15" s="9">
        <v>45627</v>
      </c>
      <c r="B15" s="3">
        <v>0.84027300000000005</v>
      </c>
      <c r="C15" s="30" t="str">
        <f t="shared" si="2"/>
        <v>Risk</v>
      </c>
      <c r="D15" s="41" t="str">
        <f t="shared" si="3"/>
        <v/>
      </c>
      <c r="E15" s="16">
        <v>2399.4899999999998</v>
      </c>
      <c r="F15" s="16">
        <v>317.82</v>
      </c>
      <c r="G15" s="16">
        <v>21.14</v>
      </c>
      <c r="H15" s="16">
        <v>1575.57</v>
      </c>
      <c r="I15" s="14">
        <v>678.19</v>
      </c>
      <c r="J15" s="13">
        <v>1129.8</v>
      </c>
      <c r="K15" s="34">
        <f>$H11/$H15</f>
        <v>1.0648019446930319</v>
      </c>
      <c r="L15" s="34">
        <f>$H10/$H15</f>
        <v>1.1315777782009051</v>
      </c>
      <c r="M15" s="34">
        <f>$H9/$H15</f>
        <v>1.3051086273539101</v>
      </c>
      <c r="N15" s="34">
        <f>$H8/$H15</f>
        <v>1.3733188623799644</v>
      </c>
      <c r="O15" s="34">
        <f>$H7/$H15</f>
        <v>1.350425560273425</v>
      </c>
      <c r="P15" s="34">
        <f>$H6/$H15</f>
        <v>1.4875568841752509</v>
      </c>
      <c r="Q15" s="34">
        <f>$H5/$H15</f>
        <v>1.8167393387789816</v>
      </c>
      <c r="R15" s="34">
        <f>$H4/$H15</f>
        <v>1.6921622016159232</v>
      </c>
      <c r="S15" s="34">
        <f>$H4/$H15</f>
        <v>1.6921622016159232</v>
      </c>
    </row>
    <row r="16" spans="1:20" ht="18" customHeight="1">
      <c r="A16" s="9">
        <v>45597</v>
      </c>
      <c r="B16" s="3">
        <v>0.86388699999999996</v>
      </c>
      <c r="C16" s="30" t="str">
        <f t="shared" si="2"/>
        <v/>
      </c>
      <c r="D16" s="41" t="str">
        <f t="shared" si="3"/>
        <v/>
      </c>
      <c r="E16" s="16">
        <v>2455.91</v>
      </c>
      <c r="F16" s="16">
        <v>325.45</v>
      </c>
      <c r="G16" s="16">
        <v>19.34</v>
      </c>
      <c r="H16" s="16">
        <v>1612.46</v>
      </c>
      <c r="I16" s="14">
        <v>678.19</v>
      </c>
      <c r="J16" s="14">
        <v>1133.83</v>
      </c>
    </row>
    <row r="17" spans="1:19" ht="18" customHeight="1">
      <c r="A17" s="9">
        <v>45566</v>
      </c>
      <c r="B17" s="3">
        <v>0.89510699999999999</v>
      </c>
      <c r="C17" s="30" t="str">
        <f t="shared" si="2"/>
        <v/>
      </c>
      <c r="D17" s="41" t="str">
        <f t="shared" si="3"/>
        <v/>
      </c>
      <c r="E17" s="16">
        <v>2556.15</v>
      </c>
      <c r="F17" s="16">
        <v>339.32</v>
      </c>
      <c r="G17" s="16">
        <v>22.65</v>
      </c>
      <c r="H17" s="16">
        <v>1685.1</v>
      </c>
      <c r="I17" s="14">
        <v>743.06</v>
      </c>
      <c r="J17" s="14">
        <v>1273.29</v>
      </c>
      <c r="S17" s="32"/>
    </row>
    <row r="18" spans="1:19" ht="18" customHeight="1">
      <c r="A18" s="9">
        <v>45536</v>
      </c>
      <c r="B18" s="3">
        <v>0.90802499999999997</v>
      </c>
      <c r="C18" s="30" t="str">
        <f t="shared" si="2"/>
        <v/>
      </c>
      <c r="D18" s="41" t="str">
        <f t="shared" si="3"/>
        <v/>
      </c>
      <c r="E18" s="16">
        <v>2593.27</v>
      </c>
      <c r="F18" s="16">
        <v>344.76</v>
      </c>
      <c r="G18" s="16">
        <v>25.44</v>
      </c>
      <c r="H18" s="16">
        <v>1719.2</v>
      </c>
      <c r="I18" s="14">
        <v>763.88</v>
      </c>
      <c r="J18" s="14">
        <v>1288.3399999999999</v>
      </c>
      <c r="R18" s="32"/>
      <c r="S18" s="32"/>
    </row>
    <row r="19" spans="1:19" ht="18" customHeight="1">
      <c r="A19" s="9">
        <v>45505</v>
      </c>
      <c r="B19" s="3">
        <v>0.95820899999999998</v>
      </c>
      <c r="C19" s="30" t="str">
        <f t="shared" si="2"/>
        <v/>
      </c>
      <c r="D19" s="41" t="str">
        <f t="shared" si="3"/>
        <v/>
      </c>
      <c r="E19" s="16">
        <v>2674.31</v>
      </c>
      <c r="F19" s="16">
        <v>361.55</v>
      </c>
      <c r="G19" s="16">
        <v>18.809999999999999</v>
      </c>
      <c r="H19" s="16">
        <v>1802.36</v>
      </c>
      <c r="I19" s="14">
        <v>767.66</v>
      </c>
      <c r="J19" s="14">
        <v>1294.69</v>
      </c>
      <c r="Q19" s="33"/>
      <c r="R19" s="32"/>
      <c r="S19" s="32"/>
    </row>
    <row r="20" spans="1:19" ht="18" customHeight="1">
      <c r="A20" s="9">
        <v>45474</v>
      </c>
      <c r="B20" s="3">
        <v>0.99315799999999999</v>
      </c>
      <c r="C20" s="30" t="str">
        <f t="shared" si="2"/>
        <v/>
      </c>
      <c r="D20" s="41" t="str">
        <f t="shared" si="3"/>
        <v/>
      </c>
      <c r="E20" s="16">
        <v>2770.69</v>
      </c>
      <c r="F20" s="16">
        <v>380.49</v>
      </c>
      <c r="G20" s="16">
        <v>17.510000000000002</v>
      </c>
      <c r="H20" s="16">
        <v>1897.75</v>
      </c>
      <c r="I20" s="14">
        <v>803.15</v>
      </c>
      <c r="J20" s="14">
        <v>1338.75</v>
      </c>
      <c r="P20" s="33"/>
      <c r="Q20" s="33"/>
      <c r="R20" s="32"/>
      <c r="S20" s="32"/>
    </row>
    <row r="21" spans="1:19" ht="18" customHeight="1">
      <c r="A21" s="9">
        <v>45444</v>
      </c>
      <c r="B21" s="3">
        <v>1.001382</v>
      </c>
      <c r="C21" s="30" t="str">
        <f t="shared" si="2"/>
        <v/>
      </c>
      <c r="D21" s="41" t="str">
        <f t="shared" si="3"/>
        <v/>
      </c>
      <c r="E21" s="16">
        <v>2797.82</v>
      </c>
      <c r="F21" s="16">
        <v>384.02</v>
      </c>
      <c r="G21" s="16">
        <v>16.100000000000001</v>
      </c>
      <c r="H21" s="16">
        <v>1919.36</v>
      </c>
      <c r="I21" s="14">
        <v>840.44</v>
      </c>
      <c r="J21" s="14">
        <v>1361.54</v>
      </c>
      <c r="O21" s="33"/>
      <c r="P21" s="33"/>
      <c r="Q21" s="33"/>
      <c r="R21" s="32"/>
      <c r="S21" s="32"/>
    </row>
    <row r="22" spans="1:19" ht="18" customHeight="1">
      <c r="A22" s="9">
        <v>45413</v>
      </c>
      <c r="B22" s="3">
        <v>0.95718300000000001</v>
      </c>
      <c r="C22" s="30" t="str">
        <f t="shared" si="2"/>
        <v/>
      </c>
      <c r="D22" s="41" t="str">
        <f t="shared" si="3"/>
        <v/>
      </c>
      <c r="E22" s="16">
        <v>2636.52</v>
      </c>
      <c r="F22" s="16">
        <v>358.21</v>
      </c>
      <c r="G22" s="16">
        <v>16.899999999999999</v>
      </c>
      <c r="H22" s="16">
        <v>1799.7</v>
      </c>
      <c r="I22" s="14">
        <v>839.98</v>
      </c>
      <c r="J22" s="14">
        <v>1338.55</v>
      </c>
      <c r="N22" s="33"/>
      <c r="O22" s="33"/>
      <c r="P22" s="33"/>
      <c r="Q22" s="33"/>
      <c r="R22" s="32"/>
      <c r="S22" s="32"/>
    </row>
    <row r="23" spans="1:19" ht="18" customHeight="1">
      <c r="A23" s="9">
        <v>45383</v>
      </c>
      <c r="B23" s="5">
        <v>0.98</v>
      </c>
      <c r="C23" s="30" t="str">
        <f t="shared" si="2"/>
        <v/>
      </c>
      <c r="D23" s="41" t="str">
        <f t="shared" si="3"/>
        <v/>
      </c>
      <c r="E23" s="16">
        <v>2692.06</v>
      </c>
      <c r="F23" s="16">
        <v>365.13</v>
      </c>
      <c r="G23" s="16">
        <v>18.14</v>
      </c>
      <c r="H23" s="16">
        <v>1836.69</v>
      </c>
      <c r="I23" s="14">
        <v>868.93</v>
      </c>
      <c r="J23" s="14">
        <v>1442.22</v>
      </c>
      <c r="M23" s="33"/>
      <c r="N23" s="33"/>
      <c r="O23" s="33"/>
      <c r="P23" s="33"/>
      <c r="Q23" s="33"/>
      <c r="R23" s="32"/>
      <c r="S23" s="32"/>
    </row>
    <row r="24" spans="1:19" ht="18" customHeight="1">
      <c r="A24" s="9">
        <v>45352</v>
      </c>
      <c r="B24" s="5">
        <v>1</v>
      </c>
      <c r="C24" s="30" t="str">
        <f t="shared" si="2"/>
        <v/>
      </c>
      <c r="D24" s="41" t="str">
        <f t="shared" si="3"/>
        <v/>
      </c>
      <c r="E24" s="16">
        <v>2746.63</v>
      </c>
      <c r="F24" s="16">
        <v>374.63</v>
      </c>
      <c r="G24" s="16">
        <v>16.84</v>
      </c>
      <c r="H24" s="16">
        <v>1884.17</v>
      </c>
      <c r="I24" s="13">
        <v>905.5</v>
      </c>
      <c r="J24" s="14">
        <v>1520.44</v>
      </c>
      <c r="L24" s="33"/>
      <c r="M24" s="33"/>
      <c r="N24" s="33"/>
      <c r="O24" s="33"/>
      <c r="P24" s="33"/>
      <c r="Q24" s="33"/>
      <c r="R24" s="32"/>
      <c r="S24" s="32"/>
    </row>
    <row r="25" spans="1:19" ht="18" customHeight="1">
      <c r="A25" s="9">
        <v>45323</v>
      </c>
      <c r="B25" s="5">
        <v>0.96</v>
      </c>
      <c r="C25" s="30" t="str">
        <f t="shared" si="2"/>
        <v/>
      </c>
      <c r="D25" s="41" t="str">
        <f t="shared" si="3"/>
        <v/>
      </c>
      <c r="E25" s="16">
        <v>2642.36</v>
      </c>
      <c r="F25" s="16">
        <v>355.57</v>
      </c>
      <c r="G25" s="16">
        <v>16.77</v>
      </c>
      <c r="H25" s="16">
        <v>1785.57</v>
      </c>
      <c r="I25" s="14">
        <v>862.96</v>
      </c>
      <c r="J25" s="14">
        <v>1402.26</v>
      </c>
      <c r="K25" s="33"/>
      <c r="L25" s="33"/>
      <c r="M25" s="33"/>
      <c r="N25" s="33"/>
      <c r="O25" s="33"/>
      <c r="P25" s="33"/>
      <c r="Q25" s="33"/>
      <c r="R25" s="32"/>
      <c r="S25" s="32"/>
    </row>
    <row r="26" spans="1:19" ht="18" customHeight="1">
      <c r="A26" s="9">
        <v>45292</v>
      </c>
      <c r="B26" s="5">
        <v>0.91</v>
      </c>
      <c r="C26" s="30" t="str">
        <f t="shared" si="2"/>
        <v/>
      </c>
      <c r="D26" s="41" t="str">
        <f t="shared" si="3"/>
        <v/>
      </c>
      <c r="E26" s="16">
        <v>2497.09</v>
      </c>
      <c r="F26" s="16">
        <v>336.24</v>
      </c>
      <c r="G26" s="16">
        <v>17.02</v>
      </c>
      <c r="H26" s="16">
        <v>1691.46</v>
      </c>
      <c r="I26" s="14">
        <v>799.24</v>
      </c>
      <c r="J26" s="14">
        <v>1241.75</v>
      </c>
      <c r="K26" s="33"/>
      <c r="L26" s="33"/>
      <c r="M26" s="33"/>
      <c r="N26" s="33"/>
      <c r="O26" s="33"/>
      <c r="P26" s="33"/>
      <c r="Q26" s="33"/>
      <c r="R26" s="32"/>
      <c r="S26" s="32"/>
    </row>
    <row r="27" spans="1:19" ht="18" customHeight="1">
      <c r="A27" s="9">
        <v>45261</v>
      </c>
      <c r="B27" s="5">
        <v>0.96</v>
      </c>
      <c r="C27" s="30" t="str">
        <f t="shared" si="2"/>
        <v/>
      </c>
      <c r="D27" s="41" t="str">
        <f t="shared" si="3"/>
        <v/>
      </c>
      <c r="E27" s="16">
        <v>2655.28</v>
      </c>
      <c r="F27" s="16">
        <v>357.99</v>
      </c>
      <c r="G27" s="16">
        <v>17.78</v>
      </c>
      <c r="H27" s="16">
        <v>1820.45</v>
      </c>
      <c r="I27" s="14">
        <v>866.57</v>
      </c>
      <c r="J27" s="14">
        <v>1393.46</v>
      </c>
      <c r="K27" s="33"/>
      <c r="L27" s="33"/>
      <c r="M27" s="33"/>
      <c r="N27" s="33"/>
      <c r="O27" s="33"/>
      <c r="P27" s="33"/>
      <c r="Q27" s="33"/>
      <c r="R27" s="32"/>
      <c r="S27" s="32"/>
    </row>
    <row r="28" spans="1:19" ht="18" customHeight="1">
      <c r="A28" s="9">
        <v>45231</v>
      </c>
      <c r="B28" s="5">
        <v>0.92</v>
      </c>
      <c r="C28" s="30" t="str">
        <f t="shared" si="2"/>
        <v/>
      </c>
      <c r="D28" s="41" t="str">
        <f t="shared" si="3"/>
        <v/>
      </c>
      <c r="E28" s="16">
        <v>2535.29</v>
      </c>
      <c r="F28" s="16">
        <v>338.43</v>
      </c>
      <c r="G28" s="16">
        <v>14.46</v>
      </c>
      <c r="H28" s="16">
        <v>1698.8</v>
      </c>
      <c r="I28" s="14">
        <v>831.68</v>
      </c>
      <c r="J28" s="14">
        <v>1323.92</v>
      </c>
      <c r="K28" s="33"/>
      <c r="L28" s="33"/>
      <c r="M28" s="33"/>
      <c r="N28" s="33"/>
      <c r="O28" s="33"/>
      <c r="P28" s="33"/>
      <c r="Q28" s="33"/>
      <c r="R28" s="32"/>
      <c r="S28" s="32"/>
    </row>
    <row r="29" spans="1:19" ht="18" customHeight="1">
      <c r="A29" s="9">
        <v>45200</v>
      </c>
      <c r="B29" s="3">
        <v>0.82694800000000002</v>
      </c>
      <c r="C29" s="30" t="str">
        <f t="shared" si="2"/>
        <v>Risk</v>
      </c>
      <c r="D29" s="41" t="str">
        <f t="shared" si="3"/>
        <v/>
      </c>
      <c r="E29" s="16">
        <v>2277.9899999999998</v>
      </c>
      <c r="F29" s="16">
        <v>305.56</v>
      </c>
      <c r="G29" s="16">
        <v>19.89</v>
      </c>
      <c r="H29" s="16">
        <v>1538.26</v>
      </c>
      <c r="I29" s="13">
        <v>736.1</v>
      </c>
      <c r="J29" s="14">
        <v>1147.92</v>
      </c>
      <c r="K29" s="34">
        <f>$H25/$H29</f>
        <v>1.160772561205518</v>
      </c>
      <c r="L29" s="34">
        <f>$H24/$H29</f>
        <v>1.2248709580955106</v>
      </c>
      <c r="M29" s="34">
        <f>$H23/$H29</f>
        <v>1.1940049146438183</v>
      </c>
      <c r="N29" s="34">
        <f>$H22/$H29</f>
        <v>1.1699582645326538</v>
      </c>
      <c r="O29" s="34">
        <f>$H21/$H29</f>
        <v>1.2477474549165941</v>
      </c>
      <c r="P29" s="34">
        <f>$H20/$H29</f>
        <v>1.2336991145840106</v>
      </c>
      <c r="Q29" s="34">
        <f>$H19/$H29</f>
        <v>1.1716874910613291</v>
      </c>
      <c r="R29" s="34">
        <f>$H18/$H29</f>
        <v>1.1176264090595869</v>
      </c>
      <c r="S29" s="34">
        <f>$H17/$H29</f>
        <v>1.0954585050641634</v>
      </c>
    </row>
    <row r="30" spans="1:19" ht="18" customHeight="1">
      <c r="A30" s="9">
        <v>45170</v>
      </c>
      <c r="B30" s="3">
        <v>0.89318699999999995</v>
      </c>
      <c r="C30" s="30" t="str">
        <f t="shared" si="2"/>
        <v/>
      </c>
      <c r="D30" s="41" t="str">
        <f t="shared" si="3"/>
        <v/>
      </c>
      <c r="E30" s="16">
        <v>2465.0700000000002</v>
      </c>
      <c r="F30" s="16">
        <v>326.70999999999998</v>
      </c>
      <c r="G30" s="16">
        <v>15.08</v>
      </c>
      <c r="H30" s="16">
        <v>1647.96</v>
      </c>
      <c r="I30" s="14">
        <v>841.02</v>
      </c>
      <c r="J30" s="14">
        <v>1321.64</v>
      </c>
      <c r="S30" s="32"/>
    </row>
    <row r="31" spans="1:19" ht="18" customHeight="1">
      <c r="A31" s="9">
        <v>45139</v>
      </c>
      <c r="B31" s="3">
        <v>0.93718599999999996</v>
      </c>
      <c r="C31" s="30" t="str">
        <f t="shared" si="2"/>
        <v/>
      </c>
      <c r="D31" s="41" t="str">
        <f t="shared" si="3"/>
        <v/>
      </c>
      <c r="E31" s="16">
        <v>2556.27</v>
      </c>
      <c r="F31" s="16">
        <v>334.75</v>
      </c>
      <c r="G31" s="16">
        <v>12.78</v>
      </c>
      <c r="H31" s="16">
        <v>1686.41</v>
      </c>
      <c r="I31" s="13">
        <v>928.4</v>
      </c>
      <c r="J31" s="14">
        <v>1483.08</v>
      </c>
      <c r="R31" s="32"/>
      <c r="S31" s="32"/>
    </row>
    <row r="32" spans="1:19" ht="18" customHeight="1">
      <c r="A32" s="9">
        <v>45108</v>
      </c>
      <c r="B32" s="3">
        <v>0.96419200000000005</v>
      </c>
      <c r="C32" s="30" t="str">
        <f t="shared" si="2"/>
        <v/>
      </c>
      <c r="D32" s="41" t="str">
        <f t="shared" si="3"/>
        <v/>
      </c>
      <c r="E32" s="16">
        <v>2632.58</v>
      </c>
      <c r="F32" s="16">
        <v>345.62</v>
      </c>
      <c r="G32" s="16">
        <v>14.21</v>
      </c>
      <c r="H32" s="16">
        <v>1748.34</v>
      </c>
      <c r="I32" s="14">
        <v>935.97</v>
      </c>
      <c r="J32" s="14">
        <v>1551.24</v>
      </c>
      <c r="Q32" s="33"/>
      <c r="R32" s="32"/>
      <c r="S32" s="32"/>
    </row>
    <row r="33" spans="1:19" ht="18" customHeight="1">
      <c r="A33" s="9">
        <v>45078</v>
      </c>
      <c r="B33" s="3">
        <v>0.938608</v>
      </c>
      <c r="C33" s="30" t="str">
        <f t="shared" si="2"/>
        <v/>
      </c>
      <c r="D33" s="41" t="str">
        <f t="shared" si="3"/>
        <v/>
      </c>
      <c r="E33" s="16">
        <v>2564.2800000000002</v>
      </c>
      <c r="F33" s="16">
        <v>337.95</v>
      </c>
      <c r="G33" s="16">
        <v>12.59</v>
      </c>
      <c r="H33" s="16">
        <v>1714.36</v>
      </c>
      <c r="I33" s="14">
        <v>868.24</v>
      </c>
      <c r="J33" s="14">
        <v>1322.36</v>
      </c>
      <c r="P33" s="33"/>
      <c r="Q33" s="33"/>
      <c r="R33" s="32"/>
      <c r="S33" s="32"/>
    </row>
    <row r="34" spans="1:19" ht="18" customHeight="1">
      <c r="A34" s="9">
        <v>45047</v>
      </c>
      <c r="B34" s="3">
        <v>0.98162400000000005</v>
      </c>
      <c r="C34" s="30" t="str">
        <f t="shared" si="2"/>
        <v/>
      </c>
      <c r="D34" s="41" t="str">
        <f t="shared" si="3"/>
        <v/>
      </c>
      <c r="E34" s="16">
        <v>2577.12</v>
      </c>
      <c r="F34" s="16">
        <v>339.12</v>
      </c>
      <c r="G34" s="16">
        <v>14.8</v>
      </c>
      <c r="H34" s="16">
        <v>1714.7</v>
      </c>
      <c r="I34" s="14">
        <v>856.94</v>
      </c>
      <c r="J34" s="14">
        <v>1308.6500000000001</v>
      </c>
      <c r="O34" s="33"/>
      <c r="P34" s="33"/>
      <c r="Q34" s="33"/>
      <c r="R34" s="32"/>
      <c r="S34" s="32"/>
    </row>
    <row r="35" spans="1:19" ht="18" customHeight="1">
      <c r="A35" s="9">
        <v>45017</v>
      </c>
      <c r="B35" s="3">
        <v>0.94302699999999995</v>
      </c>
      <c r="C35" s="30" t="str">
        <f t="shared" si="2"/>
        <v/>
      </c>
      <c r="D35" s="41" t="str">
        <f t="shared" si="3"/>
        <v/>
      </c>
      <c r="E35" s="16">
        <v>2501.5300000000002</v>
      </c>
      <c r="F35" s="16">
        <v>326.45999999999998</v>
      </c>
      <c r="G35" s="16">
        <v>14.51</v>
      </c>
      <c r="H35" s="16">
        <v>1650.97</v>
      </c>
      <c r="I35" s="14">
        <v>842.83</v>
      </c>
      <c r="J35" s="14">
        <v>1299.28</v>
      </c>
      <c r="N35" s="33"/>
      <c r="O35" s="33"/>
      <c r="P35" s="33"/>
      <c r="Q35" s="33"/>
      <c r="R35" s="32"/>
      <c r="S35" s="32"/>
    </row>
    <row r="36" spans="1:19" ht="18" customHeight="1">
      <c r="A36" s="9">
        <v>44986</v>
      </c>
      <c r="B36" s="11">
        <v>0.93132300000000001</v>
      </c>
      <c r="C36" s="30" t="str">
        <f t="shared" si="2"/>
        <v/>
      </c>
      <c r="D36" s="41" t="str">
        <f t="shared" si="3"/>
        <v/>
      </c>
      <c r="E36" s="16">
        <v>2476.86</v>
      </c>
      <c r="F36" s="16">
        <v>322.02999999999997</v>
      </c>
      <c r="G36" s="16">
        <v>15.57</v>
      </c>
      <c r="H36" s="16">
        <v>1637.31</v>
      </c>
      <c r="I36" s="14">
        <v>847.52</v>
      </c>
      <c r="J36" s="14">
        <v>1260.21</v>
      </c>
      <c r="M36" s="33"/>
      <c r="N36" s="33"/>
      <c r="O36" s="33"/>
      <c r="P36" s="33"/>
      <c r="Q36" s="33"/>
      <c r="R36" s="32"/>
      <c r="S36" s="32"/>
    </row>
    <row r="37" spans="1:19" ht="18" customHeight="1">
      <c r="A37" s="9">
        <v>44958</v>
      </c>
      <c r="B37" s="11">
        <v>0.90686500000000003</v>
      </c>
      <c r="C37" s="30" t="str">
        <f t="shared" si="2"/>
        <v/>
      </c>
      <c r="D37" s="41" t="str">
        <f t="shared" si="3"/>
        <v/>
      </c>
      <c r="E37" s="16">
        <v>2412.85</v>
      </c>
      <c r="F37" s="16">
        <v>314.8</v>
      </c>
      <c r="G37" s="16">
        <v>18.53</v>
      </c>
      <c r="H37" s="16">
        <v>1605.25</v>
      </c>
      <c r="I37" s="13">
        <v>791.6</v>
      </c>
      <c r="J37" s="14">
        <v>1143.05</v>
      </c>
      <c r="L37" s="33"/>
      <c r="M37" s="33"/>
      <c r="N37" s="33"/>
      <c r="O37" s="33"/>
      <c r="P37" s="33"/>
      <c r="Q37" s="33"/>
      <c r="R37" s="32"/>
      <c r="S37" s="32"/>
    </row>
    <row r="38" spans="1:19" ht="18" customHeight="1">
      <c r="A38" s="9">
        <v>44927</v>
      </c>
      <c r="B38" s="11">
        <v>0.91425400000000001</v>
      </c>
      <c r="C38" s="30" t="str">
        <f t="shared" si="2"/>
        <v/>
      </c>
      <c r="D38" s="41" t="str">
        <f t="shared" si="3"/>
        <v/>
      </c>
      <c r="E38" s="16">
        <v>2425.08</v>
      </c>
      <c r="F38" s="16">
        <v>317.26</v>
      </c>
      <c r="G38" s="16">
        <v>17.75</v>
      </c>
      <c r="H38" s="16">
        <v>1619.74</v>
      </c>
      <c r="I38" s="14">
        <v>740.49</v>
      </c>
      <c r="J38" s="13">
        <v>1021.6</v>
      </c>
      <c r="K38" s="33"/>
      <c r="L38" s="33"/>
      <c r="M38" s="33"/>
      <c r="N38" s="33"/>
      <c r="O38" s="33"/>
      <c r="P38" s="33"/>
      <c r="Q38" s="33"/>
      <c r="R38" s="32"/>
      <c r="S38" s="32"/>
    </row>
    <row r="39" spans="1:19" ht="18" customHeight="1">
      <c r="A39" s="9">
        <v>44896</v>
      </c>
      <c r="B39" s="11">
        <v>0.84129799999999999</v>
      </c>
      <c r="C39" s="30" t="str">
        <f t="shared" si="2"/>
        <v>Risk</v>
      </c>
      <c r="D39" s="41" t="str">
        <f t="shared" si="3"/>
        <v/>
      </c>
      <c r="E39" s="16">
        <v>2236.4</v>
      </c>
      <c r="F39" s="16">
        <v>291.10000000000002</v>
      </c>
      <c r="G39" s="16">
        <v>18.399999999999999</v>
      </c>
      <c r="H39" s="16">
        <v>1488.59</v>
      </c>
      <c r="I39" s="14">
        <v>679.29</v>
      </c>
      <c r="J39" s="14">
        <v>957.78</v>
      </c>
      <c r="K39" s="33"/>
      <c r="L39" s="33"/>
      <c r="M39" s="33"/>
      <c r="N39" s="33"/>
      <c r="O39" s="33"/>
      <c r="P39" s="33"/>
      <c r="Q39" s="33"/>
      <c r="R39" s="32"/>
      <c r="S39" s="32"/>
    </row>
    <row r="40" spans="1:19" ht="18" customHeight="1">
      <c r="A40" s="9">
        <v>44866</v>
      </c>
      <c r="B40" s="11">
        <v>0.95905799999999997</v>
      </c>
      <c r="C40" s="30" t="str">
        <f t="shared" si="2"/>
        <v/>
      </c>
      <c r="D40" s="41" t="str">
        <f t="shared" si="3"/>
        <v/>
      </c>
      <c r="E40" s="16">
        <v>2472.5300000000002</v>
      </c>
      <c r="F40" s="16">
        <v>321</v>
      </c>
      <c r="G40" s="16">
        <v>17.78</v>
      </c>
      <c r="H40" s="16">
        <v>1616.28</v>
      </c>
      <c r="I40" s="14">
        <v>729.54</v>
      </c>
      <c r="J40" s="14">
        <v>1038.42</v>
      </c>
      <c r="K40" s="33"/>
      <c r="L40" s="33"/>
      <c r="M40" s="33"/>
      <c r="N40" s="33"/>
      <c r="O40" s="33"/>
      <c r="P40" s="33"/>
      <c r="Q40" s="33"/>
      <c r="R40" s="32"/>
      <c r="S40" s="32"/>
    </row>
    <row r="41" spans="1:19" ht="18" customHeight="1">
      <c r="A41" s="9">
        <v>44835</v>
      </c>
      <c r="B41" s="11">
        <v>0.88847299999999996</v>
      </c>
      <c r="C41" s="30" t="str">
        <f t="shared" si="2"/>
        <v/>
      </c>
      <c r="D41" s="41" t="str">
        <f t="shared" si="3"/>
        <v/>
      </c>
      <c r="E41" s="16">
        <v>2293.61</v>
      </c>
      <c r="F41" s="16">
        <v>299.58</v>
      </c>
      <c r="G41" s="16">
        <v>21.97</v>
      </c>
      <c r="H41" s="16">
        <v>1520.46</v>
      </c>
      <c r="I41" s="14">
        <v>695.33</v>
      </c>
      <c r="J41" s="14">
        <v>1006.82</v>
      </c>
      <c r="K41" s="33"/>
      <c r="L41" s="33"/>
      <c r="M41" s="33"/>
      <c r="N41" s="33"/>
      <c r="O41" s="33"/>
      <c r="P41" s="33"/>
      <c r="Q41" s="33"/>
      <c r="R41" s="32"/>
      <c r="S41" s="32"/>
    </row>
    <row r="42" spans="1:19" ht="18" customHeight="1">
      <c r="A42" s="9">
        <v>44805</v>
      </c>
      <c r="B42" s="3">
        <v>0.83385600000000004</v>
      </c>
      <c r="C42" s="30" t="str">
        <f t="shared" si="2"/>
        <v>Risk</v>
      </c>
      <c r="D42" s="41" t="str">
        <f t="shared" si="3"/>
        <v/>
      </c>
      <c r="E42" s="16">
        <v>2155.4899999999998</v>
      </c>
      <c r="F42" s="16">
        <v>281.36</v>
      </c>
      <c r="G42" s="16">
        <v>27.19</v>
      </c>
      <c r="H42" s="16">
        <v>1428.18</v>
      </c>
      <c r="I42" s="14">
        <v>672.65</v>
      </c>
      <c r="J42" s="14">
        <v>956.48</v>
      </c>
      <c r="K42" s="34">
        <f>$H38/$H42</f>
        <v>1.1341287512778502</v>
      </c>
      <c r="L42" s="34">
        <f>$H37/$H42</f>
        <v>1.1239829713341456</v>
      </c>
      <c r="M42" s="34">
        <f>$H36/$H42</f>
        <v>1.1464311221274628</v>
      </c>
      <c r="N42" s="34">
        <f>$H35/$H42</f>
        <v>1.1559957428335363</v>
      </c>
      <c r="O42" s="34">
        <f>$H34/$H42</f>
        <v>1.2006189695976697</v>
      </c>
      <c r="P42" s="34">
        <f>$H33/$H42</f>
        <v>1.2003809043677967</v>
      </c>
      <c r="Q42" s="34">
        <f>$H32/$H42</f>
        <v>1.2241734235180439</v>
      </c>
      <c r="R42" s="34">
        <f>$H31/$H42</f>
        <v>1.1808105420885322</v>
      </c>
      <c r="S42" s="34">
        <f>$H30/$H42</f>
        <v>1.1538881653573079</v>
      </c>
    </row>
    <row r="43" spans="1:19" ht="18" customHeight="1">
      <c r="A43" s="9">
        <v>44774</v>
      </c>
      <c r="B43" s="3">
        <v>0.97728800000000005</v>
      </c>
      <c r="C43" s="30" t="str">
        <f t="shared" si="2"/>
        <v/>
      </c>
      <c r="D43" s="41" t="str">
        <f t="shared" si="3"/>
        <v/>
      </c>
      <c r="E43" s="16">
        <v>2472.0500000000002</v>
      </c>
      <c r="F43" s="16">
        <v>322.95999999999998</v>
      </c>
      <c r="G43" s="16">
        <v>17.309999999999999</v>
      </c>
      <c r="H43" s="16">
        <v>1625.97</v>
      </c>
      <c r="I43" s="14">
        <v>807.04</v>
      </c>
      <c r="J43" s="14">
        <v>1155.03</v>
      </c>
    </row>
    <row r="44" spans="1:19" ht="18" customHeight="1">
      <c r="A44" s="9">
        <v>44743</v>
      </c>
      <c r="B44" s="3">
        <v>0.96806300000000001</v>
      </c>
      <c r="C44" s="30" t="str">
        <f t="shared" si="2"/>
        <v/>
      </c>
      <c r="D44" s="41" t="str">
        <f t="shared" si="3"/>
        <v/>
      </c>
      <c r="E44" s="16">
        <v>2451.5</v>
      </c>
      <c r="F44" s="16">
        <v>323.31</v>
      </c>
      <c r="G44" s="16">
        <v>17.79</v>
      </c>
      <c r="H44" s="16">
        <v>1638.38</v>
      </c>
      <c r="I44" s="14">
        <v>803.62</v>
      </c>
      <c r="J44" s="13">
        <v>1151.8</v>
      </c>
    </row>
    <row r="45" spans="1:19" ht="18" customHeight="1">
      <c r="A45" s="9">
        <v>44713</v>
      </c>
      <c r="B45" s="3">
        <v>0.92029099999999997</v>
      </c>
      <c r="C45" s="30" t="str">
        <f t="shared" si="2"/>
        <v/>
      </c>
      <c r="D45" s="41" t="str">
        <f t="shared" si="3"/>
        <v/>
      </c>
      <c r="E45" s="16">
        <v>2332.64</v>
      </c>
      <c r="F45" s="16">
        <v>307.2</v>
      </c>
      <c r="G45" s="16">
        <v>23.9</v>
      </c>
      <c r="H45" s="16">
        <v>1557.34</v>
      </c>
      <c r="I45" s="14">
        <v>745.44</v>
      </c>
      <c r="J45" s="14">
        <v>1056.42</v>
      </c>
    </row>
    <row r="46" spans="1:19" ht="18" customHeight="1">
      <c r="A46" s="9">
        <v>44682</v>
      </c>
      <c r="B46" s="3">
        <v>1.075215</v>
      </c>
      <c r="C46" s="30" t="str">
        <f t="shared" si="2"/>
        <v/>
      </c>
      <c r="D46" s="41" t="str">
        <f t="shared" si="3"/>
        <v/>
      </c>
      <c r="E46" s="16">
        <v>2685.9</v>
      </c>
      <c r="F46" s="16">
        <v>354.54</v>
      </c>
      <c r="G46" s="16">
        <v>17.260000000000002</v>
      </c>
      <c r="H46" s="16">
        <v>1793.38</v>
      </c>
      <c r="I46" s="14">
        <v>893.36</v>
      </c>
      <c r="J46" s="14">
        <v>1269.22</v>
      </c>
    </row>
    <row r="47" spans="1:19" ht="18" customHeight="1">
      <c r="A47" s="9">
        <v>44652</v>
      </c>
      <c r="B47" s="3">
        <v>1.097928</v>
      </c>
      <c r="C47" s="30" t="str">
        <f t="shared" si="2"/>
        <v/>
      </c>
      <c r="D47" s="41" t="str">
        <f t="shared" si="3"/>
        <v/>
      </c>
      <c r="E47" s="16">
        <v>2695.05</v>
      </c>
      <c r="F47" s="16">
        <v>355.08</v>
      </c>
      <c r="G47" s="16">
        <v>18.920000000000002</v>
      </c>
      <c r="H47" s="16">
        <v>1800.72</v>
      </c>
      <c r="I47" s="14">
        <v>904.75</v>
      </c>
      <c r="J47" s="14">
        <v>1261.29</v>
      </c>
    </row>
    <row r="48" spans="1:19" ht="18" customHeight="1">
      <c r="A48" s="9">
        <v>44621</v>
      </c>
      <c r="B48" s="3">
        <v>1.1232880000000001</v>
      </c>
      <c r="C48" s="30" t="str">
        <f t="shared" si="2"/>
        <v/>
      </c>
      <c r="D48" s="41" t="str">
        <f t="shared" si="3"/>
        <v/>
      </c>
      <c r="E48" s="16">
        <v>2757.65</v>
      </c>
      <c r="F48" s="16">
        <v>365.61</v>
      </c>
      <c r="G48" s="16">
        <v>17.14</v>
      </c>
      <c r="H48" s="16">
        <v>1851.87</v>
      </c>
      <c r="I48" s="14">
        <v>944.53</v>
      </c>
      <c r="J48" s="14">
        <v>1332.65</v>
      </c>
    </row>
    <row r="49" spans="1:19" ht="18" customHeight="1">
      <c r="A49" s="9">
        <v>44593</v>
      </c>
      <c r="B49" s="3">
        <v>1.0990470000000001</v>
      </c>
      <c r="C49" s="30" t="str">
        <f t="shared" si="2"/>
        <v/>
      </c>
      <c r="D49" s="41" t="str">
        <f t="shared" si="3"/>
        <v/>
      </c>
      <c r="E49" s="16">
        <v>2699.18</v>
      </c>
      <c r="F49" s="16">
        <v>361.54</v>
      </c>
      <c r="G49" s="16">
        <v>24.41</v>
      </c>
      <c r="H49" s="16">
        <v>1828.27</v>
      </c>
      <c r="I49" s="14">
        <v>881.07</v>
      </c>
      <c r="J49" s="14">
        <v>1257.1400000000001</v>
      </c>
    </row>
    <row r="50" spans="1:19" ht="18" customHeight="1">
      <c r="A50" s="9">
        <v>44562</v>
      </c>
      <c r="B50" s="3">
        <v>1.0827770000000001</v>
      </c>
      <c r="C50" s="30" t="str">
        <f t="shared" si="2"/>
        <v/>
      </c>
      <c r="D50" s="41" t="str">
        <f t="shared" si="3"/>
        <v/>
      </c>
      <c r="E50" s="16">
        <v>2663.34</v>
      </c>
      <c r="F50" s="16">
        <v>357.98</v>
      </c>
      <c r="G50" s="16">
        <v>23.97</v>
      </c>
      <c r="H50" s="16">
        <v>1804.99</v>
      </c>
      <c r="I50" s="14">
        <v>872.87</v>
      </c>
      <c r="J50" s="13">
        <v>1244.9000000000001</v>
      </c>
    </row>
    <row r="51" spans="1:19" ht="18" customHeight="1">
      <c r="A51" s="9">
        <v>44531</v>
      </c>
      <c r="B51" s="3">
        <v>1.1415519999999999</v>
      </c>
      <c r="C51" s="30" t="str">
        <f t="shared" si="2"/>
        <v/>
      </c>
      <c r="D51" s="41" t="str">
        <f t="shared" si="3"/>
        <v/>
      </c>
      <c r="E51" s="16">
        <v>2977.65</v>
      </c>
      <c r="F51" s="16">
        <v>394.19</v>
      </c>
      <c r="G51" s="16">
        <v>16.5</v>
      </c>
      <c r="H51" s="16">
        <v>1995.56</v>
      </c>
      <c r="I51" s="14">
        <v>1033.98</v>
      </c>
      <c r="J51" s="14">
        <v>1524.21</v>
      </c>
    </row>
    <row r="52" spans="1:19" ht="18" customHeight="1">
      <c r="A52" s="9">
        <v>44501</v>
      </c>
      <c r="B52" s="3">
        <v>1.1318319999999999</v>
      </c>
      <c r="C52" s="30" t="str">
        <f t="shared" si="2"/>
        <v/>
      </c>
      <c r="D52" s="41" t="str">
        <f t="shared" si="3"/>
        <v/>
      </c>
      <c r="E52" s="16">
        <v>2839.01</v>
      </c>
      <c r="F52" s="16">
        <v>373.24</v>
      </c>
      <c r="G52" s="16">
        <v>23.23</v>
      </c>
      <c r="H52" s="16">
        <v>1873.74</v>
      </c>
      <c r="I52" s="14">
        <v>965.63</v>
      </c>
      <c r="J52" s="14">
        <v>1448.84</v>
      </c>
    </row>
    <row r="53" spans="1:19" ht="18" customHeight="1">
      <c r="A53" s="9">
        <v>44470</v>
      </c>
      <c r="B53" s="3">
        <v>1.1723330000000001</v>
      </c>
      <c r="C53" s="30" t="str">
        <f t="shared" si="2"/>
        <v/>
      </c>
      <c r="D53" s="41" t="str">
        <f t="shared" si="3"/>
        <v/>
      </c>
      <c r="E53" s="16">
        <v>2970.68</v>
      </c>
      <c r="F53" s="16">
        <v>388.47</v>
      </c>
      <c r="G53" s="16">
        <v>18.55</v>
      </c>
      <c r="H53" s="16">
        <v>1948.02</v>
      </c>
      <c r="I53" s="14">
        <v>992.33</v>
      </c>
      <c r="J53" s="14">
        <v>1444.19</v>
      </c>
    </row>
    <row r="54" spans="1:19" ht="18" customHeight="1">
      <c r="A54" s="9">
        <v>44440</v>
      </c>
      <c r="B54" s="3">
        <v>1.2105570000000001</v>
      </c>
      <c r="C54" s="30" t="str">
        <f t="shared" si="2"/>
        <v/>
      </c>
      <c r="D54" s="41" t="str">
        <f t="shared" si="3"/>
        <v/>
      </c>
      <c r="E54" s="16">
        <v>3068.82</v>
      </c>
      <c r="F54" s="16">
        <v>401.3</v>
      </c>
      <c r="G54" s="16">
        <v>17.350000000000001</v>
      </c>
      <c r="H54" s="16">
        <v>2015.02</v>
      </c>
      <c r="I54" s="14">
        <v>1003.27</v>
      </c>
      <c r="J54" s="14">
        <v>1475.06</v>
      </c>
    </row>
    <row r="55" spans="1:19" ht="18" customHeight="1">
      <c r="A55" s="9">
        <v>44409</v>
      </c>
      <c r="B55" s="3">
        <v>1.300484</v>
      </c>
      <c r="C55" s="30" t="str">
        <f t="shared" si="2"/>
        <v/>
      </c>
      <c r="D55" s="41" t="str">
        <f t="shared" si="3"/>
        <v/>
      </c>
      <c r="E55" s="16">
        <v>3199.27</v>
      </c>
      <c r="F55" s="16">
        <v>419.79</v>
      </c>
      <c r="G55" s="16">
        <v>14.76</v>
      </c>
      <c r="H55" s="16">
        <v>2103.6999999999998</v>
      </c>
      <c r="I55" s="14">
        <v>1038.33</v>
      </c>
      <c r="J55" s="14">
        <v>1512.05</v>
      </c>
    </row>
    <row r="56" spans="1:19" ht="18" customHeight="1">
      <c r="A56" s="9">
        <v>44378</v>
      </c>
      <c r="B56" s="3">
        <v>1.2705679999999999</v>
      </c>
      <c r="C56" s="30" t="str">
        <f t="shared" si="2"/>
        <v/>
      </c>
      <c r="D56" s="41" t="str">
        <f t="shared" si="3"/>
        <v/>
      </c>
      <c r="E56" s="16">
        <v>3202.32</v>
      </c>
      <c r="F56" s="16">
        <v>423.91</v>
      </c>
      <c r="G56" s="16">
        <v>17.3</v>
      </c>
      <c r="H56" s="16">
        <v>2128.27</v>
      </c>
      <c r="I56" s="14">
        <v>1031.1400000000001</v>
      </c>
      <c r="J56" s="14">
        <v>1452.86</v>
      </c>
    </row>
    <row r="57" spans="1:19" ht="18" customHeight="1">
      <c r="A57" s="9">
        <v>44348</v>
      </c>
      <c r="B57" s="3">
        <v>1.3026359999999999</v>
      </c>
      <c r="C57" s="30" t="str">
        <f t="shared" si="2"/>
        <v/>
      </c>
      <c r="D57" s="41" t="str">
        <f t="shared" si="3"/>
        <v/>
      </c>
      <c r="E57" s="16">
        <v>3296.68</v>
      </c>
      <c r="F57" s="16">
        <v>438.84</v>
      </c>
      <c r="G57" s="16">
        <v>14.17</v>
      </c>
      <c r="H57" s="16">
        <v>2200.7399999999998</v>
      </c>
      <c r="I57" s="14">
        <v>1029.96</v>
      </c>
      <c r="J57" s="14">
        <v>1464.08</v>
      </c>
    </row>
    <row r="58" spans="1:19" ht="18" customHeight="1">
      <c r="A58" s="9">
        <v>44317</v>
      </c>
      <c r="B58" s="3">
        <v>1.2930200000000001</v>
      </c>
      <c r="C58" s="30" t="str">
        <f t="shared" si="2"/>
        <v/>
      </c>
      <c r="D58" s="41" t="str">
        <f t="shared" si="3"/>
        <v/>
      </c>
      <c r="E58" s="16">
        <v>3203.92</v>
      </c>
      <c r="F58" s="16">
        <v>427.91</v>
      </c>
      <c r="G58" s="16">
        <v>17.04</v>
      </c>
      <c r="H58" s="16">
        <v>2141.91</v>
      </c>
      <c r="I58" s="14">
        <v>981.78</v>
      </c>
      <c r="J58" s="13">
        <v>1399.6</v>
      </c>
    </row>
    <row r="59" spans="1:19" ht="18" customHeight="1">
      <c r="A59" s="9">
        <v>44287</v>
      </c>
      <c r="B59" s="3">
        <v>1.281185</v>
      </c>
      <c r="C59" s="30" t="str">
        <f t="shared" si="2"/>
        <v/>
      </c>
      <c r="D59" s="41" t="str">
        <f t="shared" si="3"/>
        <v/>
      </c>
      <c r="E59" s="16">
        <v>3147.86</v>
      </c>
      <c r="F59" s="16">
        <v>422.36</v>
      </c>
      <c r="G59" s="16">
        <v>18.84</v>
      </c>
      <c r="H59" s="16">
        <v>2113.87</v>
      </c>
      <c r="I59" s="14">
        <v>983.45</v>
      </c>
      <c r="J59" s="14">
        <v>1405.47</v>
      </c>
    </row>
    <row r="60" spans="1:19" ht="18" customHeight="1">
      <c r="A60" s="9">
        <v>44256</v>
      </c>
      <c r="B60" s="3">
        <v>1.2439530000000001</v>
      </c>
      <c r="C60" s="30" t="str">
        <f t="shared" si="2"/>
        <v/>
      </c>
      <c r="D60" s="41" t="str">
        <f t="shared" si="3"/>
        <v/>
      </c>
      <c r="E60" s="16">
        <v>3061.42</v>
      </c>
      <c r="F60" s="16">
        <v>415.04</v>
      </c>
      <c r="G60" s="16">
        <v>20.440000000000001</v>
      </c>
      <c r="H60" s="16">
        <v>2076.56</v>
      </c>
      <c r="I60" s="14">
        <v>956.17</v>
      </c>
      <c r="J60" s="13">
        <v>1423.2</v>
      </c>
      <c r="S60" s="32"/>
    </row>
    <row r="61" spans="1:19" ht="18" customHeight="1">
      <c r="A61" s="9">
        <v>44228</v>
      </c>
      <c r="B61" s="3">
        <v>1.216664</v>
      </c>
      <c r="C61" s="30" t="str">
        <f t="shared" si="2"/>
        <v/>
      </c>
      <c r="D61" s="41" t="str">
        <f t="shared" si="3"/>
        <v/>
      </c>
      <c r="E61" s="16">
        <v>3012.95</v>
      </c>
      <c r="F61" s="16">
        <v>409.91</v>
      </c>
      <c r="G61" s="16">
        <v>31.34</v>
      </c>
      <c r="H61" s="16">
        <v>2049.71</v>
      </c>
      <c r="I61" s="14">
        <v>913.94</v>
      </c>
      <c r="J61" s="14">
        <v>1363.12</v>
      </c>
      <c r="R61" s="32"/>
      <c r="S61" s="32"/>
    </row>
    <row r="62" spans="1:19" ht="18" customHeight="1">
      <c r="A62" s="9">
        <v>44197</v>
      </c>
      <c r="B62" s="3">
        <v>1.200699</v>
      </c>
      <c r="C62" s="30" t="str">
        <f t="shared" si="2"/>
        <v/>
      </c>
      <c r="D62" s="41" t="str">
        <f t="shared" si="3"/>
        <v/>
      </c>
      <c r="E62" s="16">
        <v>2976.21</v>
      </c>
      <c r="F62" s="16">
        <v>404.56</v>
      </c>
      <c r="G62" s="16">
        <v>35.729999999999997</v>
      </c>
      <c r="H62" s="16">
        <v>2022.21</v>
      </c>
      <c r="I62" s="14">
        <v>928.73</v>
      </c>
      <c r="J62" s="14">
        <v>1427.72</v>
      </c>
      <c r="Q62" s="32"/>
      <c r="R62" s="32"/>
      <c r="S62" s="32"/>
    </row>
    <row r="63" spans="1:19" ht="18" customHeight="1">
      <c r="A63" s="9">
        <v>44166</v>
      </c>
      <c r="B63" s="3">
        <v>1.1567099999999999</v>
      </c>
      <c r="C63" s="30" t="str">
        <f t="shared" si="2"/>
        <v/>
      </c>
      <c r="D63" s="41" t="str">
        <f t="shared" si="3"/>
        <v/>
      </c>
      <c r="E63" s="16">
        <v>2873.47</v>
      </c>
      <c r="F63" s="16">
        <v>389.29</v>
      </c>
      <c r="G63" s="16">
        <v>22.09</v>
      </c>
      <c r="H63" s="16">
        <v>1945.71</v>
      </c>
      <c r="I63" s="14">
        <v>968.42</v>
      </c>
      <c r="J63" s="14">
        <v>1532.52</v>
      </c>
      <c r="P63" s="32"/>
      <c r="Q63" s="32"/>
      <c r="R63" s="32"/>
      <c r="S63" s="32"/>
    </row>
    <row r="64" spans="1:19" ht="18" customHeight="1">
      <c r="A64" s="9">
        <v>44136</v>
      </c>
      <c r="B64" s="3">
        <v>1.0639050000000001</v>
      </c>
      <c r="C64" s="30" t="str">
        <f t="shared" si="2"/>
        <v/>
      </c>
      <c r="D64" s="41" t="str">
        <f t="shared" si="3"/>
        <v/>
      </c>
      <c r="E64" s="16">
        <v>2591.34</v>
      </c>
      <c r="F64" s="16">
        <v>346.05</v>
      </c>
      <c r="G64" s="16">
        <v>20.77</v>
      </c>
      <c r="H64" s="16">
        <v>1713.2</v>
      </c>
      <c r="I64" s="14">
        <v>886.11</v>
      </c>
      <c r="J64" s="14">
        <v>1348.49</v>
      </c>
      <c r="O64" s="32"/>
      <c r="P64" s="32"/>
      <c r="Q64" s="32"/>
      <c r="R64" s="32"/>
      <c r="S64" s="32"/>
    </row>
    <row r="65" spans="1:19" ht="18" customHeight="1">
      <c r="A65" s="9">
        <v>44105</v>
      </c>
      <c r="B65" s="3">
        <v>0.92899500000000002</v>
      </c>
      <c r="C65" s="30" t="str">
        <f t="shared" si="2"/>
        <v/>
      </c>
      <c r="D65" s="41" t="str">
        <f t="shared" si="3"/>
        <v/>
      </c>
      <c r="E65" s="16">
        <v>2267.15</v>
      </c>
      <c r="F65" s="16">
        <v>301.60000000000002</v>
      </c>
      <c r="G65" s="16">
        <v>31.97</v>
      </c>
      <c r="H65" s="16">
        <v>1488.97</v>
      </c>
      <c r="I65" s="14">
        <v>792.65</v>
      </c>
      <c r="J65" s="14">
        <v>1203.73</v>
      </c>
      <c r="N65" s="32"/>
      <c r="O65" s="32"/>
      <c r="P65" s="32"/>
      <c r="Q65" s="32"/>
      <c r="R65" s="32"/>
      <c r="S65" s="32"/>
    </row>
    <row r="66" spans="1:19" ht="18" customHeight="1">
      <c r="A66" s="9">
        <v>44075</v>
      </c>
      <c r="B66" s="12">
        <v>0.94691700000000001</v>
      </c>
      <c r="C66" s="30" t="str">
        <f t="shared" si="2"/>
        <v/>
      </c>
      <c r="D66" s="41" t="str">
        <f t="shared" si="3"/>
        <v/>
      </c>
      <c r="E66" s="16">
        <v>2327.89</v>
      </c>
      <c r="F66" s="16">
        <v>309.44</v>
      </c>
      <c r="G66" s="16">
        <v>24.15</v>
      </c>
      <c r="H66" s="16">
        <v>1529.18</v>
      </c>
      <c r="I66" s="14">
        <v>848.15</v>
      </c>
      <c r="J66" s="14">
        <v>1310.49</v>
      </c>
      <c r="M66" s="33"/>
      <c r="N66" s="32"/>
      <c r="O66" s="32"/>
      <c r="P66" s="32"/>
      <c r="Q66" s="32"/>
      <c r="R66" s="32"/>
      <c r="S66" s="32"/>
    </row>
    <row r="67" spans="1:19" ht="18" customHeight="1">
      <c r="A67" s="9">
        <v>44044</v>
      </c>
      <c r="B67" s="12">
        <v>0.96567000000000003</v>
      </c>
      <c r="C67" s="30" t="str">
        <f t="shared" si="2"/>
        <v/>
      </c>
      <c r="D67" s="41" t="str">
        <f t="shared" si="3"/>
        <v/>
      </c>
      <c r="E67" s="16">
        <v>2326.17</v>
      </c>
      <c r="F67" s="16">
        <v>307.14</v>
      </c>
      <c r="G67" s="16">
        <v>27.77</v>
      </c>
      <c r="H67" s="16">
        <v>1510.89</v>
      </c>
      <c r="I67" s="14">
        <v>848.24</v>
      </c>
      <c r="J67" s="14">
        <v>1336.94</v>
      </c>
      <c r="L67" s="32"/>
      <c r="M67" s="33"/>
      <c r="N67" s="32"/>
      <c r="O67" s="32"/>
      <c r="P67" s="32"/>
      <c r="Q67" s="32"/>
      <c r="R67" s="32"/>
      <c r="S67" s="32"/>
    </row>
    <row r="68" spans="1:19" ht="18" customHeight="1">
      <c r="A68" s="9">
        <v>44013</v>
      </c>
      <c r="B68" s="12">
        <v>0.93300700000000003</v>
      </c>
      <c r="C68" s="30" t="str">
        <f t="shared" ref="C68:C131" si="4">IF(B68&lt;=C$1, "Risk", "")</f>
        <v/>
      </c>
      <c r="D68" s="41" t="str">
        <f t="shared" si="3"/>
        <v/>
      </c>
      <c r="E68" s="16">
        <v>2249.37</v>
      </c>
      <c r="F68" s="16">
        <v>299.32</v>
      </c>
      <c r="G68" s="16">
        <v>23.57</v>
      </c>
      <c r="H68" s="16">
        <v>1474.68</v>
      </c>
      <c r="I68" s="13">
        <v>815.3</v>
      </c>
      <c r="J68" s="14">
        <v>1277.58</v>
      </c>
      <c r="K68" s="32"/>
      <c r="L68" s="32"/>
      <c r="M68" s="33"/>
      <c r="N68" s="32"/>
      <c r="O68" s="32"/>
      <c r="P68" s="32"/>
      <c r="Q68" s="32"/>
      <c r="R68" s="32"/>
      <c r="S68" s="32"/>
    </row>
    <row r="69" spans="1:19" ht="18" customHeight="1">
      <c r="A69" s="9">
        <v>43983</v>
      </c>
      <c r="B69" s="12">
        <v>0.86749100000000001</v>
      </c>
      <c r="C69" s="30" t="str">
        <f t="shared" si="4"/>
        <v/>
      </c>
      <c r="D69" s="41" t="str">
        <f t="shared" ref="D69:D132" si="5">IF(B69&lt;=D$1, "Risk", "")</f>
        <v/>
      </c>
      <c r="E69" s="16">
        <v>2108.33</v>
      </c>
      <c r="F69" s="16">
        <v>280.08999999999997</v>
      </c>
      <c r="G69" s="16">
        <v>31.07</v>
      </c>
      <c r="H69" s="16">
        <v>1383.3</v>
      </c>
      <c r="I69" s="14">
        <v>737.97</v>
      </c>
      <c r="J69" s="14">
        <v>1167.1400000000001</v>
      </c>
      <c r="K69" s="32"/>
      <c r="L69" s="32"/>
      <c r="M69" s="33"/>
      <c r="N69" s="32"/>
      <c r="O69" s="32"/>
      <c r="P69" s="32"/>
      <c r="Q69" s="32"/>
      <c r="R69" s="32"/>
      <c r="S69" s="32"/>
    </row>
    <row r="70" spans="1:19" ht="18" customHeight="1">
      <c r="A70" s="9">
        <v>43952</v>
      </c>
      <c r="B70" s="12">
        <v>0.83083600000000002</v>
      </c>
      <c r="C70" s="30" t="str">
        <f t="shared" si="4"/>
        <v>Risk</v>
      </c>
      <c r="D70" s="41" t="str">
        <f t="shared" si="5"/>
        <v/>
      </c>
      <c r="E70" s="16">
        <v>2029.6</v>
      </c>
      <c r="F70" s="16">
        <v>268.32</v>
      </c>
      <c r="G70" s="16">
        <v>25.64</v>
      </c>
      <c r="H70" s="16">
        <v>1311.92</v>
      </c>
      <c r="I70" s="14">
        <v>713.68</v>
      </c>
      <c r="J70" s="14">
        <v>1093.3800000000001</v>
      </c>
      <c r="K70" s="32"/>
      <c r="L70" s="32"/>
      <c r="M70" s="33"/>
      <c r="N70" s="32"/>
      <c r="O70" s="32"/>
      <c r="P70" s="32"/>
      <c r="Q70" s="32"/>
      <c r="R70" s="32"/>
      <c r="S70" s="32"/>
    </row>
    <row r="71" spans="1:19" ht="18" customHeight="1">
      <c r="A71" s="9">
        <v>43922</v>
      </c>
      <c r="B71" s="12">
        <v>0.79072900000000002</v>
      </c>
      <c r="C71" s="30" t="str">
        <f t="shared" si="4"/>
        <v>Risk</v>
      </c>
      <c r="D71" s="41" t="str">
        <f t="shared" si="5"/>
        <v>Risk</v>
      </c>
      <c r="E71" s="16">
        <v>1947.56</v>
      </c>
      <c r="F71" s="16">
        <v>258.14999999999998</v>
      </c>
      <c r="G71" s="16">
        <v>30.51</v>
      </c>
      <c r="H71" s="16">
        <v>1268.19</v>
      </c>
      <c r="I71" s="14">
        <v>645.17999999999995</v>
      </c>
      <c r="J71" s="13">
        <v>992.7</v>
      </c>
      <c r="K71" s="32"/>
      <c r="L71" s="32"/>
      <c r="M71" s="33"/>
      <c r="N71" s="32"/>
      <c r="O71" s="32"/>
      <c r="P71" s="32"/>
      <c r="Q71" s="32"/>
      <c r="R71" s="32"/>
      <c r="S71" s="32"/>
    </row>
    <row r="72" spans="1:19" ht="18" customHeight="1">
      <c r="A72" s="9">
        <v>43891</v>
      </c>
      <c r="B72" s="11">
        <v>0.71247499999999997</v>
      </c>
      <c r="C72" s="30" t="str">
        <f t="shared" si="4"/>
        <v>Risk</v>
      </c>
      <c r="D72" s="41" t="str">
        <f t="shared" si="5"/>
        <v>Risk</v>
      </c>
      <c r="E72" s="16">
        <v>1754.64</v>
      </c>
      <c r="F72" s="16">
        <v>236.82</v>
      </c>
      <c r="G72" s="16">
        <v>48.55</v>
      </c>
      <c r="H72" s="16">
        <v>1159.5999999999999</v>
      </c>
      <c r="I72" s="14">
        <v>569.07000000000005</v>
      </c>
      <c r="J72" s="13">
        <v>916.5</v>
      </c>
      <c r="K72" s="35">
        <f>1+(($H68/$H72)-1)*2</f>
        <v>1.5434287685408763</v>
      </c>
      <c r="L72" s="35">
        <f>1+(($H67/$H72)-1)*2</f>
        <v>1.6058813383925497</v>
      </c>
      <c r="M72" s="35">
        <f>1+(($H66/$H72)-1)*2</f>
        <v>1.6374266988616766</v>
      </c>
      <c r="N72" s="35">
        <f>1+(($H65/$H72)-1)*2</f>
        <v>1.5680751983442569</v>
      </c>
      <c r="O72" s="35">
        <f>1+(($H64/$H72)-1)*2</f>
        <v>1.9548120041393586</v>
      </c>
      <c r="P72" s="35">
        <f>1+(($H63/$H72)-1)*2</f>
        <v>2.3558295964125562</v>
      </c>
      <c r="Q72" s="35">
        <f>1+(($H62/$H72)-1)*2</f>
        <v>2.4877716453949641</v>
      </c>
      <c r="R72" s="35">
        <f>1+(($H61/$H72)-1)*2</f>
        <v>2.5352017937219733</v>
      </c>
      <c r="S72" s="35">
        <f>1+(($H60/$H72)-1)*2</f>
        <v>2.5815108658157988</v>
      </c>
    </row>
    <row r="73" spans="1:19" ht="18" customHeight="1">
      <c r="A73" s="9">
        <v>43862</v>
      </c>
      <c r="B73" s="3">
        <v>0.806952</v>
      </c>
      <c r="C73" s="30" t="str">
        <f t="shared" si="4"/>
        <v>Risk</v>
      </c>
      <c r="D73" s="41" t="str">
        <f t="shared" si="5"/>
        <v/>
      </c>
      <c r="E73" s="16">
        <v>1987.01</v>
      </c>
      <c r="F73" s="16">
        <v>268.02</v>
      </c>
      <c r="G73" s="16">
        <v>33.81</v>
      </c>
      <c r="H73" s="16">
        <v>1312.77</v>
      </c>
      <c r="I73" s="14">
        <v>610.73</v>
      </c>
      <c r="J73" s="14">
        <v>927.48</v>
      </c>
      <c r="K73" s="34">
        <f>$H72/$H73</f>
        <v>0.8833230497345308</v>
      </c>
      <c r="L73" s="34">
        <f>$H72/$H73</f>
        <v>0.8833230497345308</v>
      </c>
      <c r="M73" s="33"/>
      <c r="N73" s="33"/>
      <c r="O73" s="32"/>
      <c r="P73" s="32"/>
      <c r="Q73" s="32"/>
      <c r="R73" s="32"/>
      <c r="S73" s="32"/>
    </row>
    <row r="74" spans="1:19" ht="18" customHeight="1">
      <c r="A74" s="9">
        <v>43831</v>
      </c>
      <c r="B74" s="11">
        <v>0.85994499999999996</v>
      </c>
      <c r="C74" s="30" t="str">
        <f t="shared" si="4"/>
        <v/>
      </c>
      <c r="D74" s="41" t="str">
        <f t="shared" si="5"/>
        <v/>
      </c>
      <c r="E74" s="16">
        <v>2119.0100000000002</v>
      </c>
      <c r="F74" s="16">
        <v>284.52999999999997</v>
      </c>
      <c r="G74" s="16">
        <v>19.29</v>
      </c>
      <c r="H74" s="16">
        <v>1397.56</v>
      </c>
      <c r="I74" s="14">
        <v>642.48</v>
      </c>
      <c r="J74" s="14">
        <v>958.52</v>
      </c>
      <c r="L74" s="33"/>
      <c r="M74" s="33"/>
      <c r="N74" s="33"/>
      <c r="O74" s="32"/>
      <c r="P74" s="32"/>
      <c r="Q74" s="32"/>
      <c r="R74" s="32"/>
      <c r="S74" s="32"/>
    </row>
    <row r="75" spans="1:19" ht="18" customHeight="1">
      <c r="A75" s="9">
        <v>43800</v>
      </c>
      <c r="B75" s="11">
        <v>0.89135299999999995</v>
      </c>
      <c r="C75" s="30" t="str">
        <f t="shared" si="4"/>
        <v/>
      </c>
      <c r="D75" s="41" t="str">
        <f t="shared" si="5"/>
        <v/>
      </c>
      <c r="E75" s="16">
        <v>2197.67</v>
      </c>
      <c r="F75" s="16">
        <v>293.77</v>
      </c>
      <c r="G75" s="16">
        <v>14.69</v>
      </c>
      <c r="H75" s="16">
        <v>1446.82</v>
      </c>
      <c r="I75" s="14">
        <v>669.83</v>
      </c>
      <c r="J75" s="14">
        <v>1029.57</v>
      </c>
      <c r="K75" s="33"/>
      <c r="L75" s="33"/>
      <c r="M75" s="33"/>
      <c r="N75" s="33"/>
      <c r="O75" s="32"/>
      <c r="P75" s="32"/>
      <c r="Q75" s="32"/>
      <c r="R75" s="32"/>
      <c r="S75" s="32"/>
    </row>
    <row r="76" spans="1:19" ht="18" customHeight="1">
      <c r="A76" s="9">
        <v>43770</v>
      </c>
      <c r="B76" s="11">
        <v>0.86090999999999995</v>
      </c>
      <c r="C76" s="30" t="str">
        <f t="shared" si="4"/>
        <v/>
      </c>
      <c r="D76" s="41" t="str">
        <f t="shared" si="5"/>
        <v/>
      </c>
      <c r="E76" s="16">
        <v>2087.96</v>
      </c>
      <c r="F76" s="16">
        <v>276.77999999999997</v>
      </c>
      <c r="G76" s="16">
        <v>13.96</v>
      </c>
      <c r="H76" s="16">
        <v>1347.44</v>
      </c>
      <c r="I76" s="14">
        <v>632.99</v>
      </c>
      <c r="J76" s="14">
        <v>946.89</v>
      </c>
      <c r="K76" s="33"/>
      <c r="L76" s="33"/>
      <c r="M76" s="33"/>
      <c r="N76" s="33"/>
      <c r="O76" s="32"/>
      <c r="P76" s="32"/>
      <c r="Q76" s="32"/>
      <c r="R76" s="32"/>
      <c r="S76" s="32"/>
    </row>
    <row r="77" spans="1:19" ht="18" customHeight="1">
      <c r="A77" s="9">
        <v>43739</v>
      </c>
      <c r="B77" s="11">
        <v>0.85831400000000002</v>
      </c>
      <c r="C77" s="30" t="str">
        <f t="shared" si="4"/>
        <v/>
      </c>
      <c r="D77" s="41" t="str">
        <f t="shared" si="5"/>
        <v/>
      </c>
      <c r="E77" s="16">
        <v>2083.48</v>
      </c>
      <c r="F77" s="16">
        <v>275.82</v>
      </c>
      <c r="G77" s="16">
        <v>13.59</v>
      </c>
      <c r="H77" s="16">
        <v>1342.34</v>
      </c>
      <c r="I77" s="14">
        <v>658.52</v>
      </c>
      <c r="J77" s="14">
        <v>1016.62</v>
      </c>
      <c r="K77" s="33"/>
      <c r="L77" s="33"/>
      <c r="M77" s="33"/>
      <c r="N77" s="33"/>
      <c r="O77" s="32"/>
      <c r="P77" s="32"/>
      <c r="Q77" s="32"/>
      <c r="R77" s="32"/>
      <c r="S77" s="32"/>
    </row>
    <row r="78" spans="1:19" ht="18" customHeight="1">
      <c r="A78" s="9">
        <v>43709</v>
      </c>
      <c r="B78" s="11">
        <v>0.84934799999999999</v>
      </c>
      <c r="C78" s="30" t="str">
        <f t="shared" si="4"/>
        <v>Risk</v>
      </c>
      <c r="D78" s="41" t="str">
        <f t="shared" si="5"/>
        <v/>
      </c>
      <c r="E78" s="16">
        <v>2063.0500000000002</v>
      </c>
      <c r="F78" s="16">
        <v>273.55</v>
      </c>
      <c r="G78" s="16">
        <v>15.15</v>
      </c>
      <c r="H78" s="16">
        <v>1330.93</v>
      </c>
      <c r="I78" s="14">
        <v>621.76</v>
      </c>
      <c r="J78" s="14">
        <v>894.36</v>
      </c>
      <c r="K78" s="33"/>
      <c r="L78" s="33"/>
      <c r="M78" s="33"/>
      <c r="N78" s="33"/>
      <c r="O78" s="32"/>
      <c r="P78" s="32"/>
      <c r="Q78" s="32"/>
      <c r="R78" s="32"/>
      <c r="S78" s="32"/>
    </row>
    <row r="79" spans="1:19" ht="18" customHeight="1">
      <c r="A79" s="9">
        <v>43678</v>
      </c>
      <c r="B79" s="11">
        <v>0.826874</v>
      </c>
      <c r="C79" s="30" t="str">
        <f t="shared" si="4"/>
        <v>Risk</v>
      </c>
      <c r="D79" s="41" t="str">
        <f t="shared" si="5"/>
        <v/>
      </c>
      <c r="E79" s="16">
        <v>1967.79</v>
      </c>
      <c r="F79" s="16">
        <v>259</v>
      </c>
      <c r="G79" s="16">
        <v>15.75</v>
      </c>
      <c r="H79" s="16">
        <v>1258.81</v>
      </c>
      <c r="I79" s="14">
        <v>610.54999999999995</v>
      </c>
      <c r="J79" s="14">
        <v>891.39</v>
      </c>
      <c r="K79" s="34">
        <f>$H75/$H79</f>
        <v>1.1493553435387389</v>
      </c>
      <c r="L79" s="34">
        <f>$H74/$H79</f>
        <v>1.1102231472581248</v>
      </c>
      <c r="M79" s="34">
        <f>$H73/$H79</f>
        <v>1.0428658812688174</v>
      </c>
      <c r="N79" s="34">
        <f>$H72/$H79</f>
        <v>0.92118747070646079</v>
      </c>
      <c r="O79" s="34">
        <f t="shared" ref="O79:S79" si="6">$H72/$H79</f>
        <v>0.92118747070646079</v>
      </c>
      <c r="P79" s="34">
        <f t="shared" si="6"/>
        <v>0.92118747070646079</v>
      </c>
      <c r="Q79" s="34">
        <f t="shared" si="6"/>
        <v>0.92118747070646079</v>
      </c>
      <c r="R79" s="34">
        <f t="shared" si="6"/>
        <v>0.92118747070646079</v>
      </c>
      <c r="S79" s="34">
        <f t="shared" si="6"/>
        <v>0.92118747070646079</v>
      </c>
    </row>
    <row r="80" spans="1:19" ht="18" customHeight="1">
      <c r="A80" s="9">
        <v>43647</v>
      </c>
      <c r="B80" s="3">
        <v>0.85062599999999999</v>
      </c>
      <c r="C80" s="30" t="str">
        <f t="shared" si="4"/>
        <v/>
      </c>
      <c r="D80" s="41" t="str">
        <f t="shared" si="5"/>
        <v/>
      </c>
      <c r="E80" s="16">
        <v>2024.55</v>
      </c>
      <c r="F80" s="16">
        <v>266.33999999999997</v>
      </c>
      <c r="G80" s="16">
        <v>15.29</v>
      </c>
      <c r="H80" s="16">
        <v>1296.21</v>
      </c>
      <c r="I80" s="14">
        <v>630.17999999999995</v>
      </c>
      <c r="J80" s="14">
        <v>939.73</v>
      </c>
    </row>
    <row r="81" spans="1:10" ht="18" customHeight="1">
      <c r="A81" s="9">
        <v>43617</v>
      </c>
      <c r="B81" s="3">
        <v>0.89509099999999997</v>
      </c>
      <c r="C81" s="30" t="str">
        <f t="shared" si="4"/>
        <v/>
      </c>
      <c r="D81" s="41" t="str">
        <f t="shared" si="5"/>
        <v/>
      </c>
      <c r="E81" s="16">
        <v>2130.62</v>
      </c>
      <c r="F81" s="16">
        <v>277.5</v>
      </c>
      <c r="G81" s="16">
        <v>14.43</v>
      </c>
      <c r="H81" s="16">
        <v>1352.31</v>
      </c>
      <c r="I81" s="14">
        <v>690.53</v>
      </c>
      <c r="J81" s="14">
        <v>1012.74</v>
      </c>
    </row>
    <row r="82" spans="1:10" ht="18" customHeight="1">
      <c r="A82" s="9">
        <v>43586</v>
      </c>
      <c r="B82" s="3">
        <v>0.87327999999999995</v>
      </c>
      <c r="C82" s="30" t="str">
        <f t="shared" si="4"/>
        <v/>
      </c>
      <c r="D82" s="41" t="str">
        <f t="shared" si="5"/>
        <v/>
      </c>
      <c r="E82" s="16">
        <v>2041.74</v>
      </c>
      <c r="F82" s="16">
        <v>263.89</v>
      </c>
      <c r="G82" s="16">
        <v>17.32</v>
      </c>
      <c r="H82" s="16">
        <v>1280.67</v>
      </c>
      <c r="I82" s="14">
        <v>696.47</v>
      </c>
      <c r="J82" s="14">
        <v>1075.28</v>
      </c>
    </row>
    <row r="83" spans="1:10" ht="18" customHeight="1">
      <c r="A83" s="9">
        <v>43556</v>
      </c>
      <c r="B83" s="3">
        <v>0.947048</v>
      </c>
      <c r="C83" s="30" t="str">
        <f t="shared" si="4"/>
        <v/>
      </c>
      <c r="D83" s="41" t="str">
        <f t="shared" si="5"/>
        <v/>
      </c>
      <c r="E83" s="16">
        <v>2203.59</v>
      </c>
      <c r="F83" s="16">
        <v>284.92</v>
      </c>
      <c r="G83" s="16">
        <v>13.28</v>
      </c>
      <c r="H83" s="16">
        <v>1387.11</v>
      </c>
      <c r="I83" s="14">
        <v>754.74</v>
      </c>
      <c r="J83" s="14">
        <v>1207.56</v>
      </c>
    </row>
    <row r="84" spans="1:10" ht="18" customHeight="1">
      <c r="A84" s="9">
        <v>43525</v>
      </c>
      <c r="B84" s="3">
        <v>0.91991199999999995</v>
      </c>
      <c r="C84" s="30" t="str">
        <f t="shared" si="4"/>
        <v/>
      </c>
      <c r="D84" s="41" t="str">
        <f t="shared" si="5"/>
        <v/>
      </c>
      <c r="E84" s="16">
        <v>2140.67</v>
      </c>
      <c r="F84" s="16">
        <v>276.48</v>
      </c>
      <c r="G84" s="16">
        <v>14.29</v>
      </c>
      <c r="H84" s="16">
        <v>1347.26</v>
      </c>
      <c r="I84" s="14">
        <v>729.31</v>
      </c>
      <c r="J84" s="13">
        <v>1193.9000000000001</v>
      </c>
    </row>
    <row r="85" spans="1:10" ht="18" customHeight="1">
      <c r="A85" s="9">
        <v>43497</v>
      </c>
      <c r="B85" s="3">
        <v>0.94048799999999999</v>
      </c>
      <c r="C85" s="30" t="str">
        <f t="shared" si="4"/>
        <v/>
      </c>
      <c r="D85" s="41" t="str">
        <f t="shared" si="5"/>
        <v/>
      </c>
      <c r="E85" s="16">
        <v>2195.44</v>
      </c>
      <c r="F85" s="16">
        <v>283.8</v>
      </c>
      <c r="G85" s="16">
        <v>15.49</v>
      </c>
      <c r="H85" s="16">
        <v>1383.39</v>
      </c>
      <c r="I85" s="14">
        <v>731.25</v>
      </c>
      <c r="J85" s="14">
        <v>1235.26</v>
      </c>
    </row>
    <row r="86" spans="1:10" ht="18" customHeight="1">
      <c r="A86" s="9">
        <v>43466</v>
      </c>
      <c r="B86" s="3">
        <v>0.93744499999999997</v>
      </c>
      <c r="C86" s="30" t="str">
        <f t="shared" si="4"/>
        <v/>
      </c>
      <c r="D86" s="41" t="str">
        <f t="shared" si="5"/>
        <v/>
      </c>
      <c r="E86" s="16">
        <v>2204.85</v>
      </c>
      <c r="F86" s="16">
        <v>285.89</v>
      </c>
      <c r="G86" s="16">
        <v>15.51</v>
      </c>
      <c r="H86" s="16">
        <v>1398.5</v>
      </c>
      <c r="I86" s="14">
        <v>716.86</v>
      </c>
      <c r="J86" s="14">
        <v>1191.47</v>
      </c>
    </row>
    <row r="87" spans="1:10" ht="18" customHeight="1">
      <c r="A87" s="9">
        <v>43435</v>
      </c>
      <c r="B87" s="3">
        <v>0.867363</v>
      </c>
      <c r="C87" s="30" t="str">
        <f t="shared" si="4"/>
        <v/>
      </c>
      <c r="D87" s="41" t="str">
        <f t="shared" si="5"/>
        <v/>
      </c>
      <c r="E87" s="16">
        <v>2041.04</v>
      </c>
      <c r="F87" s="16">
        <v>261.98</v>
      </c>
      <c r="G87" s="16">
        <v>18.989999999999998</v>
      </c>
      <c r="H87" s="16">
        <v>1276.9000000000001</v>
      </c>
      <c r="I87" s="14">
        <v>675.65</v>
      </c>
      <c r="J87" s="14">
        <v>1166.25</v>
      </c>
    </row>
    <row r="88" spans="1:10" ht="18" customHeight="1">
      <c r="A88" s="9">
        <v>43405</v>
      </c>
      <c r="B88" s="3">
        <v>0.92381400000000002</v>
      </c>
      <c r="C88" s="30" t="str">
        <f t="shared" si="4"/>
        <v/>
      </c>
      <c r="D88" s="41" t="str">
        <f t="shared" si="5"/>
        <v/>
      </c>
      <c r="E88" s="16">
        <v>2096.86</v>
      </c>
      <c r="F88" s="16">
        <v>271.35000000000002</v>
      </c>
      <c r="G88" s="16">
        <v>18.57</v>
      </c>
      <c r="H88" s="16">
        <v>1309.6300000000001</v>
      </c>
      <c r="I88" s="14">
        <v>695.76</v>
      </c>
      <c r="J88" s="14">
        <v>1186.6300000000001</v>
      </c>
    </row>
    <row r="89" spans="1:10" ht="18" customHeight="1">
      <c r="A89" s="9">
        <v>43374</v>
      </c>
      <c r="B89" s="3">
        <v>0.89380899999999996</v>
      </c>
      <c r="C89" s="30" t="str">
        <f t="shared" si="4"/>
        <v/>
      </c>
      <c r="D89" s="41" t="str">
        <f t="shared" si="5"/>
        <v/>
      </c>
      <c r="E89" s="16">
        <v>2029.69</v>
      </c>
      <c r="F89" s="16">
        <v>264.01</v>
      </c>
      <c r="G89" s="16">
        <v>20.49</v>
      </c>
      <c r="H89" s="16">
        <v>1273.47</v>
      </c>
      <c r="I89" s="14">
        <v>648.66999999999996</v>
      </c>
      <c r="J89" s="14">
        <v>1124.49</v>
      </c>
    </row>
    <row r="90" spans="1:10" ht="18" customHeight="1">
      <c r="A90" s="9">
        <v>43344</v>
      </c>
      <c r="B90" s="3">
        <v>1.030465</v>
      </c>
      <c r="C90" s="30" t="str">
        <f t="shared" si="4"/>
        <v/>
      </c>
      <c r="D90" s="41" t="str">
        <f t="shared" si="5"/>
        <v/>
      </c>
      <c r="E90" s="16">
        <v>2343.0700000000002</v>
      </c>
      <c r="F90" s="16">
        <v>300.51</v>
      </c>
      <c r="G90" s="16">
        <v>11.24</v>
      </c>
      <c r="H90" s="16">
        <v>1454.29</v>
      </c>
      <c r="I90" s="14">
        <v>822.27</v>
      </c>
      <c r="J90" s="14">
        <v>1411.73</v>
      </c>
    </row>
    <row r="91" spans="1:10" ht="18" customHeight="1">
      <c r="A91" s="9">
        <v>43313</v>
      </c>
      <c r="B91" s="3">
        <v>1.0442990000000001</v>
      </c>
      <c r="C91" s="30" t="str">
        <f t="shared" si="4"/>
        <v/>
      </c>
      <c r="D91" s="41" t="str">
        <f t="shared" si="5"/>
        <v/>
      </c>
      <c r="E91" s="16">
        <v>2322.88</v>
      </c>
      <c r="F91" s="16">
        <v>300.07</v>
      </c>
      <c r="G91" s="16">
        <v>11.64</v>
      </c>
      <c r="H91" s="16">
        <v>1445.99</v>
      </c>
      <c r="I91" s="14">
        <v>816.97</v>
      </c>
      <c r="J91" s="14">
        <v>1376.46</v>
      </c>
    </row>
    <row r="92" spans="1:10" ht="18" customHeight="1">
      <c r="A92" s="9">
        <v>43282</v>
      </c>
      <c r="B92" s="3">
        <v>1.0321480000000001</v>
      </c>
      <c r="C92" s="30" t="str">
        <f t="shared" si="4"/>
        <v/>
      </c>
      <c r="D92" s="41" t="str">
        <f t="shared" si="5"/>
        <v/>
      </c>
      <c r="E92" s="16">
        <v>2295.2600000000002</v>
      </c>
      <c r="F92" s="16">
        <v>297.45</v>
      </c>
      <c r="G92" s="16">
        <v>13.05</v>
      </c>
      <c r="H92" s="16">
        <v>1438.27</v>
      </c>
      <c r="I92" s="14">
        <v>775.52</v>
      </c>
      <c r="J92" s="14">
        <v>1265.58</v>
      </c>
    </row>
    <row r="93" spans="1:10" ht="18" customHeight="1">
      <c r="A93" s="9">
        <v>43252</v>
      </c>
      <c r="B93" s="3">
        <v>1.0479160000000001</v>
      </c>
      <c r="C93" s="30" t="str">
        <f t="shared" si="4"/>
        <v/>
      </c>
      <c r="D93" s="41" t="str">
        <f t="shared" si="5"/>
        <v/>
      </c>
      <c r="E93" s="16">
        <v>2326.13</v>
      </c>
      <c r="F93" s="16">
        <v>299.66000000000003</v>
      </c>
      <c r="G93" s="16">
        <v>16.04</v>
      </c>
      <c r="H93" s="16">
        <v>1448.16</v>
      </c>
      <c r="I93" s="14">
        <v>818.22</v>
      </c>
      <c r="J93" s="14">
        <v>1391.83</v>
      </c>
    </row>
    <row r="94" spans="1:10" ht="18" customHeight="1">
      <c r="A94" s="9">
        <v>43221</v>
      </c>
      <c r="B94" s="3">
        <v>1.1065240000000001</v>
      </c>
      <c r="C94" s="30" t="str">
        <f t="shared" si="4"/>
        <v/>
      </c>
      <c r="D94" s="41" t="str">
        <f t="shared" si="5"/>
        <v/>
      </c>
      <c r="E94" s="16">
        <v>2423.0100000000002</v>
      </c>
      <c r="F94" s="16">
        <v>310.92</v>
      </c>
      <c r="G94" s="16">
        <v>14.55</v>
      </c>
      <c r="H94" s="16">
        <v>1498.26</v>
      </c>
      <c r="I94" s="14">
        <v>879.66</v>
      </c>
      <c r="J94" s="13">
        <v>1491.9</v>
      </c>
    </row>
    <row r="95" spans="1:10" ht="18" customHeight="1">
      <c r="A95" s="9">
        <v>43191</v>
      </c>
      <c r="B95" s="3">
        <v>1.1569799999999999</v>
      </c>
      <c r="C95" s="30" t="str">
        <f t="shared" si="4"/>
        <v/>
      </c>
      <c r="D95" s="41" t="str">
        <f t="shared" si="5"/>
        <v/>
      </c>
      <c r="E95" s="16">
        <v>2515.38</v>
      </c>
      <c r="F95" s="16">
        <v>323.56</v>
      </c>
      <c r="G95" s="16">
        <v>13.59</v>
      </c>
      <c r="H95" s="16">
        <v>1558.62</v>
      </c>
      <c r="I95" s="14">
        <v>875.95</v>
      </c>
      <c r="J95" s="14">
        <v>1495.09</v>
      </c>
    </row>
    <row r="96" spans="1:10" ht="18" customHeight="1">
      <c r="A96" s="9">
        <v>43160</v>
      </c>
      <c r="B96" s="3">
        <v>1.1228480000000001</v>
      </c>
      <c r="C96" s="30" t="str">
        <f t="shared" si="4"/>
        <v/>
      </c>
      <c r="D96" s="41" t="str">
        <f t="shared" si="5"/>
        <v/>
      </c>
      <c r="E96" s="16">
        <v>2445.85</v>
      </c>
      <c r="F96" s="16">
        <v>314.61</v>
      </c>
      <c r="G96" s="16">
        <v>17.54</v>
      </c>
      <c r="H96" s="16">
        <v>1524.33</v>
      </c>
      <c r="I96" s="14">
        <v>871.09</v>
      </c>
      <c r="J96" s="14">
        <v>1551.48</v>
      </c>
    </row>
    <row r="97" spans="1:10" ht="18" customHeight="1">
      <c r="A97" s="9">
        <v>43132</v>
      </c>
      <c r="B97" s="3">
        <v>1.113524</v>
      </c>
      <c r="C97" s="30" t="str">
        <f t="shared" si="4"/>
        <v/>
      </c>
      <c r="D97" s="41" t="str">
        <f t="shared" si="5"/>
        <v/>
      </c>
      <c r="E97" s="16">
        <v>2427.36</v>
      </c>
      <c r="F97" s="16">
        <v>312.86</v>
      </c>
      <c r="G97" s="16">
        <v>15.55</v>
      </c>
      <c r="H97" s="16">
        <v>1515.9</v>
      </c>
      <c r="I97" s="14">
        <v>857.06</v>
      </c>
      <c r="J97" s="13">
        <v>1535.3</v>
      </c>
    </row>
    <row r="98" spans="1:10" ht="18" customHeight="1">
      <c r="A98" s="9">
        <v>43101</v>
      </c>
      <c r="B98" s="3">
        <v>1.152892</v>
      </c>
      <c r="C98" s="30" t="str">
        <f t="shared" si="4"/>
        <v/>
      </c>
      <c r="D98" s="41" t="str">
        <f t="shared" si="5"/>
        <v/>
      </c>
      <c r="E98" s="16">
        <v>2566.46</v>
      </c>
      <c r="F98" s="16">
        <v>333.38</v>
      </c>
      <c r="G98" s="16">
        <v>14.54</v>
      </c>
      <c r="H98" s="16">
        <v>1622.47</v>
      </c>
      <c r="I98" s="14">
        <v>913.57</v>
      </c>
      <c r="J98" s="14">
        <v>1664.36</v>
      </c>
    </row>
    <row r="99" spans="1:10" ht="18" customHeight="1">
      <c r="A99" s="9">
        <v>43070</v>
      </c>
      <c r="B99" s="3">
        <v>1.1098110000000001</v>
      </c>
      <c r="C99" s="30" t="str">
        <f t="shared" si="4"/>
        <v/>
      </c>
      <c r="D99" s="41" t="str">
        <f t="shared" si="5"/>
        <v/>
      </c>
      <c r="E99" s="16">
        <v>2467.4899999999998</v>
      </c>
      <c r="F99" s="16">
        <v>324.74</v>
      </c>
      <c r="G99" s="16">
        <v>12.06</v>
      </c>
      <c r="H99" s="16">
        <v>1579.84</v>
      </c>
      <c r="I99" s="14">
        <v>798.42</v>
      </c>
      <c r="J99" s="13">
        <v>1413.8</v>
      </c>
    </row>
    <row r="100" spans="1:10" ht="18" customHeight="1">
      <c r="A100" s="9">
        <v>43040</v>
      </c>
      <c r="B100" s="3">
        <v>1.1375059999999999</v>
      </c>
      <c r="C100" s="30" t="str">
        <f t="shared" si="4"/>
        <v/>
      </c>
      <c r="D100" s="41" t="str">
        <f t="shared" si="5"/>
        <v/>
      </c>
      <c r="E100" s="16">
        <v>2476.37</v>
      </c>
      <c r="F100" s="16">
        <v>325.25</v>
      </c>
      <c r="G100" s="16">
        <v>13.2</v>
      </c>
      <c r="H100" s="16">
        <v>1565.29</v>
      </c>
      <c r="I100" s="14">
        <v>771.42</v>
      </c>
      <c r="J100" s="14">
        <v>1348.84</v>
      </c>
    </row>
    <row r="101" spans="1:10" ht="18" customHeight="1">
      <c r="A101" s="9">
        <v>43009</v>
      </c>
      <c r="B101" s="3">
        <v>1.1598539999999999</v>
      </c>
      <c r="C101" s="30" t="str">
        <f t="shared" si="4"/>
        <v/>
      </c>
      <c r="D101" s="41" t="str">
        <f t="shared" si="5"/>
        <v/>
      </c>
      <c r="E101" s="16">
        <v>2523.4299999999998</v>
      </c>
      <c r="F101" s="16">
        <v>333.57</v>
      </c>
      <c r="G101" s="16">
        <v>12.06</v>
      </c>
      <c r="H101" s="16">
        <v>1607.59</v>
      </c>
      <c r="I101" s="13">
        <v>694.2</v>
      </c>
      <c r="J101" s="14">
        <v>1196.8599999999999</v>
      </c>
    </row>
    <row r="102" spans="1:10" ht="18" customHeight="1">
      <c r="A102" s="9">
        <v>42979</v>
      </c>
      <c r="B102" s="3">
        <v>1.1000099999999999</v>
      </c>
      <c r="C102" s="30" t="str">
        <f t="shared" si="4"/>
        <v/>
      </c>
      <c r="D102" s="41" t="str">
        <f t="shared" si="5"/>
        <v/>
      </c>
      <c r="E102" s="16">
        <v>2394.4699999999998</v>
      </c>
      <c r="F102" s="16">
        <v>316.27</v>
      </c>
      <c r="G102" s="16">
        <v>13.41</v>
      </c>
      <c r="H102" s="16">
        <v>1527.07</v>
      </c>
      <c r="I102" s="14">
        <v>652.82000000000005</v>
      </c>
      <c r="J102" s="14">
        <v>1074.79</v>
      </c>
    </row>
    <row r="103" spans="1:10" ht="18" customHeight="1">
      <c r="A103" s="9">
        <v>42948</v>
      </c>
      <c r="B103" s="3">
        <v>1.1288959999999999</v>
      </c>
      <c r="C103" s="30" t="str">
        <f t="shared" si="4"/>
        <v/>
      </c>
      <c r="D103" s="41" t="str">
        <f t="shared" si="5"/>
        <v/>
      </c>
      <c r="E103" s="16">
        <v>2363.19</v>
      </c>
      <c r="F103" s="16">
        <v>308.27999999999997</v>
      </c>
      <c r="G103" s="16">
        <v>13.64</v>
      </c>
      <c r="H103" s="16">
        <v>1485.29</v>
      </c>
      <c r="I103" s="14">
        <v>657.83</v>
      </c>
      <c r="J103" s="14">
        <v>1034.49</v>
      </c>
    </row>
    <row r="104" spans="1:10" ht="18" customHeight="1">
      <c r="A104" s="9">
        <v>42917</v>
      </c>
      <c r="B104" s="3">
        <v>1.1488400000000001</v>
      </c>
      <c r="C104" s="30" t="str">
        <f t="shared" si="4"/>
        <v/>
      </c>
      <c r="D104" s="41" t="str">
        <f t="shared" si="5"/>
        <v/>
      </c>
      <c r="E104" s="16">
        <v>2402.71</v>
      </c>
      <c r="F104" s="16">
        <v>314.60000000000002</v>
      </c>
      <c r="G104" s="16">
        <v>12.79</v>
      </c>
      <c r="H104" s="16">
        <v>1518.56</v>
      </c>
      <c r="I104" s="14">
        <v>650.47</v>
      </c>
      <c r="J104" s="14">
        <v>1008.63</v>
      </c>
    </row>
    <row r="105" spans="1:10" ht="18" customHeight="1">
      <c r="A105" s="9">
        <v>42887</v>
      </c>
      <c r="B105" s="3">
        <v>1.144647</v>
      </c>
      <c r="C105" s="30" t="str">
        <f t="shared" si="4"/>
        <v/>
      </c>
      <c r="D105" s="41" t="str">
        <f t="shared" si="5"/>
        <v/>
      </c>
      <c r="E105" s="16">
        <v>2391.79</v>
      </c>
      <c r="F105" s="16">
        <v>311.76</v>
      </c>
      <c r="G105" s="16">
        <v>12</v>
      </c>
      <c r="H105" s="16">
        <v>1508.92</v>
      </c>
      <c r="I105" s="14">
        <v>669.04</v>
      </c>
      <c r="J105" s="14">
        <v>1031.51</v>
      </c>
    </row>
    <row r="106" spans="1:10" ht="18" customHeight="1">
      <c r="A106" s="9">
        <v>42856</v>
      </c>
      <c r="B106" s="3">
        <v>1.1169709999999999</v>
      </c>
      <c r="C106" s="30" t="str">
        <f t="shared" si="4"/>
        <v/>
      </c>
      <c r="D106" s="41" t="str">
        <f t="shared" si="5"/>
        <v/>
      </c>
      <c r="E106" s="16">
        <v>2347.38</v>
      </c>
      <c r="F106" s="16">
        <v>304.67</v>
      </c>
      <c r="G106" s="16">
        <v>13.18</v>
      </c>
      <c r="H106" s="16">
        <v>1475.69</v>
      </c>
      <c r="I106" s="14">
        <v>652.04</v>
      </c>
      <c r="J106" s="14">
        <v>988.04</v>
      </c>
    </row>
    <row r="107" spans="1:10" ht="18" customHeight="1">
      <c r="A107" s="9">
        <v>42826</v>
      </c>
      <c r="B107" s="3">
        <v>1.0832040000000001</v>
      </c>
      <c r="C107" s="30" t="str">
        <f t="shared" si="4"/>
        <v/>
      </c>
      <c r="D107" s="41" t="str">
        <f t="shared" si="5"/>
        <v/>
      </c>
      <c r="E107" s="16">
        <v>2205.44</v>
      </c>
      <c r="F107" s="16">
        <v>287.20999999999998</v>
      </c>
      <c r="G107" s="16">
        <v>12.27</v>
      </c>
      <c r="H107" s="16">
        <v>1392.27</v>
      </c>
      <c r="I107" s="14">
        <v>628.24</v>
      </c>
      <c r="J107" s="14">
        <v>940.33</v>
      </c>
    </row>
    <row r="108" spans="1:10" ht="18" customHeight="1">
      <c r="A108" s="9">
        <v>42795</v>
      </c>
      <c r="B108" s="3">
        <v>1.062262</v>
      </c>
      <c r="C108" s="30" t="str">
        <f t="shared" si="4"/>
        <v/>
      </c>
      <c r="D108" s="41" t="str">
        <f t="shared" si="5"/>
        <v/>
      </c>
      <c r="E108" s="16">
        <v>2160.23</v>
      </c>
      <c r="F108" s="16">
        <v>280.64</v>
      </c>
      <c r="G108" s="16">
        <v>11.06</v>
      </c>
      <c r="H108" s="16">
        <v>1362.28</v>
      </c>
      <c r="I108" s="14">
        <v>619.28</v>
      </c>
      <c r="J108" s="14">
        <v>921.26</v>
      </c>
    </row>
    <row r="109" spans="1:10" ht="18" customHeight="1">
      <c r="A109" s="9">
        <v>42767</v>
      </c>
      <c r="B109" s="3">
        <v>1.0296369999999999</v>
      </c>
      <c r="C109" s="30" t="str">
        <f t="shared" si="4"/>
        <v/>
      </c>
      <c r="D109" s="41" t="str">
        <f t="shared" si="5"/>
        <v/>
      </c>
      <c r="E109" s="16">
        <v>2091.64</v>
      </c>
      <c r="F109" s="16">
        <v>270.06</v>
      </c>
      <c r="G109" s="16">
        <v>10.64</v>
      </c>
      <c r="H109" s="16">
        <v>1307.68</v>
      </c>
      <c r="I109" s="13">
        <v>612.20000000000005</v>
      </c>
      <c r="J109" s="14">
        <v>916.75</v>
      </c>
    </row>
    <row r="110" spans="1:10" ht="18" customHeight="1">
      <c r="A110" s="9">
        <v>42736</v>
      </c>
      <c r="B110" s="3">
        <v>1.0175460000000001</v>
      </c>
      <c r="C110" s="30" t="str">
        <f t="shared" si="4"/>
        <v/>
      </c>
      <c r="D110" s="41" t="str">
        <f t="shared" si="5"/>
        <v/>
      </c>
      <c r="E110" s="16">
        <v>2067.5700000000002</v>
      </c>
      <c r="F110" s="16">
        <v>268.08999999999997</v>
      </c>
      <c r="G110" s="16">
        <v>12.53</v>
      </c>
      <c r="H110" s="16">
        <v>1305.02</v>
      </c>
      <c r="I110" s="14">
        <v>616.13</v>
      </c>
      <c r="J110" s="14">
        <v>904.84</v>
      </c>
    </row>
    <row r="111" spans="1:10" ht="18" customHeight="1">
      <c r="A111" s="9">
        <v>42705</v>
      </c>
      <c r="B111" s="3">
        <v>0.99650899999999998</v>
      </c>
      <c r="C111" s="30" t="str">
        <f t="shared" si="4"/>
        <v/>
      </c>
      <c r="D111" s="41" t="str">
        <f t="shared" si="5"/>
        <v/>
      </c>
      <c r="E111" s="16">
        <v>2026.46</v>
      </c>
      <c r="F111" s="16">
        <v>260.01</v>
      </c>
      <c r="G111" s="16">
        <v>11.51</v>
      </c>
      <c r="H111" s="16">
        <v>1260.6600000000001</v>
      </c>
      <c r="I111" s="14">
        <v>631.44000000000005</v>
      </c>
      <c r="J111" s="14">
        <v>936.09</v>
      </c>
    </row>
    <row r="112" spans="1:10" ht="18" customHeight="1">
      <c r="A112" s="9">
        <v>42675</v>
      </c>
      <c r="B112" s="3">
        <v>0.98469499999999999</v>
      </c>
      <c r="C112" s="30" t="str">
        <f t="shared" si="4"/>
        <v/>
      </c>
      <c r="D112" s="41" t="str">
        <f t="shared" si="5"/>
        <v/>
      </c>
      <c r="E112" s="16">
        <v>1983.48</v>
      </c>
      <c r="F112" s="16">
        <v>254.26</v>
      </c>
      <c r="G112" s="16">
        <v>12.8</v>
      </c>
      <c r="H112" s="16">
        <v>1218.23</v>
      </c>
      <c r="I112" s="14">
        <v>596.11</v>
      </c>
      <c r="J112" s="14">
        <v>892.08</v>
      </c>
    </row>
    <row r="113" spans="1:10" ht="18" customHeight="1">
      <c r="A113" s="9">
        <v>42644</v>
      </c>
      <c r="B113" s="3">
        <v>0.99016099999999996</v>
      </c>
      <c r="C113" s="30" t="str">
        <f t="shared" si="4"/>
        <v/>
      </c>
      <c r="D113" s="41" t="str">
        <f t="shared" si="5"/>
        <v/>
      </c>
      <c r="E113" s="16">
        <v>2008.19</v>
      </c>
      <c r="F113" s="16">
        <v>255.93</v>
      </c>
      <c r="G113" s="16">
        <v>14.61</v>
      </c>
      <c r="H113" s="16">
        <v>1229.5</v>
      </c>
      <c r="I113" s="14">
        <v>624.67999999999995</v>
      </c>
      <c r="J113" s="14">
        <v>939.76</v>
      </c>
    </row>
    <row r="114" spans="1:10" ht="18" customHeight="1">
      <c r="A114" s="9">
        <v>42614</v>
      </c>
      <c r="B114" s="3">
        <v>1.081105</v>
      </c>
      <c r="C114" s="30" t="str">
        <f t="shared" si="4"/>
        <v/>
      </c>
      <c r="D114" s="41" t="str">
        <f t="shared" si="5"/>
        <v/>
      </c>
      <c r="E114" s="16">
        <v>2043.63</v>
      </c>
      <c r="F114" s="16">
        <v>257.49</v>
      </c>
      <c r="G114" s="16">
        <v>14.11</v>
      </c>
      <c r="H114" s="16">
        <v>1237.6400000000001</v>
      </c>
      <c r="I114" s="14">
        <v>681.21</v>
      </c>
      <c r="J114" s="14">
        <v>1010.18</v>
      </c>
    </row>
    <row r="115" spans="1:10" ht="18" customHeight="1">
      <c r="A115" s="9">
        <v>42583</v>
      </c>
      <c r="B115" s="3">
        <v>1.076362</v>
      </c>
      <c r="C115" s="30" t="str">
        <f t="shared" si="4"/>
        <v/>
      </c>
      <c r="D115" s="41" t="str">
        <f t="shared" si="5"/>
        <v/>
      </c>
      <c r="E115" s="16">
        <v>2034.65</v>
      </c>
      <c r="F115" s="16">
        <v>256.87</v>
      </c>
      <c r="G115" s="16">
        <v>11.56</v>
      </c>
      <c r="H115" s="16">
        <v>1234.47</v>
      </c>
      <c r="I115" s="14">
        <v>663.69</v>
      </c>
      <c r="J115" s="13">
        <v>997.9</v>
      </c>
    </row>
    <row r="116" spans="1:10" ht="18" customHeight="1">
      <c r="A116" s="9">
        <v>42552</v>
      </c>
      <c r="B116" s="3">
        <v>1.0668260000000001</v>
      </c>
      <c r="C116" s="30" t="str">
        <f t="shared" si="4"/>
        <v/>
      </c>
      <c r="D116" s="41" t="str">
        <f t="shared" si="5"/>
        <v/>
      </c>
      <c r="E116" s="16">
        <v>2016.19</v>
      </c>
      <c r="F116" s="16">
        <v>251.48</v>
      </c>
      <c r="G116" s="16">
        <v>12.6</v>
      </c>
      <c r="H116" s="16">
        <v>1214.74</v>
      </c>
      <c r="I116" s="14">
        <v>706.24</v>
      </c>
      <c r="J116" s="15">
        <v>1058</v>
      </c>
    </row>
    <row r="117" spans="1:10" ht="18" customHeight="1">
      <c r="A117" s="9">
        <v>42522</v>
      </c>
      <c r="B117" s="3">
        <v>1.0395460000000001</v>
      </c>
      <c r="C117" s="30" t="str">
        <f t="shared" si="4"/>
        <v/>
      </c>
      <c r="D117" s="41" t="str">
        <f t="shared" si="5"/>
        <v/>
      </c>
      <c r="E117" s="16">
        <v>1970.35</v>
      </c>
      <c r="F117" s="16">
        <v>244.14</v>
      </c>
      <c r="G117" s="16">
        <v>13.9</v>
      </c>
      <c r="H117" s="16">
        <v>1175.52</v>
      </c>
      <c r="I117" s="14">
        <v>675.09</v>
      </c>
      <c r="J117" s="14">
        <v>1032.75</v>
      </c>
    </row>
    <row r="118" spans="1:10" ht="18" customHeight="1">
      <c r="A118" s="9">
        <v>42491</v>
      </c>
      <c r="B118" s="3">
        <v>1.0459909999999999</v>
      </c>
      <c r="C118" s="30" t="str">
        <f t="shared" si="4"/>
        <v/>
      </c>
      <c r="D118" s="41" t="str">
        <f t="shared" si="5"/>
        <v/>
      </c>
      <c r="E118" s="16">
        <v>1983.4</v>
      </c>
      <c r="F118" s="16">
        <v>243.63</v>
      </c>
      <c r="G118" s="16">
        <v>11.81</v>
      </c>
      <c r="H118" s="16">
        <v>1175.94</v>
      </c>
      <c r="I118" s="14">
        <v>698.45</v>
      </c>
      <c r="J118" s="14">
        <v>1068.73</v>
      </c>
    </row>
    <row r="119" spans="1:10" ht="18" customHeight="1">
      <c r="A119" s="9">
        <v>42461</v>
      </c>
      <c r="B119" s="3">
        <v>1.123364</v>
      </c>
      <c r="C119" s="30" t="str">
        <f t="shared" si="4"/>
        <v/>
      </c>
      <c r="D119" s="41" t="str">
        <f t="shared" si="5"/>
        <v/>
      </c>
      <c r="E119" s="16">
        <v>1994.15</v>
      </c>
      <c r="F119" s="16">
        <v>245.2</v>
      </c>
      <c r="G119" s="16">
        <v>12.42</v>
      </c>
      <c r="H119" s="16">
        <v>1185.6099999999999</v>
      </c>
      <c r="I119" s="14">
        <v>699.77</v>
      </c>
      <c r="J119" s="14">
        <v>1065.27</v>
      </c>
    </row>
    <row r="120" spans="1:10" ht="18" customHeight="1">
      <c r="A120" s="9">
        <v>42430</v>
      </c>
      <c r="B120" s="3">
        <v>1.1237200000000001</v>
      </c>
      <c r="C120" s="30" t="str">
        <f t="shared" si="4"/>
        <v/>
      </c>
      <c r="D120" s="41" t="str">
        <f t="shared" si="5"/>
        <v/>
      </c>
      <c r="E120" s="16">
        <v>1995.85</v>
      </c>
      <c r="F120" s="16">
        <v>245.86</v>
      </c>
      <c r="G120" s="16">
        <v>12.33</v>
      </c>
      <c r="H120" s="16">
        <v>1190.68</v>
      </c>
      <c r="I120" s="14">
        <v>688.38</v>
      </c>
      <c r="J120" s="14">
        <v>1073.68</v>
      </c>
    </row>
    <row r="121" spans="1:10" ht="18" customHeight="1">
      <c r="A121" s="9">
        <v>42401</v>
      </c>
      <c r="B121" s="3">
        <v>1.0790029999999999</v>
      </c>
      <c r="C121" s="30" t="str">
        <f t="shared" si="4"/>
        <v/>
      </c>
      <c r="D121" s="41" t="str">
        <f t="shared" si="5"/>
        <v/>
      </c>
      <c r="E121" s="16">
        <v>1916.66</v>
      </c>
      <c r="F121" s="16">
        <v>234.63</v>
      </c>
      <c r="G121" s="16">
        <v>17.559999999999999</v>
      </c>
      <c r="H121" s="16">
        <v>1142.04</v>
      </c>
      <c r="I121" s="14">
        <v>651.62</v>
      </c>
      <c r="J121" s="14">
        <v>1045.53</v>
      </c>
    </row>
    <row r="122" spans="1:10" ht="18" customHeight="1">
      <c r="A122" s="9">
        <v>42370</v>
      </c>
      <c r="B122" s="3">
        <v>1.0715060000000001</v>
      </c>
      <c r="C122" s="30" t="str">
        <f t="shared" si="4"/>
        <v/>
      </c>
      <c r="D122" s="41" t="str">
        <f t="shared" si="5"/>
        <v/>
      </c>
      <c r="E122" s="16">
        <v>1912.06</v>
      </c>
      <c r="F122" s="16">
        <v>232.1</v>
      </c>
      <c r="G122" s="16">
        <v>17.93</v>
      </c>
      <c r="H122" s="16">
        <v>1127.96</v>
      </c>
      <c r="I122" s="13">
        <v>682.8</v>
      </c>
      <c r="J122" s="14">
        <v>1128.24</v>
      </c>
    </row>
    <row r="123" spans="1:10" ht="18" customHeight="1">
      <c r="A123" s="9">
        <v>42339</v>
      </c>
      <c r="B123" s="3">
        <v>1.1016900000000001</v>
      </c>
      <c r="C123" s="30" t="str">
        <f t="shared" si="4"/>
        <v/>
      </c>
      <c r="D123" s="41" t="str">
        <f t="shared" si="5"/>
        <v/>
      </c>
      <c r="E123" s="16">
        <v>1961.31</v>
      </c>
      <c r="F123" s="16">
        <v>240.38</v>
      </c>
      <c r="G123" s="16">
        <v>14.18</v>
      </c>
      <c r="H123" s="16">
        <v>1167.53</v>
      </c>
      <c r="I123" s="14">
        <v>682.35</v>
      </c>
      <c r="J123" s="14">
        <v>1095.46</v>
      </c>
    </row>
    <row r="124" spans="1:10" ht="18" customHeight="1">
      <c r="A124" s="9">
        <v>42309</v>
      </c>
      <c r="B124" s="3">
        <v>1.1182080000000001</v>
      </c>
      <c r="C124" s="30" t="str">
        <f t="shared" si="4"/>
        <v/>
      </c>
      <c r="D124" s="41" t="str">
        <f t="shared" si="5"/>
        <v/>
      </c>
      <c r="E124" s="16">
        <v>1991.97</v>
      </c>
      <c r="F124" s="16">
        <v>244.24</v>
      </c>
      <c r="G124" s="16">
        <v>14.37</v>
      </c>
      <c r="H124" s="16">
        <v>1176.8</v>
      </c>
      <c r="I124" s="14">
        <v>688.38</v>
      </c>
      <c r="J124" s="14">
        <v>1102.28</v>
      </c>
    </row>
    <row r="125" spans="1:10" ht="18" customHeight="1">
      <c r="A125" s="9">
        <v>42278</v>
      </c>
      <c r="B125" s="3">
        <v>1.1388529999999999</v>
      </c>
      <c r="C125" s="30" t="str">
        <f t="shared" si="4"/>
        <v/>
      </c>
      <c r="D125" s="41" t="str">
        <f t="shared" si="5"/>
        <v/>
      </c>
      <c r="E125" s="16">
        <v>2029.47</v>
      </c>
      <c r="F125" s="16">
        <v>249.41</v>
      </c>
      <c r="G125" s="16">
        <v>14.22</v>
      </c>
      <c r="H125" s="16">
        <v>1207.32</v>
      </c>
      <c r="I125" s="14">
        <v>683.63</v>
      </c>
      <c r="J125" s="14">
        <v>1069.95</v>
      </c>
    </row>
    <row r="126" spans="1:10" ht="18" customHeight="1">
      <c r="A126" s="9">
        <v>42248</v>
      </c>
      <c r="B126" s="3">
        <v>1.100371</v>
      </c>
      <c r="C126" s="30" t="str">
        <f t="shared" si="4"/>
        <v/>
      </c>
      <c r="D126" s="41" t="str">
        <f t="shared" si="5"/>
        <v/>
      </c>
      <c r="E126" s="16">
        <v>1962.81</v>
      </c>
      <c r="F126" s="16">
        <v>236.71</v>
      </c>
      <c r="G126" s="16">
        <v>20.48</v>
      </c>
      <c r="H126" s="16">
        <v>1136.19</v>
      </c>
      <c r="I126" s="14">
        <v>678.48</v>
      </c>
      <c r="J126" s="14">
        <v>1068.3499999999999</v>
      </c>
    </row>
    <row r="127" spans="1:10" ht="18" customHeight="1">
      <c r="A127" s="9">
        <v>42217</v>
      </c>
      <c r="B127" s="3">
        <v>1.076578</v>
      </c>
      <c r="C127" s="30" t="str">
        <f t="shared" si="4"/>
        <v/>
      </c>
      <c r="D127" s="41" t="str">
        <f t="shared" si="5"/>
        <v/>
      </c>
      <c r="E127" s="16">
        <v>1941.49</v>
      </c>
      <c r="F127" s="16">
        <v>232.8</v>
      </c>
      <c r="G127" s="16">
        <v>19.75</v>
      </c>
      <c r="H127" s="16">
        <v>1113.48</v>
      </c>
      <c r="I127" s="14">
        <v>687.11</v>
      </c>
      <c r="J127" s="14">
        <v>1115.31</v>
      </c>
    </row>
    <row r="128" spans="1:10" ht="18" customHeight="1">
      <c r="A128" s="9">
        <v>42186</v>
      </c>
      <c r="B128" s="3">
        <v>1.118217</v>
      </c>
      <c r="C128" s="30" t="str">
        <f t="shared" si="4"/>
        <v/>
      </c>
      <c r="D128" s="41" t="str">
        <f t="shared" si="5"/>
        <v/>
      </c>
      <c r="E128" s="16">
        <v>2030.16</v>
      </c>
      <c r="F128" s="16">
        <v>244.3</v>
      </c>
      <c r="G128" s="16">
        <v>13.54</v>
      </c>
      <c r="H128" s="16">
        <v>1173</v>
      </c>
      <c r="I128" s="14">
        <v>725.06</v>
      </c>
      <c r="J128" s="14">
        <v>1163.3599999999999</v>
      </c>
    </row>
    <row r="129" spans="1:10" ht="18" customHeight="1">
      <c r="A129" s="9">
        <v>42156</v>
      </c>
      <c r="B129" s="3">
        <v>1.1449069999999999</v>
      </c>
      <c r="C129" s="30" t="str">
        <f t="shared" si="4"/>
        <v/>
      </c>
      <c r="D129" s="41" t="str">
        <f t="shared" si="5"/>
        <v/>
      </c>
      <c r="E129" s="16">
        <v>2074.1999999999998</v>
      </c>
      <c r="F129" s="16">
        <v>252.27</v>
      </c>
      <c r="G129" s="16">
        <v>14.45</v>
      </c>
      <c r="H129" s="16">
        <v>1215.6500000000001</v>
      </c>
      <c r="I129" s="14">
        <v>742.27</v>
      </c>
      <c r="J129" s="14">
        <v>1139.1500000000001</v>
      </c>
    </row>
    <row r="130" spans="1:10" ht="18" customHeight="1">
      <c r="A130" s="9">
        <v>42125</v>
      </c>
      <c r="B130" s="3">
        <v>1.1653309999999999</v>
      </c>
      <c r="C130" s="30" t="str">
        <f t="shared" si="4"/>
        <v/>
      </c>
      <c r="D130" s="41" t="str">
        <f t="shared" si="5"/>
        <v/>
      </c>
      <c r="E130" s="16">
        <v>2114.8000000000002</v>
      </c>
      <c r="F130" s="16">
        <v>260.39</v>
      </c>
      <c r="G130" s="16">
        <v>12.59</v>
      </c>
      <c r="H130" s="16">
        <v>1262.31</v>
      </c>
      <c r="I130" s="14">
        <v>711.39</v>
      </c>
      <c r="J130" s="14">
        <v>1129.76</v>
      </c>
    </row>
    <row r="131" spans="1:10" ht="18" customHeight="1">
      <c r="A131" s="9">
        <v>42095</v>
      </c>
      <c r="B131" s="3">
        <v>1.2403200000000001</v>
      </c>
      <c r="C131" s="30" t="str">
        <f t="shared" si="4"/>
        <v/>
      </c>
      <c r="D131" s="41" t="str">
        <f t="shared" si="5"/>
        <v/>
      </c>
      <c r="E131" s="16">
        <v>2127.17</v>
      </c>
      <c r="F131" s="16">
        <v>266.42</v>
      </c>
      <c r="G131" s="16">
        <v>11.76</v>
      </c>
      <c r="H131" s="16">
        <v>1295.9000000000001</v>
      </c>
      <c r="I131" s="14">
        <v>689.01</v>
      </c>
      <c r="J131" s="13">
        <v>1104.2</v>
      </c>
    </row>
    <row r="132" spans="1:10" ht="18" customHeight="1">
      <c r="A132" s="9">
        <v>42064</v>
      </c>
      <c r="B132" s="3">
        <v>1.1897869999999999</v>
      </c>
      <c r="C132" s="30" t="str">
        <f t="shared" ref="C132:C195" si="7">IF(B132&lt;=C$1, "Risk", "")</f>
        <v/>
      </c>
      <c r="D132" s="41" t="str">
        <f t="shared" si="5"/>
        <v/>
      </c>
      <c r="E132" s="16">
        <v>2041.03</v>
      </c>
      <c r="F132" s="16">
        <v>257.27999999999997</v>
      </c>
      <c r="G132" s="16">
        <v>11.09</v>
      </c>
      <c r="H132" s="16">
        <v>1244.9100000000001</v>
      </c>
      <c r="I132" s="14">
        <v>650.49</v>
      </c>
      <c r="J132" s="14">
        <v>1050.1199999999999</v>
      </c>
    </row>
    <row r="133" spans="1:10" ht="18" customHeight="1">
      <c r="A133" s="9">
        <v>42036</v>
      </c>
      <c r="B133" s="3">
        <v>1.1522790000000001</v>
      </c>
      <c r="C133" s="30" t="str">
        <f t="shared" si="7"/>
        <v/>
      </c>
      <c r="D133" s="41" t="str">
        <f t="shared" ref="D133:D196" si="8">IF(B133&lt;=D$1, "Risk", "")</f>
        <v/>
      </c>
      <c r="E133" s="16">
        <v>1985.8</v>
      </c>
      <c r="F133" s="16">
        <v>251.46</v>
      </c>
      <c r="G133" s="16">
        <v>11.11</v>
      </c>
      <c r="H133" s="16">
        <v>1223.93</v>
      </c>
      <c r="I133" s="14">
        <v>624.55999999999995</v>
      </c>
      <c r="J133" s="13">
        <v>1021.6</v>
      </c>
    </row>
    <row r="134" spans="1:10" ht="18" customHeight="1">
      <c r="A134" s="9">
        <v>42005</v>
      </c>
      <c r="B134" s="3">
        <v>1.1316949999999999</v>
      </c>
      <c r="C134" s="30" t="str">
        <f t="shared" si="7"/>
        <v/>
      </c>
      <c r="D134" s="41" t="str">
        <f t="shared" si="8"/>
        <v/>
      </c>
      <c r="E134" s="16">
        <v>1949.26</v>
      </c>
      <c r="F134" s="16">
        <v>249.88</v>
      </c>
      <c r="G134" s="16">
        <v>13.67</v>
      </c>
      <c r="H134" s="16">
        <v>1219.56</v>
      </c>
      <c r="I134" s="14">
        <v>591.58000000000004</v>
      </c>
      <c r="J134" s="14">
        <v>965.87</v>
      </c>
    </row>
    <row r="135" spans="1:10" ht="18" customHeight="1">
      <c r="A135" s="9">
        <v>41974</v>
      </c>
      <c r="B135" s="3">
        <v>1.1122719999999999</v>
      </c>
      <c r="C135" s="30" t="str">
        <f t="shared" si="7"/>
        <v/>
      </c>
      <c r="D135" s="41" t="str">
        <f t="shared" si="8"/>
        <v/>
      </c>
      <c r="E135" s="16">
        <v>1915.59</v>
      </c>
      <c r="F135" s="16">
        <v>244.05</v>
      </c>
      <c r="G135" s="16">
        <v>12.97</v>
      </c>
      <c r="H135" s="16">
        <v>1184.5999999999999</v>
      </c>
      <c r="I135" s="14">
        <v>542.97</v>
      </c>
      <c r="J135" s="14">
        <v>894.44</v>
      </c>
    </row>
    <row r="136" spans="1:10" ht="18" customHeight="1">
      <c r="A136" s="9">
        <v>41944</v>
      </c>
      <c r="B136" s="3">
        <v>1.139229</v>
      </c>
      <c r="C136" s="30" t="str">
        <f t="shared" si="7"/>
        <v/>
      </c>
      <c r="D136" s="41" t="str">
        <f t="shared" si="8"/>
        <v/>
      </c>
      <c r="E136" s="16">
        <v>1980.78</v>
      </c>
      <c r="F136" s="16">
        <v>253.7</v>
      </c>
      <c r="G136" s="16">
        <v>11.59</v>
      </c>
      <c r="H136" s="16">
        <v>1226.24</v>
      </c>
      <c r="I136" s="14">
        <v>545.08000000000004</v>
      </c>
      <c r="J136" s="14">
        <v>896.82</v>
      </c>
    </row>
    <row r="137" spans="1:10" ht="18" customHeight="1">
      <c r="A137" s="9">
        <v>41913</v>
      </c>
      <c r="B137" s="3">
        <v>1.113874</v>
      </c>
      <c r="C137" s="30" t="str">
        <f t="shared" si="7"/>
        <v/>
      </c>
      <c r="D137" s="41" t="str">
        <f t="shared" si="8"/>
        <v/>
      </c>
      <c r="E137" s="16">
        <v>1964.43</v>
      </c>
      <c r="F137" s="16">
        <v>250.45</v>
      </c>
      <c r="G137" s="16">
        <v>13.99</v>
      </c>
      <c r="H137" s="16">
        <v>1207.9000000000001</v>
      </c>
      <c r="I137" s="13">
        <v>558.70000000000005</v>
      </c>
      <c r="J137" s="14">
        <v>920.41</v>
      </c>
    </row>
    <row r="138" spans="1:10" ht="18" customHeight="1">
      <c r="A138" s="9">
        <v>41883</v>
      </c>
      <c r="B138" s="3">
        <v>1.145802</v>
      </c>
      <c r="C138" s="30" t="str">
        <f t="shared" si="7"/>
        <v/>
      </c>
      <c r="D138" s="41" t="str">
        <f t="shared" si="8"/>
        <v/>
      </c>
      <c r="E138" s="16">
        <v>2020.09</v>
      </c>
      <c r="F138" s="16">
        <v>256.77</v>
      </c>
      <c r="G138" s="16">
        <v>12.69</v>
      </c>
      <c r="H138" s="16">
        <v>1240.73</v>
      </c>
      <c r="I138" s="14">
        <v>573.22</v>
      </c>
      <c r="J138" s="14">
        <v>954.34</v>
      </c>
    </row>
    <row r="139" spans="1:10" ht="18" customHeight="1">
      <c r="A139" s="9">
        <v>41852</v>
      </c>
      <c r="B139" s="3">
        <v>1.1735180000000001</v>
      </c>
      <c r="C139" s="30" t="str">
        <f t="shared" si="7"/>
        <v/>
      </c>
      <c r="D139" s="41" t="str">
        <f t="shared" si="8"/>
        <v/>
      </c>
      <c r="E139" s="16">
        <v>2068.54</v>
      </c>
      <c r="F139" s="16">
        <v>265.41000000000003</v>
      </c>
      <c r="G139" s="16">
        <v>10.86</v>
      </c>
      <c r="H139" s="16">
        <v>1288.7</v>
      </c>
      <c r="I139" s="13">
        <v>570.20000000000005</v>
      </c>
      <c r="J139" s="14">
        <v>944.48</v>
      </c>
    </row>
    <row r="140" spans="1:10" ht="18" customHeight="1">
      <c r="A140" s="9">
        <v>41821</v>
      </c>
      <c r="B140" s="3">
        <v>1.176464</v>
      </c>
      <c r="C140" s="30" t="str">
        <f t="shared" si="7"/>
        <v/>
      </c>
      <c r="D140" s="41" t="str">
        <f t="shared" si="8"/>
        <v/>
      </c>
      <c r="E140" s="16">
        <v>2076.12</v>
      </c>
      <c r="F140" s="16">
        <v>269.68</v>
      </c>
      <c r="G140" s="16">
        <v>12.69</v>
      </c>
      <c r="H140" s="16">
        <v>1318.05</v>
      </c>
      <c r="I140" s="14">
        <v>536.32000000000005</v>
      </c>
      <c r="J140" s="14">
        <v>877.17</v>
      </c>
    </row>
    <row r="141" spans="1:10" ht="18" customHeight="1">
      <c r="A141" s="9">
        <v>41791</v>
      </c>
      <c r="B141" s="3">
        <v>1.14174</v>
      </c>
      <c r="C141" s="30" t="str">
        <f t="shared" si="7"/>
        <v/>
      </c>
      <c r="D141" s="41" t="str">
        <f t="shared" si="8"/>
        <v/>
      </c>
      <c r="E141" s="16">
        <v>2002.21</v>
      </c>
      <c r="F141" s="16">
        <v>260.56</v>
      </c>
      <c r="G141" s="16">
        <v>11.48</v>
      </c>
      <c r="H141" s="16">
        <v>1264.44</v>
      </c>
      <c r="I141" s="14">
        <v>537.05999999999995</v>
      </c>
      <c r="J141" s="14">
        <v>885.49</v>
      </c>
    </row>
    <row r="142" spans="1:10" ht="18" customHeight="1">
      <c r="A142" s="9">
        <v>41760</v>
      </c>
      <c r="B142" s="3">
        <v>1.137718</v>
      </c>
      <c r="C142" s="30" t="str">
        <f t="shared" si="7"/>
        <v/>
      </c>
      <c r="D142" s="41" t="str">
        <f t="shared" si="8"/>
        <v/>
      </c>
      <c r="E142" s="16">
        <v>1994.96</v>
      </c>
      <c r="F142" s="16">
        <v>259.94</v>
      </c>
      <c r="G142" s="16">
        <v>10.86</v>
      </c>
      <c r="H142" s="16">
        <v>1273.0899999999999</v>
      </c>
      <c r="I142" s="14">
        <v>546.53</v>
      </c>
      <c r="J142" s="14">
        <v>900.98</v>
      </c>
    </row>
    <row r="143" spans="1:10" ht="18" customHeight="1">
      <c r="A143" s="9">
        <v>41730</v>
      </c>
      <c r="B143" s="3">
        <v>1.091137</v>
      </c>
      <c r="C143" s="30" t="str">
        <f t="shared" si="7"/>
        <v/>
      </c>
      <c r="D143" s="41" t="str">
        <f t="shared" si="8"/>
        <v/>
      </c>
      <c r="E143" s="16">
        <v>1961.79</v>
      </c>
      <c r="F143" s="16">
        <v>255.33</v>
      </c>
      <c r="G143" s="16">
        <v>11.6</v>
      </c>
      <c r="H143" s="16">
        <v>1246.49</v>
      </c>
      <c r="I143" s="14">
        <v>559.34</v>
      </c>
      <c r="J143" s="14">
        <v>933.77</v>
      </c>
    </row>
    <row r="144" spans="1:10" ht="18" customHeight="1">
      <c r="A144" s="9">
        <v>41699</v>
      </c>
      <c r="B144" s="3">
        <v>1.179996</v>
      </c>
      <c r="C144" s="30" t="str">
        <f t="shared" si="7"/>
        <v/>
      </c>
      <c r="D144" s="41" t="str">
        <f t="shared" si="8"/>
        <v/>
      </c>
      <c r="E144" s="16">
        <v>1985.61</v>
      </c>
      <c r="F144" s="16">
        <v>258.11</v>
      </c>
      <c r="G144" s="16">
        <v>13.82</v>
      </c>
      <c r="H144" s="16">
        <v>1261.1300000000001</v>
      </c>
      <c r="I144" s="14">
        <v>541.58000000000004</v>
      </c>
      <c r="J144" s="14">
        <v>903.93</v>
      </c>
    </row>
    <row r="145" spans="1:10" ht="18" customHeight="1">
      <c r="A145" s="9">
        <v>41671</v>
      </c>
      <c r="B145" s="3">
        <v>1.172771</v>
      </c>
      <c r="C145" s="30" t="str">
        <f t="shared" si="7"/>
        <v/>
      </c>
      <c r="D145" s="41" t="str">
        <f t="shared" si="8"/>
        <v/>
      </c>
      <c r="E145" s="16">
        <v>1979.99</v>
      </c>
      <c r="F145" s="16">
        <v>258.41000000000003</v>
      </c>
      <c r="G145" s="16">
        <v>13.49</v>
      </c>
      <c r="H145" s="16">
        <v>1263.67</v>
      </c>
      <c r="I145" s="14">
        <v>528.96</v>
      </c>
      <c r="J145" s="14">
        <v>896.99</v>
      </c>
    </row>
    <row r="146" spans="1:10" ht="18" customHeight="1">
      <c r="A146" s="9">
        <v>41640</v>
      </c>
      <c r="B146" s="3">
        <v>1.150638</v>
      </c>
      <c r="C146" s="30" t="str">
        <f t="shared" si="7"/>
        <v/>
      </c>
      <c r="D146" s="41" t="str">
        <f t="shared" si="8"/>
        <v/>
      </c>
      <c r="E146" s="16">
        <v>1941.15</v>
      </c>
      <c r="F146" s="16">
        <v>252.89</v>
      </c>
      <c r="G146" s="16">
        <v>14.43</v>
      </c>
      <c r="H146" s="16">
        <v>1248.94</v>
      </c>
      <c r="I146" s="13">
        <v>515.20000000000005</v>
      </c>
      <c r="J146" s="14">
        <v>884.82</v>
      </c>
    </row>
    <row r="147" spans="1:10" ht="18" customHeight="1">
      <c r="A147" s="9">
        <v>41609</v>
      </c>
      <c r="B147" s="3">
        <v>1.1950190000000001</v>
      </c>
      <c r="C147" s="30" t="str">
        <f t="shared" si="7"/>
        <v/>
      </c>
      <c r="D147" s="41" t="str">
        <f t="shared" si="8"/>
        <v/>
      </c>
      <c r="E147" s="16">
        <v>2011.34</v>
      </c>
      <c r="F147" s="16">
        <v>264.24</v>
      </c>
      <c r="G147" s="16">
        <v>12.84</v>
      </c>
      <c r="H147" s="16">
        <v>1303.6600000000001</v>
      </c>
      <c r="I147" s="14">
        <v>499.99</v>
      </c>
      <c r="J147" s="14">
        <v>855.88</v>
      </c>
    </row>
    <row r="148" spans="1:10" ht="18" customHeight="1">
      <c r="A148" s="9">
        <v>41579</v>
      </c>
      <c r="B148" s="3">
        <v>1.2160010000000001</v>
      </c>
      <c r="C148" s="30" t="str">
        <f t="shared" si="7"/>
        <v/>
      </c>
      <c r="D148" s="41" t="str">
        <f t="shared" si="8"/>
        <v/>
      </c>
      <c r="E148" s="16">
        <v>2044.87</v>
      </c>
      <c r="F148" s="16">
        <v>269.57</v>
      </c>
      <c r="G148" s="16">
        <v>14.42</v>
      </c>
      <c r="H148" s="16">
        <v>1322.13</v>
      </c>
      <c r="I148" s="14">
        <v>517.05999999999995</v>
      </c>
      <c r="J148" s="14">
        <v>885.35</v>
      </c>
    </row>
    <row r="149" spans="1:10" ht="18" customHeight="1">
      <c r="A149" s="9">
        <v>41548</v>
      </c>
      <c r="B149" s="3">
        <v>1.201624</v>
      </c>
      <c r="C149" s="30" t="str">
        <f t="shared" si="7"/>
        <v/>
      </c>
      <c r="D149" s="41" t="str">
        <f t="shared" si="8"/>
        <v/>
      </c>
      <c r="E149" s="16">
        <v>2030.09</v>
      </c>
      <c r="F149" s="16">
        <v>266.91000000000003</v>
      </c>
      <c r="G149" s="16">
        <v>14.41</v>
      </c>
      <c r="H149" s="16">
        <v>1315.77</v>
      </c>
      <c r="I149" s="14">
        <v>532.44000000000005</v>
      </c>
      <c r="J149" s="14">
        <v>910.62</v>
      </c>
    </row>
    <row r="150" spans="1:10" ht="18" customHeight="1">
      <c r="A150" s="9">
        <v>41518</v>
      </c>
      <c r="B150" s="3">
        <v>1.1809989999999999</v>
      </c>
      <c r="C150" s="30" t="str">
        <f t="shared" si="7"/>
        <v/>
      </c>
      <c r="D150" s="41" t="str">
        <f t="shared" si="8"/>
        <v/>
      </c>
      <c r="E150" s="16">
        <v>1996.96</v>
      </c>
      <c r="F150" s="16">
        <v>260.91000000000003</v>
      </c>
      <c r="G150" s="16">
        <v>15.38</v>
      </c>
      <c r="H150" s="16">
        <v>1287.3800000000001</v>
      </c>
      <c r="I150" s="14">
        <v>534.89</v>
      </c>
      <c r="J150" s="14">
        <v>917.72</v>
      </c>
    </row>
    <row r="151" spans="1:10" ht="18" customHeight="1">
      <c r="A151" s="9">
        <v>41487</v>
      </c>
      <c r="B151" s="3">
        <v>1.140471</v>
      </c>
      <c r="C151" s="30" t="str">
        <f t="shared" si="7"/>
        <v/>
      </c>
      <c r="D151" s="41" t="str">
        <f t="shared" si="8"/>
        <v/>
      </c>
      <c r="E151" s="16">
        <v>1926.36</v>
      </c>
      <c r="F151" s="16">
        <v>251.74</v>
      </c>
      <c r="G151" s="16">
        <v>15.73</v>
      </c>
      <c r="H151" s="16">
        <v>1237.3499999999999</v>
      </c>
      <c r="I151" s="14">
        <v>516.74</v>
      </c>
      <c r="J151" s="13">
        <v>874.7</v>
      </c>
    </row>
    <row r="152" spans="1:10" ht="18" customHeight="1">
      <c r="A152" s="9">
        <v>41456</v>
      </c>
      <c r="B152" s="3">
        <v>1.1277759999999999</v>
      </c>
      <c r="C152" s="30" t="str">
        <f t="shared" si="7"/>
        <v/>
      </c>
      <c r="D152" s="41" t="str">
        <f t="shared" si="8"/>
        <v/>
      </c>
      <c r="E152" s="16">
        <v>1914.03</v>
      </c>
      <c r="F152" s="16">
        <v>247.99</v>
      </c>
      <c r="G152" s="16">
        <v>16.260000000000002</v>
      </c>
      <c r="H152" s="16">
        <v>1224.78</v>
      </c>
      <c r="I152" s="14">
        <v>554.30999999999995</v>
      </c>
      <c r="J152" s="14">
        <v>961.94</v>
      </c>
    </row>
    <row r="153" spans="1:10" ht="18" customHeight="1">
      <c r="A153" s="9">
        <v>41426</v>
      </c>
      <c r="B153" s="3">
        <v>1.1070580000000001</v>
      </c>
      <c r="C153" s="30" t="str">
        <f t="shared" si="7"/>
        <v/>
      </c>
      <c r="D153" s="41" t="str">
        <f t="shared" si="8"/>
        <v/>
      </c>
      <c r="E153" s="16">
        <v>1863.32</v>
      </c>
      <c r="F153" s="16">
        <v>242.27</v>
      </c>
      <c r="G153" s="16">
        <v>17.11</v>
      </c>
      <c r="H153" s="16">
        <v>1193.22</v>
      </c>
      <c r="I153" s="14">
        <v>519.05999999999995</v>
      </c>
      <c r="J153" s="14">
        <v>886.36</v>
      </c>
    </row>
    <row r="154" spans="1:10" ht="18" customHeight="1">
      <c r="A154" s="9">
        <v>41395</v>
      </c>
      <c r="B154" s="3">
        <v>1.186987</v>
      </c>
      <c r="C154" s="30" t="str">
        <f t="shared" si="7"/>
        <v/>
      </c>
      <c r="D154" s="41" t="str">
        <f t="shared" si="8"/>
        <v/>
      </c>
      <c r="E154" s="16">
        <v>2001.05</v>
      </c>
      <c r="F154" s="16">
        <v>261.47000000000003</v>
      </c>
      <c r="G154" s="16">
        <v>14.16</v>
      </c>
      <c r="H154" s="16">
        <v>1300.8900000000001</v>
      </c>
      <c r="I154" s="14">
        <v>577.87</v>
      </c>
      <c r="J154" s="14">
        <v>980.29</v>
      </c>
    </row>
    <row r="155" spans="1:10" ht="18" customHeight="1">
      <c r="A155" s="9">
        <v>41365</v>
      </c>
      <c r="B155" s="3">
        <v>1.1660159999999999</v>
      </c>
      <c r="C155" s="30" t="str">
        <f t="shared" si="7"/>
        <v/>
      </c>
      <c r="D155" s="41" t="str">
        <f t="shared" si="8"/>
        <v/>
      </c>
      <c r="E155" s="16">
        <v>1963.95</v>
      </c>
      <c r="F155" s="16">
        <v>255.72</v>
      </c>
      <c r="G155" s="16">
        <v>14.74</v>
      </c>
      <c r="H155" s="16">
        <v>1275.3499999999999</v>
      </c>
      <c r="I155" s="14">
        <v>563.87</v>
      </c>
      <c r="J155" s="14">
        <v>962.25</v>
      </c>
    </row>
    <row r="156" spans="1:10" ht="18" customHeight="1">
      <c r="A156" s="9">
        <v>41334</v>
      </c>
      <c r="B156" s="3">
        <v>1.2511699999999999</v>
      </c>
      <c r="C156" s="30" t="str">
        <f t="shared" si="7"/>
        <v/>
      </c>
      <c r="D156" s="41" t="str">
        <f t="shared" si="8"/>
        <v/>
      </c>
      <c r="E156" s="16">
        <v>2004.89</v>
      </c>
      <c r="F156" s="16">
        <v>263.39</v>
      </c>
      <c r="G156" s="16">
        <v>14.34</v>
      </c>
      <c r="H156" s="16">
        <v>1313.78</v>
      </c>
      <c r="I156" s="14">
        <v>555.02</v>
      </c>
      <c r="J156" s="14">
        <v>973.03</v>
      </c>
    </row>
    <row r="157" spans="1:10" ht="18" customHeight="1">
      <c r="A157" s="9">
        <v>41306</v>
      </c>
      <c r="B157" s="3">
        <v>1.2645219999999999</v>
      </c>
      <c r="C157" s="30" t="str">
        <f t="shared" si="7"/>
        <v/>
      </c>
      <c r="D157" s="41" t="str">
        <f t="shared" si="8"/>
        <v/>
      </c>
      <c r="E157" s="16">
        <v>2026.49</v>
      </c>
      <c r="F157" s="16">
        <v>268.01</v>
      </c>
      <c r="G157" s="16">
        <v>15.19</v>
      </c>
      <c r="H157" s="16">
        <v>1344.57</v>
      </c>
      <c r="I157" s="14">
        <v>535.87</v>
      </c>
      <c r="J157" s="14">
        <v>944.37</v>
      </c>
    </row>
    <row r="158" spans="1:10" ht="18" customHeight="1">
      <c r="A158" s="9">
        <v>41275</v>
      </c>
      <c r="B158" s="3">
        <v>1.22597</v>
      </c>
      <c r="C158" s="30" t="str">
        <f t="shared" si="7"/>
        <v/>
      </c>
      <c r="D158" s="41" t="str">
        <f t="shared" si="8"/>
        <v/>
      </c>
      <c r="E158" s="16">
        <v>1961.94</v>
      </c>
      <c r="F158" s="16">
        <v>258.07</v>
      </c>
      <c r="G158" s="16">
        <v>15.18</v>
      </c>
      <c r="H158" s="16">
        <v>1290.6099999999999</v>
      </c>
      <c r="I158" s="14">
        <v>503.67</v>
      </c>
      <c r="J158" s="14">
        <v>883.56</v>
      </c>
    </row>
    <row r="159" spans="1:10" ht="18" customHeight="1">
      <c r="A159" s="9">
        <v>41244</v>
      </c>
      <c r="B159" s="3">
        <v>1.248632</v>
      </c>
      <c r="C159" s="30" t="str">
        <f t="shared" si="7"/>
        <v/>
      </c>
      <c r="D159" s="41" t="str">
        <f t="shared" si="8"/>
        <v/>
      </c>
      <c r="E159" s="16">
        <v>1997.05</v>
      </c>
      <c r="F159" s="16">
        <v>263.92</v>
      </c>
      <c r="G159" s="16">
        <v>15.89</v>
      </c>
      <c r="H159" s="16">
        <v>1329.58</v>
      </c>
      <c r="I159" s="14">
        <v>496.32</v>
      </c>
      <c r="J159" s="13">
        <v>880.2</v>
      </c>
    </row>
    <row r="160" spans="1:10" ht="18" customHeight="1">
      <c r="A160" s="9">
        <v>41214</v>
      </c>
      <c r="B160" s="3">
        <v>1.2084109999999999</v>
      </c>
      <c r="C160" s="30" t="str">
        <f t="shared" si="7"/>
        <v/>
      </c>
      <c r="D160" s="41" t="str">
        <f t="shared" si="8"/>
        <v/>
      </c>
      <c r="E160" s="16">
        <v>1932.9</v>
      </c>
      <c r="F160" s="16">
        <v>254.25</v>
      </c>
      <c r="G160" s="16">
        <v>14.87</v>
      </c>
      <c r="H160" s="16">
        <v>1273.51</v>
      </c>
      <c r="I160" s="14">
        <v>499.37</v>
      </c>
      <c r="J160" s="14">
        <v>876.85</v>
      </c>
    </row>
    <row r="161" spans="1:10" ht="18" customHeight="1">
      <c r="A161" s="9">
        <v>41183</v>
      </c>
      <c r="B161" s="3">
        <v>1.194307</v>
      </c>
      <c r="C161" s="30" t="str">
        <f t="shared" si="7"/>
        <v/>
      </c>
      <c r="D161" s="41" t="str">
        <f t="shared" si="8"/>
        <v/>
      </c>
      <c r="E161" s="16">
        <v>1912.06</v>
      </c>
      <c r="F161" s="16">
        <v>250.18</v>
      </c>
      <c r="G161" s="16">
        <v>18.37</v>
      </c>
      <c r="H161" s="16">
        <v>1249.08</v>
      </c>
      <c r="I161" s="14">
        <v>508.31</v>
      </c>
      <c r="J161" s="14">
        <v>893.42</v>
      </c>
    </row>
    <row r="162" spans="1:10" ht="18" customHeight="1">
      <c r="A162" s="9">
        <v>41153</v>
      </c>
      <c r="B162" s="3">
        <v>1.2496210000000001</v>
      </c>
      <c r="C162" s="30" t="str">
        <f t="shared" si="7"/>
        <v/>
      </c>
      <c r="D162" s="41" t="str">
        <f t="shared" si="8"/>
        <v/>
      </c>
      <c r="E162" s="16">
        <v>1996.21</v>
      </c>
      <c r="F162" s="16">
        <v>262.49</v>
      </c>
      <c r="G162" s="16">
        <v>17.23</v>
      </c>
      <c r="H162" s="16">
        <v>1317.13</v>
      </c>
      <c r="I162" s="14">
        <v>523.78</v>
      </c>
      <c r="J162" s="14">
        <v>925.14</v>
      </c>
    </row>
    <row r="163" spans="1:10" ht="18" customHeight="1">
      <c r="A163" s="9">
        <v>41122</v>
      </c>
      <c r="B163" s="3">
        <v>1.1915880000000001</v>
      </c>
      <c r="C163" s="30" t="str">
        <f t="shared" si="7"/>
        <v/>
      </c>
      <c r="D163" s="41" t="str">
        <f t="shared" si="8"/>
        <v/>
      </c>
      <c r="E163" s="16">
        <v>1905.12</v>
      </c>
      <c r="F163" s="16">
        <v>250.56</v>
      </c>
      <c r="G163" s="16">
        <v>20.350000000000001</v>
      </c>
      <c r="H163" s="16">
        <v>1254.68</v>
      </c>
      <c r="I163" s="14">
        <v>508.35</v>
      </c>
      <c r="J163" s="14">
        <v>922.68</v>
      </c>
    </row>
    <row r="164" spans="1:10" ht="18" customHeight="1">
      <c r="A164" s="9">
        <v>41091</v>
      </c>
      <c r="B164" s="3">
        <v>1.1835039999999999</v>
      </c>
      <c r="C164" s="30" t="str">
        <f t="shared" si="7"/>
        <v/>
      </c>
      <c r="D164" s="41" t="str">
        <f t="shared" si="8"/>
        <v/>
      </c>
      <c r="E164" s="16">
        <v>1881.99</v>
      </c>
      <c r="F164" s="16">
        <v>250.08</v>
      </c>
      <c r="G164" s="16">
        <v>20.32</v>
      </c>
      <c r="H164" s="16">
        <v>1256.44</v>
      </c>
      <c r="I164" s="14">
        <v>467.61</v>
      </c>
      <c r="J164" s="14">
        <v>841.13</v>
      </c>
    </row>
    <row r="165" spans="1:10" ht="18" customHeight="1">
      <c r="A165" s="9">
        <v>41061</v>
      </c>
      <c r="B165" s="3">
        <v>1.165116</v>
      </c>
      <c r="C165" s="30" t="str">
        <f t="shared" si="7"/>
        <v/>
      </c>
      <c r="D165" s="41" t="str">
        <f t="shared" si="8"/>
        <v/>
      </c>
      <c r="E165" s="16">
        <v>1854.01</v>
      </c>
      <c r="F165" s="16">
        <v>244.9</v>
      </c>
      <c r="G165" s="16">
        <v>20.03</v>
      </c>
      <c r="H165" s="16">
        <v>1232.6099999999999</v>
      </c>
      <c r="I165" s="14">
        <v>489.16</v>
      </c>
      <c r="J165" s="13">
        <v>882.8</v>
      </c>
    </row>
    <row r="166" spans="1:10" ht="18" customHeight="1">
      <c r="A166" s="9">
        <v>41030</v>
      </c>
      <c r="B166" s="3">
        <v>1.158393</v>
      </c>
      <c r="C166" s="30" t="str">
        <f t="shared" si="7"/>
        <v/>
      </c>
      <c r="D166" s="41" t="str">
        <f t="shared" si="8"/>
        <v/>
      </c>
      <c r="E166" s="16">
        <v>1843.47</v>
      </c>
      <c r="F166" s="16">
        <v>244.05</v>
      </c>
      <c r="G166" s="16">
        <v>22.69</v>
      </c>
      <c r="H166" s="16">
        <v>1228.04</v>
      </c>
      <c r="I166" s="14">
        <v>471.94</v>
      </c>
      <c r="J166" s="14">
        <v>873.73</v>
      </c>
    </row>
    <row r="167" spans="1:10" ht="18" customHeight="1">
      <c r="A167" s="9">
        <v>41000</v>
      </c>
      <c r="B167" s="3">
        <v>1.2452559999999999</v>
      </c>
      <c r="C167" s="30" t="str">
        <f t="shared" si="7"/>
        <v/>
      </c>
      <c r="D167" s="41" t="str">
        <f t="shared" si="8"/>
        <v/>
      </c>
      <c r="E167" s="16">
        <v>1981.99</v>
      </c>
      <c r="F167" s="16">
        <v>264.35000000000002</v>
      </c>
      <c r="G167" s="16">
        <v>17.309999999999999</v>
      </c>
      <c r="H167" s="16">
        <v>1339.72</v>
      </c>
      <c r="I167" s="14">
        <v>478.89</v>
      </c>
      <c r="J167" s="14">
        <v>864.72</v>
      </c>
    </row>
    <row r="168" spans="1:10" ht="18" customHeight="1">
      <c r="A168" s="9">
        <v>40969</v>
      </c>
      <c r="B168" s="3">
        <v>1.3139989999999999</v>
      </c>
      <c r="C168" s="30" t="str">
        <f t="shared" si="7"/>
        <v/>
      </c>
      <c r="D168" s="41" t="str">
        <f t="shared" si="8"/>
        <v/>
      </c>
      <c r="E168" s="16">
        <v>2014.04</v>
      </c>
      <c r="F168" s="16">
        <v>266.58</v>
      </c>
      <c r="G168" s="16">
        <v>17.559999999999999</v>
      </c>
      <c r="H168" s="16">
        <v>1353.11</v>
      </c>
      <c r="I168" s="14">
        <v>519.55999999999995</v>
      </c>
      <c r="J168" s="14">
        <v>943.42</v>
      </c>
    </row>
    <row r="169" spans="1:10" ht="18" customHeight="1">
      <c r="A169" s="9">
        <v>40940</v>
      </c>
      <c r="B169" s="3">
        <v>1.3252440000000001</v>
      </c>
      <c r="C169" s="30" t="str">
        <f t="shared" si="7"/>
        <v/>
      </c>
      <c r="D169" s="41" t="str">
        <f t="shared" si="8"/>
        <v/>
      </c>
      <c r="E169" s="16">
        <v>2030.25</v>
      </c>
      <c r="F169" s="16">
        <v>267.13</v>
      </c>
      <c r="G169" s="16">
        <v>19.399999999999999</v>
      </c>
      <c r="H169" s="16">
        <v>1361.87</v>
      </c>
      <c r="I169" s="13">
        <v>542.29999999999995</v>
      </c>
      <c r="J169" s="14">
        <v>988.15</v>
      </c>
    </row>
    <row r="170" spans="1:10" ht="18" customHeight="1">
      <c r="A170" s="9">
        <v>40909</v>
      </c>
      <c r="B170" s="3">
        <v>1.2748459999999999</v>
      </c>
      <c r="C170" s="30" t="str">
        <f t="shared" si="7"/>
        <v/>
      </c>
      <c r="D170" s="41" t="str">
        <f t="shared" si="8"/>
        <v/>
      </c>
      <c r="E170" s="16">
        <v>1955.79</v>
      </c>
      <c r="F170" s="16">
        <v>256.89999999999998</v>
      </c>
      <c r="G170" s="16">
        <v>23.36</v>
      </c>
      <c r="H170" s="16">
        <v>1316.01</v>
      </c>
      <c r="I170" s="14">
        <v>513.99</v>
      </c>
      <c r="J170" s="14">
        <v>966.47</v>
      </c>
    </row>
    <row r="171" spans="1:10" ht="18" customHeight="1">
      <c r="A171" s="9">
        <v>40878</v>
      </c>
      <c r="B171" s="3">
        <v>1.1906669999999999</v>
      </c>
      <c r="C171" s="30" t="str">
        <f t="shared" si="7"/>
        <v/>
      </c>
      <c r="D171" s="41" t="str">
        <f t="shared" si="8"/>
        <v/>
      </c>
      <c r="E171" s="16">
        <v>1825.74</v>
      </c>
      <c r="F171" s="16">
        <v>238.08</v>
      </c>
      <c r="G171" s="16">
        <v>26.4</v>
      </c>
      <c r="H171" s="16">
        <v>1215.8800000000001</v>
      </c>
      <c r="I171" s="14">
        <v>500.18</v>
      </c>
      <c r="J171" s="14">
        <v>965.62</v>
      </c>
    </row>
    <row r="172" spans="1:10" ht="18" customHeight="1">
      <c r="A172" s="9">
        <v>40848</v>
      </c>
      <c r="B172" s="3">
        <v>1.2039150000000001</v>
      </c>
      <c r="C172" s="30" t="str">
        <f t="shared" si="7"/>
        <v/>
      </c>
      <c r="D172" s="41" t="str">
        <f t="shared" si="8"/>
        <v/>
      </c>
      <c r="E172" s="16">
        <v>1847.51</v>
      </c>
      <c r="F172" s="16">
        <v>241.19</v>
      </c>
      <c r="G172" s="16">
        <v>29.04</v>
      </c>
      <c r="H172" s="16">
        <v>1223.58</v>
      </c>
      <c r="I172" s="14">
        <v>492.81</v>
      </c>
      <c r="J172" s="14">
        <v>973.91</v>
      </c>
    </row>
    <row r="173" spans="1:10" ht="18" customHeight="1">
      <c r="A173" s="9">
        <v>40817</v>
      </c>
      <c r="B173" s="3">
        <v>1.2442869999999999</v>
      </c>
      <c r="C173" s="30" t="str">
        <f t="shared" si="7"/>
        <v/>
      </c>
      <c r="D173" s="41" t="str">
        <f t="shared" si="8"/>
        <v/>
      </c>
      <c r="E173" s="16">
        <v>1909.03</v>
      </c>
      <c r="F173" s="16">
        <v>249.88</v>
      </c>
      <c r="G173" s="16">
        <v>31.02</v>
      </c>
      <c r="H173" s="16">
        <v>1276.67</v>
      </c>
      <c r="I173" s="14">
        <v>490.69</v>
      </c>
      <c r="J173" s="13">
        <v>983.8</v>
      </c>
    </row>
    <row r="174" spans="1:10" ht="18" customHeight="1">
      <c r="A174" s="9">
        <v>40787</v>
      </c>
      <c r="B174" s="3">
        <v>1.151486</v>
      </c>
      <c r="C174" s="30" t="str">
        <f t="shared" si="7"/>
        <v/>
      </c>
      <c r="D174" s="41" t="str">
        <f t="shared" si="8"/>
        <v/>
      </c>
      <c r="E174" s="16">
        <v>1769.65</v>
      </c>
      <c r="F174" s="16">
        <v>230.41</v>
      </c>
      <c r="G174" s="16">
        <v>40.56</v>
      </c>
      <c r="H174" s="16">
        <v>1162.3599999999999</v>
      </c>
      <c r="I174" s="14">
        <v>449.66</v>
      </c>
      <c r="J174" s="14">
        <v>916.17</v>
      </c>
    </row>
    <row r="175" spans="1:10" ht="18" customHeight="1">
      <c r="A175" s="9">
        <v>40756</v>
      </c>
      <c r="B175" s="3">
        <v>1.224227</v>
      </c>
      <c r="C175" s="30" t="str">
        <f t="shared" si="7"/>
        <v/>
      </c>
      <c r="D175" s="41" t="str">
        <f t="shared" si="8"/>
        <v/>
      </c>
      <c r="E175" s="16">
        <v>1880.11</v>
      </c>
      <c r="F175" s="16">
        <v>242.16</v>
      </c>
      <c r="G175" s="16">
        <v>28.05</v>
      </c>
      <c r="H175" s="16">
        <v>1216.98</v>
      </c>
      <c r="I175" s="14">
        <v>493.44</v>
      </c>
      <c r="J175" s="13">
        <v>987.9</v>
      </c>
    </row>
    <row r="176" spans="1:10" ht="18" customHeight="1">
      <c r="A176" s="9">
        <v>40725</v>
      </c>
      <c r="B176" s="3">
        <v>1.3914200000000001</v>
      </c>
      <c r="C176" s="30" t="str">
        <f t="shared" si="7"/>
        <v/>
      </c>
      <c r="D176" s="41" t="str">
        <f t="shared" si="8"/>
        <v/>
      </c>
      <c r="E176" s="16">
        <v>2133.21</v>
      </c>
      <c r="F176" s="16">
        <v>277.11</v>
      </c>
      <c r="G176" s="16">
        <v>21</v>
      </c>
      <c r="H176" s="16">
        <v>1401.67</v>
      </c>
      <c r="I176" s="14">
        <v>536.04999999999995</v>
      </c>
      <c r="J176" s="14">
        <v>1070.3900000000001</v>
      </c>
    </row>
    <row r="177" spans="1:10" ht="18" customHeight="1">
      <c r="A177" s="9">
        <v>40695</v>
      </c>
      <c r="B177" s="3">
        <v>1.3809899999999999</v>
      </c>
      <c r="C177" s="30" t="str">
        <f t="shared" si="7"/>
        <v/>
      </c>
      <c r="D177" s="41" t="str">
        <f t="shared" si="8"/>
        <v/>
      </c>
      <c r="E177" s="16">
        <v>2100.69</v>
      </c>
      <c r="F177" s="16">
        <v>275.17</v>
      </c>
      <c r="G177" s="16">
        <v>19.239999999999998</v>
      </c>
      <c r="H177" s="16">
        <v>1393.86</v>
      </c>
      <c r="I177" s="14">
        <v>479.55</v>
      </c>
      <c r="J177" s="14">
        <v>952.97</v>
      </c>
    </row>
    <row r="178" spans="1:10" ht="18" customHeight="1">
      <c r="A178" s="9">
        <v>40664</v>
      </c>
      <c r="B178" s="3">
        <v>1.4063650000000001</v>
      </c>
      <c r="C178" s="30" t="str">
        <f t="shared" si="7"/>
        <v/>
      </c>
      <c r="D178" s="41" t="str">
        <f t="shared" si="8"/>
        <v/>
      </c>
      <c r="E178" s="16">
        <v>2142.4699999999998</v>
      </c>
      <c r="F178" s="16">
        <v>282.76</v>
      </c>
      <c r="G178" s="16">
        <v>18.559999999999999</v>
      </c>
      <c r="H178" s="16">
        <v>1429.99</v>
      </c>
      <c r="I178" s="14">
        <v>484.54</v>
      </c>
      <c r="J178" s="14">
        <v>948.75</v>
      </c>
    </row>
    <row r="179" spans="1:10" ht="18" customHeight="1">
      <c r="A179" s="9">
        <v>40634</v>
      </c>
      <c r="B179" s="3">
        <v>1.4379519999999999</v>
      </c>
      <c r="C179" s="30" t="str">
        <f t="shared" si="7"/>
        <v/>
      </c>
      <c r="D179" s="41" t="str">
        <f t="shared" si="8"/>
        <v/>
      </c>
      <c r="E179" s="16">
        <v>2192.36</v>
      </c>
      <c r="F179" s="16">
        <v>290.39</v>
      </c>
      <c r="G179" s="16">
        <v>18.36</v>
      </c>
      <c r="H179" s="16">
        <v>1470.69</v>
      </c>
      <c r="I179" s="15">
        <v>511</v>
      </c>
      <c r="J179" s="14">
        <v>994.75</v>
      </c>
    </row>
    <row r="180" spans="1:10" ht="18" customHeight="1">
      <c r="A180" s="9">
        <v>40603</v>
      </c>
      <c r="B180" s="3">
        <v>1.549609</v>
      </c>
      <c r="C180" s="30" t="str">
        <f t="shared" si="7"/>
        <v/>
      </c>
      <c r="D180" s="41" t="str">
        <f t="shared" si="8"/>
        <v/>
      </c>
      <c r="E180" s="16">
        <v>2106.6999999999998</v>
      </c>
      <c r="F180" s="16">
        <v>278.87</v>
      </c>
      <c r="G180" s="16">
        <v>16.57</v>
      </c>
      <c r="H180" s="16">
        <v>1419.37</v>
      </c>
      <c r="I180" s="14">
        <v>525.41999999999996</v>
      </c>
      <c r="J180" s="14">
        <v>1033.07</v>
      </c>
    </row>
    <row r="181" spans="1:10" ht="18" customHeight="1">
      <c r="A181" s="9">
        <v>40575</v>
      </c>
      <c r="B181" s="3">
        <v>1.4250750000000001</v>
      </c>
      <c r="C181" s="30" t="str">
        <f t="shared" si="7"/>
        <v/>
      </c>
      <c r="D181" s="41" t="str">
        <f t="shared" si="8"/>
        <v/>
      </c>
      <c r="E181" s="16">
        <v>1939.3</v>
      </c>
      <c r="F181" s="16">
        <v>256.36</v>
      </c>
      <c r="G181" s="16">
        <v>20.059999999999999</v>
      </c>
      <c r="H181" s="16">
        <v>1298.24</v>
      </c>
      <c r="I181" s="14">
        <v>504.46</v>
      </c>
      <c r="J181" s="14">
        <v>999.69</v>
      </c>
    </row>
    <row r="182" spans="1:10" ht="18" customHeight="1">
      <c r="A182" s="9">
        <v>40544</v>
      </c>
      <c r="B182" s="3">
        <v>1.521261</v>
      </c>
      <c r="C182" s="30" t="str">
        <f t="shared" si="7"/>
        <v/>
      </c>
      <c r="D182" s="41" t="str">
        <f t="shared" si="8"/>
        <v/>
      </c>
      <c r="E182" s="16">
        <v>2069.73</v>
      </c>
      <c r="F182" s="16">
        <v>273.12</v>
      </c>
      <c r="G182" s="16">
        <v>16.3</v>
      </c>
      <c r="H182" s="16">
        <v>1392.19</v>
      </c>
      <c r="I182" s="14">
        <v>521.38</v>
      </c>
      <c r="J182" s="14">
        <v>1037.72</v>
      </c>
    </row>
    <row r="183" spans="1:10" ht="18" customHeight="1">
      <c r="A183" s="9">
        <v>40513</v>
      </c>
      <c r="B183" s="3">
        <v>1.5031829999999999</v>
      </c>
      <c r="C183" s="30" t="str">
        <f t="shared" si="7"/>
        <v/>
      </c>
      <c r="D183" s="41" t="str">
        <f t="shared" si="8"/>
        <v/>
      </c>
      <c r="E183" s="16">
        <v>2051</v>
      </c>
      <c r="F183" s="16">
        <v>271.19</v>
      </c>
      <c r="G183" s="16">
        <v>15.83</v>
      </c>
      <c r="H183" s="16">
        <v>1391.42</v>
      </c>
      <c r="I183" s="14">
        <v>510.69</v>
      </c>
      <c r="J183" s="13">
        <v>997.9</v>
      </c>
    </row>
    <row r="184" spans="1:10" ht="18" customHeight="1">
      <c r="A184" s="9">
        <v>40483</v>
      </c>
      <c r="B184" s="3">
        <v>1.3943779999999999</v>
      </c>
      <c r="C184" s="30" t="str">
        <f t="shared" si="7"/>
        <v/>
      </c>
      <c r="D184" s="41" t="str">
        <f t="shared" si="8"/>
        <v/>
      </c>
      <c r="E184" s="16">
        <v>1904.63</v>
      </c>
      <c r="F184" s="16">
        <v>249.64</v>
      </c>
      <c r="G184" s="16">
        <v>22.76</v>
      </c>
      <c r="H184" s="16">
        <v>1269.1500000000001</v>
      </c>
      <c r="I184" s="14">
        <v>498.39</v>
      </c>
      <c r="J184" s="14">
        <v>971.73</v>
      </c>
    </row>
    <row r="185" spans="1:10" ht="18" customHeight="1">
      <c r="A185" s="9">
        <v>40452</v>
      </c>
      <c r="B185" s="3">
        <v>1.3795040000000001</v>
      </c>
      <c r="C185" s="30" t="str">
        <f t="shared" si="7"/>
        <v/>
      </c>
      <c r="D185" s="41" t="str">
        <f t="shared" si="8"/>
        <v/>
      </c>
      <c r="E185" s="16">
        <v>1882.95</v>
      </c>
      <c r="F185" s="16">
        <v>242.98</v>
      </c>
      <c r="G185" s="16">
        <v>18.600000000000001</v>
      </c>
      <c r="H185" s="16">
        <v>1226.1099999999999</v>
      </c>
      <c r="I185" s="14">
        <v>526.45000000000005</v>
      </c>
      <c r="J185" s="14">
        <v>1019.44</v>
      </c>
    </row>
    <row r="186" spans="1:10" ht="18" customHeight="1">
      <c r="A186" s="9">
        <v>40422</v>
      </c>
      <c r="B186" s="3">
        <v>1.371021</v>
      </c>
      <c r="C186" s="30" t="str">
        <f t="shared" si="7"/>
        <v/>
      </c>
      <c r="D186" s="41" t="str">
        <f t="shared" si="8"/>
        <v/>
      </c>
      <c r="E186" s="16">
        <v>1872.81</v>
      </c>
      <c r="F186" s="16">
        <v>242.95</v>
      </c>
      <c r="G186" s="16">
        <v>16.77</v>
      </c>
      <c r="H186" s="16">
        <v>1234.21</v>
      </c>
      <c r="I186" s="14">
        <v>492.75</v>
      </c>
      <c r="J186" s="14">
        <v>963.37</v>
      </c>
    </row>
    <row r="187" spans="1:10" ht="18" customHeight="1">
      <c r="A187" s="9">
        <v>40391</v>
      </c>
      <c r="B187" s="3">
        <v>1.2758419999999999</v>
      </c>
      <c r="C187" s="30" t="str">
        <f t="shared" si="7"/>
        <v/>
      </c>
      <c r="D187" s="41" t="str">
        <f t="shared" si="8"/>
        <v/>
      </c>
      <c r="E187" s="16">
        <v>1742.75</v>
      </c>
      <c r="F187" s="16">
        <v>226.81</v>
      </c>
      <c r="G187" s="16">
        <v>18.79</v>
      </c>
      <c r="H187" s="16">
        <v>1149.3499999999999</v>
      </c>
      <c r="I187" s="14">
        <v>464.71</v>
      </c>
      <c r="J187" s="14">
        <v>889.81</v>
      </c>
    </row>
    <row r="188" spans="1:10" ht="18" customHeight="1">
      <c r="A188" s="9">
        <v>40360</v>
      </c>
      <c r="B188" s="3">
        <v>1.286538</v>
      </c>
      <c r="C188" s="30" t="str">
        <f t="shared" si="7"/>
        <v/>
      </c>
      <c r="D188" s="41" t="str">
        <f t="shared" si="8"/>
        <v/>
      </c>
      <c r="E188" s="16">
        <v>1759.33</v>
      </c>
      <c r="F188" s="16">
        <v>229.25</v>
      </c>
      <c r="G188" s="16">
        <v>19.260000000000002</v>
      </c>
      <c r="H188" s="16">
        <v>1167.8699999999999</v>
      </c>
      <c r="I188" s="14">
        <v>481.45</v>
      </c>
      <c r="J188" s="14">
        <v>918.99</v>
      </c>
    </row>
    <row r="189" spans="1:10" ht="18" customHeight="1">
      <c r="A189" s="9">
        <v>40330</v>
      </c>
      <c r="B189" s="3">
        <v>1.260346</v>
      </c>
      <c r="C189" s="30" t="str">
        <f t="shared" si="7"/>
        <v/>
      </c>
      <c r="D189" s="41" t="str">
        <f t="shared" si="8"/>
        <v/>
      </c>
      <c r="E189" s="16">
        <v>1698.29</v>
      </c>
      <c r="F189" s="16">
        <v>220.85</v>
      </c>
      <c r="G189" s="16">
        <v>21.9</v>
      </c>
      <c r="H189" s="16">
        <v>1119.93</v>
      </c>
      <c r="I189" s="14">
        <v>489.98</v>
      </c>
      <c r="J189" s="14">
        <v>943.44</v>
      </c>
    </row>
    <row r="190" spans="1:10" ht="18" customHeight="1">
      <c r="A190" s="9">
        <v>40299</v>
      </c>
      <c r="B190" s="3">
        <v>1.2201850000000001</v>
      </c>
      <c r="C190" s="30" t="str">
        <f t="shared" si="7"/>
        <v/>
      </c>
      <c r="D190" s="41" t="str">
        <f t="shared" si="8"/>
        <v/>
      </c>
      <c r="E190" s="16">
        <v>1641.25</v>
      </c>
      <c r="F190" s="16">
        <v>214.34</v>
      </c>
      <c r="G190" s="16">
        <v>24.01</v>
      </c>
      <c r="H190" s="16">
        <v>1079.8599999999999</v>
      </c>
      <c r="I190" s="14">
        <v>489.42</v>
      </c>
      <c r="J190" s="14">
        <v>939.54</v>
      </c>
    </row>
    <row r="191" spans="1:10" ht="18" customHeight="1">
      <c r="A191" s="9">
        <v>40269</v>
      </c>
      <c r="B191" s="3">
        <v>1.273026</v>
      </c>
      <c r="C191" s="30" t="str">
        <f t="shared" si="7"/>
        <v/>
      </c>
      <c r="D191" s="41" t="str">
        <f t="shared" si="8"/>
        <v/>
      </c>
      <c r="E191" s="16">
        <v>1741.56</v>
      </c>
      <c r="F191" s="16">
        <v>227.95</v>
      </c>
      <c r="G191" s="16">
        <v>18.27</v>
      </c>
      <c r="H191" s="16">
        <v>1159.4100000000001</v>
      </c>
      <c r="I191" s="14">
        <v>523.75</v>
      </c>
      <c r="J191" s="14">
        <v>985.47</v>
      </c>
    </row>
    <row r="192" spans="1:10" ht="18" customHeight="1">
      <c r="A192" s="9">
        <v>40238</v>
      </c>
      <c r="B192" s="3">
        <v>1.3561719999999999</v>
      </c>
      <c r="C192" s="30" t="str">
        <f t="shared" si="7"/>
        <v/>
      </c>
      <c r="D192" s="41" t="str">
        <f t="shared" si="8"/>
        <v/>
      </c>
      <c r="E192" s="16">
        <v>1692.85</v>
      </c>
      <c r="F192" s="16">
        <v>221.58</v>
      </c>
      <c r="G192" s="16">
        <v>17.68</v>
      </c>
      <c r="H192" s="16">
        <v>1128.25</v>
      </c>
      <c r="I192" s="14">
        <v>515.74</v>
      </c>
      <c r="J192" s="37">
        <v>957.81</v>
      </c>
    </row>
    <row r="193" spans="1:19" ht="18" customHeight="1">
      <c r="A193" s="9">
        <v>40210</v>
      </c>
      <c r="B193" s="3">
        <v>1.2761750000000001</v>
      </c>
      <c r="C193" s="30" t="str">
        <f t="shared" si="7"/>
        <v/>
      </c>
      <c r="D193" s="41" t="str">
        <f t="shared" si="8"/>
        <v/>
      </c>
      <c r="E193" s="16">
        <v>1594.58</v>
      </c>
      <c r="F193" s="16">
        <v>208.36</v>
      </c>
      <c r="G193" s="16">
        <v>20.59</v>
      </c>
      <c r="H193" s="16">
        <v>1054.43</v>
      </c>
      <c r="I193" s="14">
        <v>507.03</v>
      </c>
      <c r="J193" s="37">
        <v>928.29</v>
      </c>
    </row>
    <row r="194" spans="1:19" ht="18" customHeight="1">
      <c r="A194" s="9">
        <v>40179</v>
      </c>
      <c r="B194" s="3">
        <v>1.2835559999999999</v>
      </c>
      <c r="C194" s="30" t="str">
        <f t="shared" si="7"/>
        <v/>
      </c>
      <c r="D194" s="41" t="str">
        <f t="shared" si="8"/>
        <v/>
      </c>
      <c r="E194" s="16">
        <v>1602.43</v>
      </c>
      <c r="F194" s="16">
        <v>210.34</v>
      </c>
      <c r="G194" s="16">
        <v>23.29</v>
      </c>
      <c r="H194" s="16">
        <v>1062.81</v>
      </c>
      <c r="I194" s="14">
        <v>496.57</v>
      </c>
      <c r="J194" s="37">
        <v>922.07</v>
      </c>
    </row>
    <row r="195" spans="1:19" ht="18" customHeight="1">
      <c r="A195" s="9">
        <v>40148</v>
      </c>
      <c r="B195" s="3">
        <v>1.3417349999999999</v>
      </c>
      <c r="C195" s="30" t="str">
        <f t="shared" si="7"/>
        <v/>
      </c>
      <c r="D195" s="41" t="str">
        <f t="shared" si="8"/>
        <v/>
      </c>
      <c r="E195" s="16">
        <v>1682.77</v>
      </c>
      <c r="F195" s="16">
        <v>221.86</v>
      </c>
      <c r="G195" s="16">
        <v>20.350000000000001</v>
      </c>
      <c r="H195" s="16">
        <v>1129.3</v>
      </c>
      <c r="I195" s="14">
        <v>513.57000000000005</v>
      </c>
      <c r="J195" s="38">
        <f>(I195/I194)*J194</f>
        <v>953.63692913385842</v>
      </c>
    </row>
    <row r="196" spans="1:19" ht="18" customHeight="1">
      <c r="A196" s="9">
        <v>40118</v>
      </c>
      <c r="B196" s="3">
        <v>1.2312620000000001</v>
      </c>
      <c r="C196" s="30" t="str">
        <f t="shared" ref="C196:C259" si="9">IF(B196&lt;=C$1, "Risk", "")</f>
        <v/>
      </c>
      <c r="D196" s="41" t="str">
        <f t="shared" si="8"/>
        <v/>
      </c>
      <c r="E196" s="16">
        <v>1555.6</v>
      </c>
      <c r="F196" s="16">
        <v>204.75</v>
      </c>
      <c r="G196" s="16">
        <v>21.94</v>
      </c>
      <c r="H196" s="16">
        <v>1025.05</v>
      </c>
      <c r="I196" s="14">
        <v>464.32</v>
      </c>
      <c r="J196" s="38">
        <f t="shared" ref="J196:J259" si="10">(I196/I195)*J195</f>
        <v>862.18567855488652</v>
      </c>
    </row>
    <row r="197" spans="1:19" ht="18" customHeight="1">
      <c r="A197" s="9">
        <v>40087</v>
      </c>
      <c r="B197" s="3">
        <v>1.2495289999999999</v>
      </c>
      <c r="C197" s="30" t="str">
        <f t="shared" si="9"/>
        <v/>
      </c>
      <c r="D197" s="41" t="str">
        <f t="shared" ref="D197:D260" si="11">IF(B197&lt;=D$1, "Risk", "")</f>
        <v/>
      </c>
      <c r="E197" s="16">
        <v>1580.69</v>
      </c>
      <c r="F197" s="16">
        <v>206.81</v>
      </c>
      <c r="G197" s="16">
        <v>25.41</v>
      </c>
      <c r="H197" s="16">
        <v>1032.8399999999999</v>
      </c>
      <c r="I197" s="14">
        <v>486.46</v>
      </c>
      <c r="J197" s="38">
        <f t="shared" si="10"/>
        <v>903.29696155627596</v>
      </c>
    </row>
    <row r="198" spans="1:19" ht="18" customHeight="1">
      <c r="A198" s="9">
        <v>40057</v>
      </c>
      <c r="B198" s="3">
        <v>1.3212820000000001</v>
      </c>
      <c r="C198" s="30" t="str">
        <f t="shared" si="9"/>
        <v/>
      </c>
      <c r="D198" s="41" t="str">
        <f t="shared" si="11"/>
        <v/>
      </c>
      <c r="E198" s="16">
        <v>1673.14</v>
      </c>
      <c r="F198" s="16">
        <v>219.75</v>
      </c>
      <c r="G198" s="16">
        <v>22.85</v>
      </c>
      <c r="H198" s="16">
        <v>1112.79</v>
      </c>
      <c r="I198" s="14">
        <v>505.94</v>
      </c>
      <c r="J198" s="38">
        <f t="shared" si="10"/>
        <v>939.468948587309</v>
      </c>
    </row>
    <row r="199" spans="1:19" ht="18" customHeight="1">
      <c r="A199" s="9">
        <v>40026</v>
      </c>
      <c r="B199" s="11">
        <v>1.2603839999999999</v>
      </c>
      <c r="C199" s="30" t="str">
        <f t="shared" si="9"/>
        <v/>
      </c>
      <c r="D199" s="41" t="str">
        <f t="shared" si="11"/>
        <v/>
      </c>
      <c r="E199" s="16">
        <v>1591.85</v>
      </c>
      <c r="F199" s="16">
        <v>207.44</v>
      </c>
      <c r="G199" s="16">
        <v>23.97</v>
      </c>
      <c r="H199" s="16">
        <v>1041.1099999999999</v>
      </c>
      <c r="I199" s="13">
        <v>514.70000000000005</v>
      </c>
      <c r="J199" s="38">
        <f t="shared" si="10"/>
        <v>955.73520148216789</v>
      </c>
    </row>
    <row r="200" spans="1:19" ht="18" customHeight="1">
      <c r="A200" s="9">
        <v>39995</v>
      </c>
      <c r="B200" s="11">
        <v>1.2340770000000001</v>
      </c>
      <c r="C200" s="30" t="str">
        <f t="shared" si="9"/>
        <v/>
      </c>
      <c r="D200" s="41" t="str">
        <f t="shared" si="11"/>
        <v/>
      </c>
      <c r="E200" s="16">
        <v>1557.29</v>
      </c>
      <c r="F200" s="16">
        <v>202.96</v>
      </c>
      <c r="G200" s="16">
        <v>25.62</v>
      </c>
      <c r="H200" s="16">
        <v>1023.23</v>
      </c>
      <c r="I200" s="14">
        <v>504.35</v>
      </c>
      <c r="J200" s="38">
        <f t="shared" si="10"/>
        <v>936.5165122742012</v>
      </c>
    </row>
    <row r="201" spans="1:19" ht="18" customHeight="1">
      <c r="A201" s="9">
        <v>39965</v>
      </c>
      <c r="B201" s="11">
        <v>1.103451</v>
      </c>
      <c r="C201" s="30" t="str">
        <f t="shared" si="9"/>
        <v/>
      </c>
      <c r="D201" s="41" t="str">
        <f t="shared" si="11"/>
        <v/>
      </c>
      <c r="E201" s="16">
        <v>1390.07</v>
      </c>
      <c r="F201" s="16">
        <v>178.99</v>
      </c>
      <c r="G201" s="16">
        <v>27.26</v>
      </c>
      <c r="H201" s="16">
        <v>899.36</v>
      </c>
      <c r="I201" s="14">
        <v>485.15</v>
      </c>
      <c r="J201" s="38">
        <f t="shared" si="10"/>
        <v>900.86445113478464</v>
      </c>
    </row>
    <row r="202" spans="1:19" ht="18" customHeight="1">
      <c r="A202" s="9">
        <v>39934</v>
      </c>
      <c r="B202" s="11">
        <v>1.108449</v>
      </c>
      <c r="C202" s="30" t="str">
        <f t="shared" si="9"/>
        <v/>
      </c>
      <c r="D202" s="41" t="str">
        <f t="shared" si="11"/>
        <v/>
      </c>
      <c r="E202" s="16">
        <v>1395.89</v>
      </c>
      <c r="F202" s="16">
        <v>178.7</v>
      </c>
      <c r="G202" s="16">
        <v>33.42</v>
      </c>
      <c r="H202" s="16">
        <v>895.72</v>
      </c>
      <c r="I202" s="13">
        <v>528.79999999999995</v>
      </c>
      <c r="J202" s="38">
        <f t="shared" si="10"/>
        <v>981.91718388142658</v>
      </c>
    </row>
    <row r="203" spans="1:19" ht="18" customHeight="1">
      <c r="A203" s="9">
        <v>39904</v>
      </c>
      <c r="B203" s="11">
        <v>1.148882</v>
      </c>
      <c r="C203" s="30" t="str">
        <f t="shared" si="9"/>
        <v/>
      </c>
      <c r="D203" s="41" t="str">
        <f t="shared" si="11"/>
        <v/>
      </c>
      <c r="E203" s="16">
        <v>1369.36</v>
      </c>
      <c r="F203" s="16">
        <v>176</v>
      </c>
      <c r="G203" s="16">
        <v>34.57</v>
      </c>
      <c r="H203" s="16">
        <v>891.93</v>
      </c>
      <c r="I203" s="14">
        <v>500.98</v>
      </c>
      <c r="J203" s="38">
        <f t="shared" si="10"/>
        <v>930.25883279295988</v>
      </c>
    </row>
    <row r="204" spans="1:19" ht="18" customHeight="1">
      <c r="A204" s="9">
        <v>39873</v>
      </c>
      <c r="B204" s="11">
        <v>1.0096160000000001</v>
      </c>
      <c r="C204" s="30" t="str">
        <f t="shared" si="9"/>
        <v/>
      </c>
      <c r="D204" s="41" t="str">
        <f t="shared" si="11"/>
        <v/>
      </c>
      <c r="E204" s="16">
        <v>1206.26</v>
      </c>
      <c r="F204" s="16">
        <v>157.01</v>
      </c>
      <c r="G204" s="16">
        <v>39.56</v>
      </c>
      <c r="H204" s="16">
        <v>798.32</v>
      </c>
      <c r="I204" s="14">
        <v>421.44</v>
      </c>
      <c r="J204" s="38">
        <f t="shared" si="10"/>
        <v>782.56274201019005</v>
      </c>
      <c r="K204" s="39"/>
      <c r="L204" s="39"/>
      <c r="M204" s="39"/>
      <c r="N204" s="39"/>
      <c r="O204" s="39"/>
      <c r="P204" s="39"/>
      <c r="Q204" s="39"/>
      <c r="R204" s="39"/>
      <c r="S204" s="39"/>
    </row>
    <row r="205" spans="1:19" ht="18" customHeight="1">
      <c r="A205" s="9">
        <v>39845</v>
      </c>
      <c r="B205" s="3">
        <v>0.89</v>
      </c>
      <c r="C205" s="30" t="str">
        <f t="shared" si="9"/>
        <v/>
      </c>
      <c r="D205" s="41" t="str">
        <f t="shared" si="11"/>
        <v/>
      </c>
      <c r="E205" s="16">
        <v>1063.03</v>
      </c>
      <c r="F205" s="16">
        <v>138.07</v>
      </c>
      <c r="G205" s="16">
        <v>47.36</v>
      </c>
      <c r="H205" s="16">
        <v>694.11</v>
      </c>
      <c r="I205" s="14">
        <v>363.21</v>
      </c>
      <c r="J205" s="38">
        <f t="shared" si="10"/>
        <v>674.43672533580377</v>
      </c>
    </row>
    <row r="206" spans="1:19" ht="18" customHeight="1">
      <c r="A206" s="9">
        <v>39814</v>
      </c>
      <c r="B206" s="3">
        <v>0.97</v>
      </c>
      <c r="C206" s="30" t="str">
        <f t="shared" si="9"/>
        <v/>
      </c>
      <c r="D206" s="41" t="str">
        <f t="shared" si="11"/>
        <v/>
      </c>
      <c r="E206" s="16">
        <v>1162.1099999999999</v>
      </c>
      <c r="F206" s="16">
        <v>151.33000000000001</v>
      </c>
      <c r="G206" s="16">
        <v>48.21</v>
      </c>
      <c r="H206" s="16">
        <v>768.59</v>
      </c>
      <c r="I206" s="13">
        <v>364.9</v>
      </c>
      <c r="J206" s="28">
        <f t="shared" si="10"/>
        <v>677.5748494673461</v>
      </c>
    </row>
    <row r="207" spans="1:19" ht="18" customHeight="1">
      <c r="A207" s="9">
        <v>39783</v>
      </c>
      <c r="B207" s="3">
        <v>0.94</v>
      </c>
      <c r="C207" s="30" t="str">
        <f t="shared" si="9"/>
        <v/>
      </c>
      <c r="D207" s="41" t="str">
        <f t="shared" si="11"/>
        <v/>
      </c>
      <c r="E207" s="16">
        <v>1124.47</v>
      </c>
      <c r="F207" s="16">
        <v>146.35</v>
      </c>
      <c r="G207" s="16">
        <v>48.61</v>
      </c>
      <c r="H207" s="16">
        <v>744.27</v>
      </c>
      <c r="I207" s="14">
        <v>332.05</v>
      </c>
      <c r="J207" s="28">
        <f t="shared" si="10"/>
        <v>616.57640111162596</v>
      </c>
    </row>
    <row r="208" spans="1:19" ht="18" customHeight="1">
      <c r="A208" s="9">
        <v>39753</v>
      </c>
      <c r="B208" s="3">
        <v>0.9</v>
      </c>
      <c r="C208" s="30" t="str">
        <f t="shared" si="9"/>
        <v/>
      </c>
      <c r="D208" s="41" t="str">
        <f t="shared" si="11"/>
        <v/>
      </c>
      <c r="E208" s="16">
        <v>1076.07</v>
      </c>
      <c r="F208" s="16">
        <v>140.66</v>
      </c>
      <c r="G208" s="16">
        <v>57.79</v>
      </c>
      <c r="H208" s="16">
        <v>706.45</v>
      </c>
      <c r="I208" s="14">
        <v>307.48</v>
      </c>
      <c r="J208" s="28">
        <f t="shared" si="10"/>
        <v>570.95290412227905</v>
      </c>
    </row>
    <row r="209" spans="1:10" ht="18" customHeight="1">
      <c r="A209" s="9">
        <v>39722</v>
      </c>
      <c r="B209" s="3">
        <v>0.93</v>
      </c>
      <c r="C209" s="30" t="str">
        <f t="shared" si="9"/>
        <v/>
      </c>
      <c r="D209" s="41" t="str">
        <f t="shared" si="11"/>
        <v/>
      </c>
      <c r="E209" s="16">
        <v>1113.06</v>
      </c>
      <c r="F209" s="16">
        <v>147.5</v>
      </c>
      <c r="G209" s="16">
        <v>81.27</v>
      </c>
      <c r="H209" s="16">
        <v>740.18</v>
      </c>
      <c r="I209" s="14">
        <v>308.02999999999997</v>
      </c>
      <c r="J209" s="28">
        <f t="shared" si="10"/>
        <v>571.97418712366857</v>
      </c>
    </row>
    <row r="210" spans="1:10" ht="18" customHeight="1">
      <c r="A210" s="9">
        <v>39692</v>
      </c>
      <c r="B210" s="3">
        <v>1.2</v>
      </c>
      <c r="C210" s="30" t="str">
        <f t="shared" si="9"/>
        <v/>
      </c>
      <c r="D210" s="41" t="str">
        <f t="shared" si="11"/>
        <v/>
      </c>
      <c r="E210" s="16">
        <v>1448.06</v>
      </c>
      <c r="F210" s="16">
        <v>186.62</v>
      </c>
      <c r="G210" s="16">
        <v>36.78</v>
      </c>
      <c r="H210" s="16">
        <v>936.31</v>
      </c>
      <c r="I210" s="14">
        <v>440.77</v>
      </c>
      <c r="J210" s="28">
        <f t="shared" si="10"/>
        <v>818.45619731357147</v>
      </c>
    </row>
    <row r="211" spans="1:10" ht="18" customHeight="1">
      <c r="A211" s="9">
        <v>39661</v>
      </c>
      <c r="B211" s="3">
        <v>1.22</v>
      </c>
      <c r="C211" s="30" t="str">
        <f t="shared" si="9"/>
        <v/>
      </c>
      <c r="D211" s="41" t="str">
        <f t="shared" si="11"/>
        <v/>
      </c>
      <c r="E211" s="16">
        <v>1474.24</v>
      </c>
      <c r="F211" s="16">
        <v>188.96</v>
      </c>
      <c r="G211" s="16">
        <v>25.66</v>
      </c>
      <c r="H211" s="16">
        <v>967.11</v>
      </c>
      <c r="I211" s="14">
        <v>470.28</v>
      </c>
      <c r="J211" s="28">
        <f t="shared" si="10"/>
        <v>873.25267253358072</v>
      </c>
    </row>
    <row r="212" spans="1:10" ht="18" customHeight="1">
      <c r="A212" s="9">
        <v>39630</v>
      </c>
      <c r="B212" s="3">
        <v>1.33</v>
      </c>
      <c r="C212" s="30" t="str">
        <f t="shared" si="9"/>
        <v/>
      </c>
      <c r="D212" s="41" t="str">
        <f t="shared" si="11"/>
        <v/>
      </c>
      <c r="E212" s="16">
        <v>1594.67</v>
      </c>
      <c r="F212" s="16">
        <v>204.12</v>
      </c>
      <c r="G212" s="16">
        <v>23.82</v>
      </c>
      <c r="H212" s="16">
        <v>1048.68</v>
      </c>
      <c r="I212" s="14">
        <v>539.44000000000005</v>
      </c>
      <c r="J212" s="28">
        <f t="shared" si="10"/>
        <v>1001.6743677628539</v>
      </c>
    </row>
    <row r="213" spans="1:10" ht="18" customHeight="1">
      <c r="A213" s="9">
        <v>39600</v>
      </c>
      <c r="B213" s="3">
        <v>1.4</v>
      </c>
      <c r="C213" s="30" t="str">
        <f t="shared" si="9"/>
        <v/>
      </c>
      <c r="D213" s="41" t="str">
        <f t="shared" si="11"/>
        <v/>
      </c>
      <c r="E213" s="16">
        <v>1674.92</v>
      </c>
      <c r="F213" s="16">
        <v>213.52</v>
      </c>
      <c r="G213" s="16">
        <v>25.15</v>
      </c>
      <c r="H213" s="16">
        <v>1099.31</v>
      </c>
      <c r="I213" s="14">
        <v>590.19000000000005</v>
      </c>
      <c r="J213" s="28">
        <f t="shared" si="10"/>
        <v>1095.9109356183426</v>
      </c>
    </row>
    <row r="214" spans="1:10" ht="18" customHeight="1">
      <c r="A214" s="9">
        <v>39569</v>
      </c>
      <c r="B214" s="3">
        <v>1.54</v>
      </c>
      <c r="C214" s="30" t="str">
        <f t="shared" si="9"/>
        <v/>
      </c>
      <c r="D214" s="41" t="str">
        <f t="shared" si="11"/>
        <v/>
      </c>
      <c r="E214" s="16">
        <v>1852.02</v>
      </c>
      <c r="F214" s="16">
        <v>237.46</v>
      </c>
      <c r="G214" s="16">
        <v>23.06</v>
      </c>
      <c r="H214" s="16">
        <v>1222.8699999999999</v>
      </c>
      <c r="I214" s="14">
        <v>652.15</v>
      </c>
      <c r="J214" s="28">
        <f t="shared" si="10"/>
        <v>1210.9631079203341</v>
      </c>
    </row>
    <row r="215" spans="1:10" ht="18" customHeight="1">
      <c r="A215" s="9">
        <v>39539</v>
      </c>
      <c r="B215" s="3">
        <v>1.52</v>
      </c>
      <c r="C215" s="30" t="str">
        <f t="shared" si="9"/>
        <v/>
      </c>
      <c r="D215" s="41" t="str">
        <f t="shared" si="11"/>
        <v/>
      </c>
      <c r="E215" s="16">
        <v>1825.47</v>
      </c>
      <c r="F215" s="16">
        <v>235</v>
      </c>
      <c r="G215" s="16">
        <v>22.04</v>
      </c>
      <c r="H215" s="16">
        <v>1221.06</v>
      </c>
      <c r="I215" s="14">
        <v>647.02</v>
      </c>
      <c r="J215" s="28">
        <f t="shared" si="10"/>
        <v>1201.4373228346462</v>
      </c>
    </row>
    <row r="216" spans="1:10" ht="18" customHeight="1">
      <c r="A216" s="9">
        <v>39508</v>
      </c>
      <c r="B216" s="3">
        <v>1.59</v>
      </c>
      <c r="C216" s="30" t="str">
        <f t="shared" si="9"/>
        <v/>
      </c>
      <c r="D216" s="41" t="str">
        <f t="shared" si="11"/>
        <v/>
      </c>
      <c r="E216" s="16">
        <v>1703.99</v>
      </c>
      <c r="F216" s="16">
        <v>217.65</v>
      </c>
      <c r="G216" s="16">
        <v>27.05</v>
      </c>
      <c r="H216" s="16">
        <v>1121.1099999999999</v>
      </c>
      <c r="I216" s="14">
        <v>644.45000000000005</v>
      </c>
      <c r="J216" s="28">
        <f t="shared" si="10"/>
        <v>1196.6651459008808</v>
      </c>
    </row>
    <row r="217" spans="1:10" ht="18" customHeight="1">
      <c r="A217" s="9">
        <v>39479</v>
      </c>
      <c r="B217" s="3">
        <v>1.58</v>
      </c>
      <c r="C217" s="30" t="str">
        <f t="shared" si="9"/>
        <v/>
      </c>
      <c r="D217" s="41" t="str">
        <f t="shared" si="11"/>
        <v/>
      </c>
      <c r="E217" s="16">
        <v>1711.62</v>
      </c>
      <c r="F217" s="16">
        <v>216.85</v>
      </c>
      <c r="G217" s="16">
        <v>29.21</v>
      </c>
      <c r="H217" s="16">
        <v>1122.94</v>
      </c>
      <c r="I217" s="14">
        <v>655.94</v>
      </c>
      <c r="J217" s="28">
        <f t="shared" si="10"/>
        <v>1218.0006762390003</v>
      </c>
    </row>
    <row r="218" spans="1:10" ht="18" customHeight="1">
      <c r="A218" s="9">
        <v>39448</v>
      </c>
      <c r="B218" s="3">
        <v>1.51</v>
      </c>
      <c r="C218" s="30" t="str">
        <f t="shared" si="9"/>
        <v/>
      </c>
      <c r="D218" s="41" t="str">
        <f t="shared" si="11"/>
        <v/>
      </c>
      <c r="E218" s="16">
        <v>1624.68</v>
      </c>
      <c r="F218" s="16">
        <v>207.77</v>
      </c>
      <c r="G218" s="16">
        <v>31.39</v>
      </c>
      <c r="H218" s="16">
        <v>1076.3499999999999</v>
      </c>
      <c r="I218" s="14">
        <v>608.84</v>
      </c>
      <c r="J218" s="28">
        <f t="shared" si="10"/>
        <v>1130.5417137563693</v>
      </c>
    </row>
    <row r="219" spans="1:10" ht="18" customHeight="1">
      <c r="A219" s="9">
        <v>39417</v>
      </c>
      <c r="B219" s="3">
        <v>1.75</v>
      </c>
      <c r="C219" s="30" t="str">
        <f t="shared" si="9"/>
        <v/>
      </c>
      <c r="D219" s="41" t="str">
        <f t="shared" si="11"/>
        <v/>
      </c>
      <c r="E219" s="16">
        <v>1897.13</v>
      </c>
      <c r="F219" s="16">
        <v>241.27</v>
      </c>
      <c r="G219" s="16">
        <v>25.13</v>
      </c>
      <c r="H219" s="16">
        <v>1252.6300000000001</v>
      </c>
      <c r="I219" s="14">
        <v>704.23</v>
      </c>
      <c r="J219" s="28">
        <f t="shared" si="10"/>
        <v>1307.6693237610011</v>
      </c>
    </row>
    <row r="220" spans="1:10" ht="18" customHeight="1">
      <c r="A220" s="9">
        <v>39387</v>
      </c>
      <c r="B220" s="3">
        <v>1.76</v>
      </c>
      <c r="C220" s="30" t="str">
        <f t="shared" si="9"/>
        <v/>
      </c>
      <c r="D220" s="41" t="str">
        <f t="shared" si="11"/>
        <v/>
      </c>
      <c r="E220" s="16">
        <v>1906</v>
      </c>
      <c r="F220" s="16">
        <v>241.91</v>
      </c>
      <c r="G220" s="16">
        <v>32.76</v>
      </c>
      <c r="H220" s="16">
        <v>1254.6099999999999</v>
      </c>
      <c r="I220" s="14">
        <v>741.84</v>
      </c>
      <c r="J220" s="28">
        <f t="shared" si="10"/>
        <v>1377.5065122742017</v>
      </c>
    </row>
    <row r="221" spans="1:10" ht="18" customHeight="1">
      <c r="A221" s="9">
        <v>39356</v>
      </c>
      <c r="B221" s="3">
        <v>1.9</v>
      </c>
      <c r="C221" s="30" t="str">
        <f t="shared" si="9"/>
        <v/>
      </c>
      <c r="D221" s="41" t="str">
        <f t="shared" si="11"/>
        <v/>
      </c>
      <c r="E221" s="16">
        <v>2064.85</v>
      </c>
      <c r="F221" s="16">
        <v>260.42</v>
      </c>
      <c r="G221" s="16">
        <v>34.049999999999997</v>
      </c>
      <c r="H221" s="16">
        <v>1353.07</v>
      </c>
      <c r="I221" s="14">
        <v>810.07</v>
      </c>
      <c r="J221" s="28">
        <f t="shared" si="10"/>
        <v>1504.2013107920341</v>
      </c>
    </row>
    <row r="222" spans="1:10" ht="18" customHeight="1">
      <c r="A222" s="9">
        <v>39326</v>
      </c>
      <c r="B222" s="3">
        <v>1.8</v>
      </c>
      <c r="C222" s="30" t="str">
        <f t="shared" si="9"/>
        <v/>
      </c>
      <c r="D222" s="41" t="str">
        <f t="shared" si="11"/>
        <v/>
      </c>
      <c r="E222" s="16">
        <v>1946.48</v>
      </c>
      <c r="F222" s="16">
        <v>247.2</v>
      </c>
      <c r="G222" s="16">
        <v>25.78</v>
      </c>
      <c r="H222" s="16">
        <v>1290.02</v>
      </c>
      <c r="I222" s="14">
        <v>794.56</v>
      </c>
      <c r="J222" s="28">
        <f t="shared" si="10"/>
        <v>1475.401130152849</v>
      </c>
    </row>
    <row r="223" spans="1:10" ht="18" customHeight="1">
      <c r="A223" s="9">
        <v>39295</v>
      </c>
      <c r="B223" s="3">
        <v>1.73</v>
      </c>
      <c r="C223" s="30" t="str">
        <f t="shared" si="9"/>
        <v/>
      </c>
      <c r="D223" s="41" t="str">
        <f t="shared" si="11"/>
        <v/>
      </c>
      <c r="E223" s="16">
        <v>1873.24</v>
      </c>
      <c r="F223" s="16">
        <v>238.28</v>
      </c>
      <c r="G223" s="16">
        <v>32.33</v>
      </c>
      <c r="H223" s="16">
        <v>1244.42</v>
      </c>
      <c r="I223" s="14">
        <v>775.13</v>
      </c>
      <c r="J223" s="28">
        <f t="shared" si="10"/>
        <v>1439.3219870310334</v>
      </c>
    </row>
    <row r="224" spans="1:10" ht="18" customHeight="1">
      <c r="A224" s="9">
        <v>39264</v>
      </c>
      <c r="B224" s="3">
        <v>1.79</v>
      </c>
      <c r="C224" s="30" t="str">
        <f t="shared" si="9"/>
        <v/>
      </c>
      <c r="D224" s="41" t="str">
        <f t="shared" si="11"/>
        <v/>
      </c>
      <c r="E224" s="16">
        <v>1933.27</v>
      </c>
      <c r="F224" s="16">
        <v>244.32</v>
      </c>
      <c r="G224" s="16">
        <v>27.71</v>
      </c>
      <c r="H224" s="16">
        <v>1277.22</v>
      </c>
      <c r="I224" s="14">
        <v>811.52</v>
      </c>
      <c r="J224" s="28">
        <f t="shared" si="10"/>
        <v>1506.8937841593336</v>
      </c>
    </row>
    <row r="225" spans="1:10" ht="18" customHeight="1">
      <c r="A225" s="9">
        <v>39234</v>
      </c>
      <c r="B225" s="3">
        <v>1.61</v>
      </c>
      <c r="C225" s="30" t="str">
        <f t="shared" si="9"/>
        <v/>
      </c>
      <c r="D225" s="41" t="str">
        <f t="shared" si="11"/>
        <v/>
      </c>
      <c r="E225" s="16">
        <v>1743.6</v>
      </c>
      <c r="F225" s="16">
        <v>221.31</v>
      </c>
      <c r="G225" s="16">
        <v>19.95</v>
      </c>
      <c r="H225" s="16">
        <v>1154.8599999999999</v>
      </c>
      <c r="I225" s="14">
        <v>778.69</v>
      </c>
      <c r="J225" s="28">
        <f t="shared" si="10"/>
        <v>1445.9324733673004</v>
      </c>
    </row>
    <row r="226" spans="1:10" ht="18" customHeight="1">
      <c r="A226" s="9">
        <v>39203</v>
      </c>
      <c r="B226" s="3">
        <v>1.57</v>
      </c>
      <c r="C226" s="30" t="str">
        <f t="shared" si="9"/>
        <v/>
      </c>
      <c r="D226" s="41" t="str">
        <f t="shared" si="11"/>
        <v/>
      </c>
      <c r="E226" s="16">
        <v>1700.91</v>
      </c>
      <c r="F226" s="16">
        <v>216.45</v>
      </c>
      <c r="G226" s="16">
        <v>18.59</v>
      </c>
      <c r="H226" s="16">
        <v>1144.5999999999999</v>
      </c>
      <c r="I226" s="14">
        <v>747.87</v>
      </c>
      <c r="J226" s="28">
        <f t="shared" si="10"/>
        <v>1388.7034877257995</v>
      </c>
    </row>
    <row r="227" spans="1:10" ht="18" customHeight="1">
      <c r="A227" s="9">
        <v>39173</v>
      </c>
      <c r="B227" s="3">
        <v>1.42</v>
      </c>
      <c r="C227" s="30" t="str">
        <f t="shared" si="9"/>
        <v/>
      </c>
      <c r="D227" s="41" t="str">
        <f t="shared" si="11"/>
        <v/>
      </c>
      <c r="E227" s="16">
        <v>1542.24</v>
      </c>
      <c r="F227" s="16">
        <v>198.55</v>
      </c>
      <c r="G227" s="16">
        <v>18.989999999999998</v>
      </c>
      <c r="H227" s="16">
        <v>1053.69</v>
      </c>
      <c r="I227" s="14">
        <v>675.88</v>
      </c>
      <c r="J227" s="28">
        <f t="shared" si="10"/>
        <v>1255.0268272348314</v>
      </c>
    </row>
    <row r="228" spans="1:10" ht="18" customHeight="1">
      <c r="A228" s="9">
        <v>39142</v>
      </c>
      <c r="B228" s="3">
        <v>1.48</v>
      </c>
      <c r="C228" s="30" t="str">
        <f t="shared" si="9"/>
        <v/>
      </c>
      <c r="D228" s="41" t="str">
        <f t="shared" si="11"/>
        <v/>
      </c>
      <c r="E228" s="16">
        <v>1452.55</v>
      </c>
      <c r="F228" s="16">
        <v>187.6</v>
      </c>
      <c r="G228" s="16">
        <v>19.64</v>
      </c>
      <c r="H228" s="16">
        <v>994.41</v>
      </c>
      <c r="I228" s="14">
        <v>648.99</v>
      </c>
      <c r="J228" s="28">
        <f t="shared" si="10"/>
        <v>1205.0953728578049</v>
      </c>
    </row>
    <row r="229" spans="1:10" ht="18" customHeight="1">
      <c r="A229" s="9">
        <v>39114</v>
      </c>
      <c r="B229" s="3">
        <v>1.45</v>
      </c>
      <c r="C229" s="30" t="str">
        <f t="shared" si="9"/>
        <v/>
      </c>
      <c r="D229" s="41" t="str">
        <f t="shared" si="11"/>
        <v/>
      </c>
      <c r="E229" s="16">
        <v>1417.34</v>
      </c>
      <c r="F229" s="16">
        <v>183.2</v>
      </c>
      <c r="G229" s="16">
        <v>20.38</v>
      </c>
      <c r="H229" s="16">
        <v>979.68</v>
      </c>
      <c r="I229" s="14">
        <v>600.92999999999995</v>
      </c>
      <c r="J229" s="28">
        <f t="shared" si="10"/>
        <v>1115.8538073182031</v>
      </c>
    </row>
    <row r="230" spans="1:10" ht="18" customHeight="1">
      <c r="A230" s="9">
        <v>39083</v>
      </c>
      <c r="B230" s="3">
        <v>1.39</v>
      </c>
      <c r="C230" s="30" t="str">
        <f t="shared" si="9"/>
        <v/>
      </c>
      <c r="D230" s="41" t="str">
        <f t="shared" si="11"/>
        <v/>
      </c>
      <c r="E230" s="16">
        <v>1360.23</v>
      </c>
      <c r="F230" s="16">
        <v>175.99</v>
      </c>
      <c r="G230" s="16">
        <v>17.989999999999998</v>
      </c>
      <c r="H230" s="16">
        <v>947.06</v>
      </c>
      <c r="I230" s="14">
        <v>576.37</v>
      </c>
      <c r="J230" s="28">
        <f t="shared" si="10"/>
        <v>1070.2488791106998</v>
      </c>
    </row>
    <row r="231" spans="1:10" ht="18" customHeight="1">
      <c r="A231" s="9">
        <v>39052</v>
      </c>
      <c r="B231" s="3">
        <v>1.46</v>
      </c>
      <c r="C231" s="30" t="str">
        <f t="shared" si="9"/>
        <v/>
      </c>
      <c r="D231" s="41" t="str">
        <f t="shared" si="11"/>
        <v/>
      </c>
      <c r="E231" s="16">
        <v>1434.46</v>
      </c>
      <c r="F231" s="16">
        <v>185.39</v>
      </c>
      <c r="G231" s="16">
        <v>15.4</v>
      </c>
      <c r="H231" s="16">
        <v>1000</v>
      </c>
      <c r="I231" s="14">
        <v>606.15</v>
      </c>
      <c r="J231" s="28">
        <f t="shared" si="10"/>
        <v>1125.5467114404821</v>
      </c>
    </row>
    <row r="232" spans="1:10" ht="18" customHeight="1">
      <c r="A232" s="9">
        <v>39022</v>
      </c>
      <c r="B232" s="3">
        <v>1.46</v>
      </c>
      <c r="C232" s="30" t="str">
        <f t="shared" si="9"/>
        <v/>
      </c>
      <c r="D232" s="41" t="str">
        <f t="shared" si="11"/>
        <v/>
      </c>
      <c r="E232" s="16">
        <v>1432.21</v>
      </c>
      <c r="F232" s="16">
        <v>184.96</v>
      </c>
      <c r="G232" s="16">
        <v>14.68</v>
      </c>
      <c r="H232" s="28">
        <f>(F232/F231)*H231</f>
        <v>997.68056529478406</v>
      </c>
      <c r="I232" s="14">
        <v>622.16999999999996</v>
      </c>
      <c r="J232" s="28">
        <f t="shared" si="10"/>
        <v>1155.2938999536825</v>
      </c>
    </row>
    <row r="233" spans="1:10" ht="18" customHeight="1">
      <c r="A233" s="9">
        <v>38991</v>
      </c>
      <c r="B233" s="3">
        <v>1.4</v>
      </c>
      <c r="C233" s="30" t="str">
        <f t="shared" si="9"/>
        <v/>
      </c>
      <c r="D233" s="41" t="str">
        <f t="shared" si="11"/>
        <v/>
      </c>
      <c r="E233" s="16">
        <v>1364.55</v>
      </c>
      <c r="F233" s="16">
        <v>176.84</v>
      </c>
      <c r="G233" s="16">
        <v>16.84</v>
      </c>
      <c r="H233" s="28">
        <f t="shared" ref="H233:H271" si="12">(F233/F232)*H232</f>
        <v>953.88100760558825</v>
      </c>
      <c r="I233" s="13">
        <v>586.1</v>
      </c>
      <c r="J233" s="28">
        <f t="shared" si="10"/>
        <v>1088.3163038443729</v>
      </c>
    </row>
    <row r="234" spans="1:10" ht="18" customHeight="1">
      <c r="A234" s="9">
        <v>38961</v>
      </c>
      <c r="B234" s="3">
        <v>1.4</v>
      </c>
      <c r="C234" s="30" t="str">
        <f t="shared" si="9"/>
        <v/>
      </c>
      <c r="D234" s="41" t="str">
        <f t="shared" si="11"/>
        <v/>
      </c>
      <c r="E234" s="16">
        <v>1371.41</v>
      </c>
      <c r="F234" s="16">
        <v>178.05</v>
      </c>
      <c r="G234" s="16">
        <v>16.71</v>
      </c>
      <c r="H234" s="28">
        <f t="shared" si="12"/>
        <v>960.40778898538224</v>
      </c>
      <c r="I234" s="14">
        <v>600.41999999999996</v>
      </c>
      <c r="J234" s="28">
        <f t="shared" si="10"/>
        <v>1114.9067994441875</v>
      </c>
    </row>
    <row r="235" spans="1:10" ht="18" customHeight="1">
      <c r="A235" s="9">
        <v>38930</v>
      </c>
      <c r="B235" s="3">
        <v>1.38</v>
      </c>
      <c r="C235" s="30" t="str">
        <f t="shared" si="9"/>
        <v/>
      </c>
      <c r="D235" s="41" t="str">
        <f t="shared" si="11"/>
        <v/>
      </c>
      <c r="E235" s="16">
        <v>1352.74</v>
      </c>
      <c r="F235" s="16">
        <v>175.44</v>
      </c>
      <c r="G235" s="16">
        <v>17.899999999999999</v>
      </c>
      <c r="H235" s="28">
        <f t="shared" si="12"/>
        <v>946.32935972814062</v>
      </c>
      <c r="I235" s="14">
        <v>572.83000000000004</v>
      </c>
      <c r="J235" s="28">
        <f t="shared" si="10"/>
        <v>1063.6755303381201</v>
      </c>
    </row>
    <row r="236" spans="1:10" ht="18" customHeight="1">
      <c r="A236" s="9">
        <v>38899</v>
      </c>
      <c r="B236" s="3">
        <v>1.33</v>
      </c>
      <c r="C236" s="30" t="str">
        <f t="shared" si="9"/>
        <v/>
      </c>
      <c r="D236" s="41" t="str">
        <f t="shared" si="11"/>
        <v/>
      </c>
      <c r="E236" s="16">
        <v>1297.82</v>
      </c>
      <c r="F236" s="16">
        <v>168.51</v>
      </c>
      <c r="G236" s="16">
        <v>23.75</v>
      </c>
      <c r="H236" s="28">
        <f t="shared" si="12"/>
        <v>908.94870273477522</v>
      </c>
      <c r="I236" s="14">
        <v>557.66</v>
      </c>
      <c r="J236" s="28">
        <f t="shared" si="10"/>
        <v>1035.5066882816122</v>
      </c>
    </row>
    <row r="237" spans="1:10" ht="18" customHeight="1">
      <c r="A237" s="9">
        <v>38869</v>
      </c>
      <c r="B237" s="3">
        <v>1.33</v>
      </c>
      <c r="C237" s="30" t="str">
        <f t="shared" si="9"/>
        <v/>
      </c>
      <c r="D237" s="41" t="str">
        <f t="shared" si="11"/>
        <v/>
      </c>
      <c r="E237" s="16">
        <v>1295.1500000000001</v>
      </c>
      <c r="F237" s="16">
        <v>167.45</v>
      </c>
      <c r="G237" s="16">
        <v>22.72</v>
      </c>
      <c r="H237" s="28">
        <f t="shared" si="12"/>
        <v>903.23102648470774</v>
      </c>
      <c r="I237" s="14">
        <v>590.67999999999995</v>
      </c>
      <c r="J237" s="28">
        <f t="shared" si="10"/>
        <v>1096.8208059286712</v>
      </c>
    </row>
    <row r="238" spans="1:10" ht="18" customHeight="1">
      <c r="A238" s="9">
        <v>38838</v>
      </c>
      <c r="B238" s="3">
        <v>1.36</v>
      </c>
      <c r="C238" s="30" t="str">
        <f t="shared" si="9"/>
        <v/>
      </c>
      <c r="D238" s="41" t="str">
        <f t="shared" si="11"/>
        <v/>
      </c>
      <c r="E238" s="16">
        <v>1317.7</v>
      </c>
      <c r="F238" s="16">
        <v>171.01</v>
      </c>
      <c r="G238" s="16">
        <v>21.21</v>
      </c>
      <c r="H238" s="28">
        <f t="shared" si="12"/>
        <v>922.43378823021726</v>
      </c>
      <c r="I238" s="13">
        <v>630.5</v>
      </c>
      <c r="J238" s="28">
        <f t="shared" si="10"/>
        <v>1170.7616952292733</v>
      </c>
    </row>
    <row r="239" spans="1:10" ht="18" customHeight="1">
      <c r="A239" s="9">
        <v>38808</v>
      </c>
      <c r="B239" s="3">
        <v>1.46</v>
      </c>
      <c r="C239" s="30" t="str">
        <f t="shared" si="9"/>
        <v/>
      </c>
      <c r="D239" s="41" t="str">
        <f t="shared" si="11"/>
        <v/>
      </c>
      <c r="E239" s="16">
        <v>1419.73</v>
      </c>
      <c r="F239" s="16">
        <v>184.1</v>
      </c>
      <c r="G239" s="16">
        <v>17.98</v>
      </c>
      <c r="H239" s="28">
        <f t="shared" si="12"/>
        <v>993.04169588435184</v>
      </c>
      <c r="I239" s="14">
        <v>685.44</v>
      </c>
      <c r="J239" s="28">
        <f t="shared" si="10"/>
        <v>1272.778582677166</v>
      </c>
    </row>
    <row r="240" spans="1:10" ht="18" customHeight="1">
      <c r="A240" s="9">
        <v>38777</v>
      </c>
      <c r="B240" s="3">
        <v>1.63</v>
      </c>
      <c r="C240" s="30" t="str">
        <f t="shared" si="9"/>
        <v/>
      </c>
      <c r="D240" s="41" t="str">
        <f t="shared" si="11"/>
        <v/>
      </c>
      <c r="E240" s="16">
        <v>1359.6</v>
      </c>
      <c r="F240" s="16">
        <v>176.21</v>
      </c>
      <c r="G240" s="16">
        <v>18.190000000000001</v>
      </c>
      <c r="H240" s="28">
        <f t="shared" si="12"/>
        <v>950.48276606073682</v>
      </c>
      <c r="I240" s="14">
        <v>665.21</v>
      </c>
      <c r="J240" s="28">
        <f t="shared" si="10"/>
        <v>1235.2139370078746</v>
      </c>
    </row>
    <row r="241" spans="1:10" ht="18" customHeight="1">
      <c r="A241" s="9">
        <v>38749</v>
      </c>
      <c r="B241" s="3">
        <v>1.64</v>
      </c>
      <c r="C241" s="30" t="str">
        <f t="shared" si="9"/>
        <v/>
      </c>
      <c r="D241" s="41" t="str">
        <f t="shared" si="11"/>
        <v/>
      </c>
      <c r="E241" s="16">
        <v>1371.59</v>
      </c>
      <c r="F241" s="16">
        <v>177.45</v>
      </c>
      <c r="G241" s="16">
        <v>19.899999999999999</v>
      </c>
      <c r="H241" s="28">
        <f t="shared" si="12"/>
        <v>957.171368466476</v>
      </c>
      <c r="I241" s="14">
        <v>682.36</v>
      </c>
      <c r="J241" s="28">
        <f t="shared" si="10"/>
        <v>1267.0593978693844</v>
      </c>
    </row>
    <row r="242" spans="1:10" ht="18" customHeight="1">
      <c r="A242" s="9">
        <v>38718</v>
      </c>
      <c r="B242" s="3">
        <v>1.65</v>
      </c>
      <c r="C242" s="30" t="str">
        <f t="shared" si="9"/>
        <v/>
      </c>
      <c r="D242" s="41" t="str">
        <f t="shared" si="11"/>
        <v/>
      </c>
      <c r="E242" s="16">
        <v>1399.83</v>
      </c>
      <c r="F242" s="16">
        <v>180.65</v>
      </c>
      <c r="G242" s="16">
        <v>21.57</v>
      </c>
      <c r="H242" s="28">
        <f t="shared" si="12"/>
        <v>974.43227790064191</v>
      </c>
      <c r="I242" s="14">
        <v>690.24</v>
      </c>
      <c r="J242" s="28">
        <f t="shared" si="10"/>
        <v>1281.6915979620198</v>
      </c>
    </row>
    <row r="243" spans="1:10" ht="18" customHeight="1">
      <c r="A243" s="9">
        <v>38687</v>
      </c>
      <c r="B243" s="3">
        <v>1.63</v>
      </c>
      <c r="C243" s="30" t="str">
        <f t="shared" si="9"/>
        <v/>
      </c>
      <c r="D243" s="41" t="str">
        <f t="shared" si="11"/>
        <v/>
      </c>
      <c r="E243" s="16">
        <v>1379.37</v>
      </c>
      <c r="F243" s="16">
        <v>177.43</v>
      </c>
      <c r="G243" s="16">
        <v>19.440000000000001</v>
      </c>
      <c r="H243" s="28">
        <f t="shared" si="12"/>
        <v>957.06348778251254</v>
      </c>
      <c r="I243" s="14">
        <v>701.79</v>
      </c>
      <c r="J243" s="28">
        <f t="shared" si="10"/>
        <v>1303.1385409912</v>
      </c>
    </row>
    <row r="244" spans="1:10" ht="18" customHeight="1">
      <c r="A244" s="9">
        <v>38657</v>
      </c>
      <c r="B244" s="3">
        <v>1.53</v>
      </c>
      <c r="C244" s="30" t="str">
        <f t="shared" si="9"/>
        <v/>
      </c>
      <c r="D244" s="41" t="str">
        <f t="shared" si="11"/>
        <v/>
      </c>
      <c r="E244" s="16">
        <v>1297.44</v>
      </c>
      <c r="F244" s="16">
        <v>165.95</v>
      </c>
      <c r="G244" s="16">
        <v>23.38</v>
      </c>
      <c r="H244" s="28">
        <f t="shared" si="12"/>
        <v>895.13997518744259</v>
      </c>
      <c r="I244" s="14">
        <v>712.39</v>
      </c>
      <c r="J244" s="28">
        <f t="shared" si="10"/>
        <v>1322.8214497452527</v>
      </c>
    </row>
    <row r="245" spans="1:10" ht="18" customHeight="1">
      <c r="A245" s="9">
        <v>38626</v>
      </c>
      <c r="B245" s="3">
        <v>1.35</v>
      </c>
      <c r="C245" s="30" t="str">
        <f t="shared" si="9"/>
        <v/>
      </c>
      <c r="D245" s="41" t="str">
        <f t="shared" si="11"/>
        <v/>
      </c>
      <c r="E245" s="16">
        <v>1158.1099999999999</v>
      </c>
      <c r="F245" s="16">
        <v>148.84</v>
      </c>
      <c r="G245" s="16">
        <v>25.85</v>
      </c>
      <c r="H245" s="28">
        <f t="shared" si="12"/>
        <v>802.84805005663725</v>
      </c>
      <c r="I245" s="14">
        <v>587.46</v>
      </c>
      <c r="J245" s="28">
        <f t="shared" si="10"/>
        <v>1090.8416581750814</v>
      </c>
    </row>
    <row r="246" spans="1:10" ht="18" customHeight="1">
      <c r="A246" s="9">
        <v>38596</v>
      </c>
      <c r="B246" s="3">
        <v>1.43</v>
      </c>
      <c r="C246" s="30" t="str">
        <f t="shared" si="9"/>
        <v/>
      </c>
      <c r="D246" s="41" t="str">
        <f t="shared" si="11"/>
        <v/>
      </c>
      <c r="E246" s="16">
        <v>1221.01</v>
      </c>
      <c r="F246" s="16">
        <v>157.55000000000001</v>
      </c>
      <c r="G246" s="16">
        <v>23.82</v>
      </c>
      <c r="H246" s="28">
        <f t="shared" si="12"/>
        <v>849.83008792275734</v>
      </c>
      <c r="I246" s="14">
        <v>571.95000000000005</v>
      </c>
      <c r="J246" s="28">
        <f t="shared" si="10"/>
        <v>1062.0414775358968</v>
      </c>
    </row>
    <row r="247" spans="1:10" ht="18" customHeight="1">
      <c r="A247" s="9">
        <v>38565</v>
      </c>
      <c r="B247" s="3">
        <v>1.27</v>
      </c>
      <c r="C247" s="30" t="str">
        <f t="shared" si="9"/>
        <v/>
      </c>
      <c r="D247" s="41" t="str">
        <f t="shared" si="11"/>
        <v/>
      </c>
      <c r="E247" s="16">
        <v>1083.33</v>
      </c>
      <c r="F247" s="16">
        <v>140.09</v>
      </c>
      <c r="G247" s="16">
        <v>21.12</v>
      </c>
      <c r="H247" s="28">
        <f t="shared" si="12"/>
        <v>755.65025082259012</v>
      </c>
      <c r="I247" s="14">
        <v>503.95</v>
      </c>
      <c r="J247" s="28">
        <f t="shared" si="10"/>
        <v>935.77376100046365</v>
      </c>
    </row>
    <row r="248" spans="1:10" ht="18" customHeight="1">
      <c r="A248" s="9">
        <v>38534</v>
      </c>
      <c r="B248" s="3">
        <v>1.3</v>
      </c>
      <c r="C248" s="30" t="str">
        <f t="shared" si="9"/>
        <v/>
      </c>
      <c r="D248" s="41" t="str">
        <f t="shared" si="11"/>
        <v/>
      </c>
      <c r="E248" s="16">
        <v>1111.29</v>
      </c>
      <c r="F248" s="16">
        <v>143.32</v>
      </c>
      <c r="G248" s="16">
        <v>16.88</v>
      </c>
      <c r="H248" s="28">
        <f t="shared" si="12"/>
        <v>773.07298128270122</v>
      </c>
      <c r="I248" s="14">
        <v>546.67999999999995</v>
      </c>
      <c r="J248" s="28">
        <f t="shared" si="10"/>
        <v>1015.1181658175085</v>
      </c>
    </row>
    <row r="249" spans="1:10" ht="18" customHeight="1">
      <c r="A249" s="9">
        <v>38504</v>
      </c>
      <c r="B249" s="3">
        <v>1.18</v>
      </c>
      <c r="C249" s="30" t="str">
        <f t="shared" si="9"/>
        <v/>
      </c>
      <c r="D249" s="41" t="str">
        <f t="shared" si="11"/>
        <v/>
      </c>
      <c r="E249" s="16">
        <v>1008.16</v>
      </c>
      <c r="F249" s="16">
        <v>129.43</v>
      </c>
      <c r="G249" s="16">
        <v>15.76</v>
      </c>
      <c r="H249" s="28">
        <f t="shared" si="12"/>
        <v>698.14984627002536</v>
      </c>
      <c r="I249" s="14">
        <v>503.21</v>
      </c>
      <c r="J249" s="28">
        <f t="shared" si="10"/>
        <v>934.39967114404863</v>
      </c>
    </row>
    <row r="250" spans="1:10" ht="18" customHeight="1">
      <c r="A250" s="9">
        <v>38473</v>
      </c>
      <c r="B250" s="3">
        <v>1.1399999999999999</v>
      </c>
      <c r="C250" s="30" t="str">
        <f t="shared" si="9"/>
        <v/>
      </c>
      <c r="D250" s="41" t="str">
        <f t="shared" si="11"/>
        <v/>
      </c>
      <c r="E250" s="16">
        <v>970.21</v>
      </c>
      <c r="F250" s="16">
        <v>124.84</v>
      </c>
      <c r="G250" s="16">
        <v>16.350000000000001</v>
      </c>
      <c r="H250" s="28">
        <f t="shared" si="12"/>
        <v>673.39122930039377</v>
      </c>
      <c r="I250" s="14">
        <v>471.48</v>
      </c>
      <c r="J250" s="28">
        <f t="shared" si="10"/>
        <v>875.48092635479441</v>
      </c>
    </row>
    <row r="251" spans="1:10" ht="18" customHeight="1">
      <c r="A251" s="9">
        <v>38443</v>
      </c>
      <c r="B251" s="3">
        <v>1.07</v>
      </c>
      <c r="C251" s="30" t="str">
        <f t="shared" si="9"/>
        <v/>
      </c>
      <c r="D251" s="41" t="str">
        <f t="shared" si="11"/>
        <v/>
      </c>
      <c r="E251" s="16">
        <v>911.3</v>
      </c>
      <c r="F251" s="16">
        <v>117.58</v>
      </c>
      <c r="G251" s="16">
        <v>22.48</v>
      </c>
      <c r="H251" s="28">
        <f t="shared" si="12"/>
        <v>634.23054102163007</v>
      </c>
      <c r="I251" s="13">
        <v>424.4</v>
      </c>
      <c r="J251" s="28">
        <f t="shared" si="10"/>
        <v>788.05910143585038</v>
      </c>
    </row>
    <row r="252" spans="1:10" ht="18" customHeight="1">
      <c r="A252" s="9">
        <v>38412</v>
      </c>
      <c r="B252" s="3">
        <v>1.27</v>
      </c>
      <c r="C252" s="30" t="str">
        <f t="shared" si="9"/>
        <v/>
      </c>
      <c r="D252" s="41" t="str">
        <f t="shared" si="11"/>
        <v/>
      </c>
      <c r="E252" s="16">
        <v>965.68</v>
      </c>
      <c r="F252" s="16">
        <v>124.78</v>
      </c>
      <c r="G252" s="16">
        <v>19.690000000000001</v>
      </c>
      <c r="H252" s="28">
        <f t="shared" si="12"/>
        <v>673.06758724850317</v>
      </c>
      <c r="I252" s="14">
        <v>455.03</v>
      </c>
      <c r="J252" s="28">
        <f t="shared" si="10"/>
        <v>844.93528022232556</v>
      </c>
    </row>
    <row r="253" spans="1:10" ht="18" customHeight="1">
      <c r="A253" s="9">
        <v>38384</v>
      </c>
      <c r="B253" s="3">
        <v>1.33</v>
      </c>
      <c r="C253" s="30" t="str">
        <f t="shared" si="9"/>
        <v/>
      </c>
      <c r="D253" s="41" t="str">
        <f t="shared" si="11"/>
        <v/>
      </c>
      <c r="E253" s="16">
        <v>1011.36</v>
      </c>
      <c r="F253" s="16">
        <v>130.85</v>
      </c>
      <c r="G253" s="16">
        <v>16.670000000000002</v>
      </c>
      <c r="H253" s="28">
        <f t="shared" si="12"/>
        <v>705.80937483143634</v>
      </c>
      <c r="I253" s="14">
        <v>498.38</v>
      </c>
      <c r="J253" s="28">
        <f t="shared" si="10"/>
        <v>925.43094951366425</v>
      </c>
    </row>
    <row r="254" spans="1:10" ht="18" customHeight="1">
      <c r="A254" s="9">
        <v>38353</v>
      </c>
      <c r="B254" s="3">
        <v>1.23</v>
      </c>
      <c r="C254" s="30" t="str">
        <f t="shared" si="9"/>
        <v/>
      </c>
      <c r="D254" s="41" t="str">
        <f t="shared" si="11"/>
        <v/>
      </c>
      <c r="E254" s="16">
        <v>932.7</v>
      </c>
      <c r="F254" s="16">
        <v>121.06</v>
      </c>
      <c r="G254" s="16">
        <v>18.12</v>
      </c>
      <c r="H254" s="28">
        <f t="shared" si="12"/>
        <v>653.00178003128542</v>
      </c>
      <c r="I254" s="14">
        <v>472.95</v>
      </c>
      <c r="J254" s="28">
        <f t="shared" si="10"/>
        <v>878.2105372857809</v>
      </c>
    </row>
    <row r="255" spans="1:10" ht="18" customHeight="1">
      <c r="A255" s="9">
        <v>38322</v>
      </c>
      <c r="B255" s="3">
        <v>1.1599999999999999</v>
      </c>
      <c r="C255" s="30" t="str">
        <f t="shared" si="9"/>
        <v/>
      </c>
      <c r="D255" s="41" t="str">
        <f t="shared" si="11"/>
        <v/>
      </c>
      <c r="E255" s="16">
        <v>895.92</v>
      </c>
      <c r="F255" s="16">
        <v>115.25</v>
      </c>
      <c r="G255" s="16">
        <v>21.29</v>
      </c>
      <c r="H255" s="28">
        <f t="shared" si="12"/>
        <v>621.66244133987811</v>
      </c>
      <c r="I255" s="14">
        <v>380.33</v>
      </c>
      <c r="J255" s="28">
        <f t="shared" si="10"/>
        <v>706.22647985178367</v>
      </c>
    </row>
    <row r="256" spans="1:10" ht="18" customHeight="1">
      <c r="A256" s="9">
        <v>38292</v>
      </c>
      <c r="B256" s="3">
        <v>1.1299999999999999</v>
      </c>
      <c r="C256" s="30" t="str">
        <f t="shared" si="9"/>
        <v/>
      </c>
      <c r="D256" s="41" t="str">
        <f t="shared" si="11"/>
        <v/>
      </c>
      <c r="E256" s="16">
        <v>878.06</v>
      </c>
      <c r="F256" s="16">
        <v>113.4</v>
      </c>
      <c r="G256" s="16">
        <v>25.05</v>
      </c>
      <c r="H256" s="28">
        <f t="shared" si="12"/>
        <v>611.68347807325108</v>
      </c>
      <c r="I256" s="14">
        <v>373.43</v>
      </c>
      <c r="J256" s="28">
        <f t="shared" si="10"/>
        <v>693.41402037980595</v>
      </c>
    </row>
    <row r="257" spans="1:19" ht="18" customHeight="1">
      <c r="A257" s="9">
        <v>38261</v>
      </c>
      <c r="B257" s="3">
        <v>1.08</v>
      </c>
      <c r="C257" s="30" t="str">
        <f t="shared" si="9"/>
        <v/>
      </c>
      <c r="D257" s="41" t="str">
        <f t="shared" si="11"/>
        <v/>
      </c>
      <c r="E257" s="16">
        <v>834.84</v>
      </c>
      <c r="F257" s="16">
        <v>107.99</v>
      </c>
      <c r="G257" s="16">
        <v>27.17</v>
      </c>
      <c r="H257" s="28">
        <f t="shared" si="12"/>
        <v>582.50175306111441</v>
      </c>
      <c r="I257" s="14">
        <v>357.04</v>
      </c>
      <c r="J257" s="28">
        <f t="shared" si="10"/>
        <v>662.97978693839787</v>
      </c>
    </row>
    <row r="258" spans="1:19" ht="18" customHeight="1">
      <c r="A258" s="9">
        <v>38231</v>
      </c>
      <c r="B258" s="3">
        <v>1.08</v>
      </c>
      <c r="C258" s="30" t="str">
        <f t="shared" si="9"/>
        <v/>
      </c>
      <c r="D258" s="41" t="str">
        <f t="shared" si="11"/>
        <v/>
      </c>
      <c r="E258" s="16">
        <v>835.09</v>
      </c>
      <c r="F258" s="16">
        <v>107.69</v>
      </c>
      <c r="G258" s="21">
        <v>23.73</v>
      </c>
      <c r="H258" s="28">
        <f t="shared" si="12"/>
        <v>580.88354280166141</v>
      </c>
      <c r="I258" s="14">
        <v>362.08</v>
      </c>
      <c r="J258" s="28">
        <f t="shared" si="10"/>
        <v>672.33845298749463</v>
      </c>
    </row>
    <row r="259" spans="1:19" ht="18" customHeight="1">
      <c r="A259" s="9">
        <v>38200</v>
      </c>
      <c r="B259" s="3">
        <v>1.03</v>
      </c>
      <c r="C259" s="30" t="str">
        <f t="shared" si="9"/>
        <v/>
      </c>
      <c r="D259" s="41" t="str">
        <f t="shared" si="11"/>
        <v/>
      </c>
      <c r="E259" s="16">
        <v>803.57</v>
      </c>
      <c r="F259" s="16">
        <v>102.89</v>
      </c>
      <c r="G259" s="21">
        <v>22.76</v>
      </c>
      <c r="H259" s="28">
        <f t="shared" si="12"/>
        <v>554.99217865041271</v>
      </c>
      <c r="I259" s="14">
        <v>355.66</v>
      </c>
      <c r="J259" s="28">
        <f t="shared" si="10"/>
        <v>660.41729504400234</v>
      </c>
    </row>
    <row r="260" spans="1:19" ht="18" customHeight="1">
      <c r="A260" s="9">
        <v>38169</v>
      </c>
      <c r="B260" s="3">
        <v>0.96</v>
      </c>
      <c r="C260" s="30" t="str">
        <f t="shared" ref="C260:C323" si="13">IF(B260&lt;=C$1, "Risk", "")</f>
        <v/>
      </c>
      <c r="D260" s="41" t="str">
        <f t="shared" si="11"/>
        <v/>
      </c>
      <c r="E260" s="16">
        <v>735.34</v>
      </c>
      <c r="F260" s="16">
        <v>95.27</v>
      </c>
      <c r="G260" s="21">
        <v>28.62</v>
      </c>
      <c r="H260" s="28">
        <f t="shared" si="12"/>
        <v>513.8896380603054</v>
      </c>
      <c r="I260" s="14">
        <v>331.21</v>
      </c>
      <c r="J260" s="28">
        <f t="shared" ref="J260:J265" si="14">(I260/I259)*J259</f>
        <v>615.01662343677663</v>
      </c>
    </row>
    <row r="261" spans="1:19" ht="18" customHeight="1">
      <c r="A261" s="9">
        <v>38139</v>
      </c>
      <c r="B261" s="3">
        <v>1.01</v>
      </c>
      <c r="C261" s="30" t="str">
        <f t="shared" si="13"/>
        <v/>
      </c>
      <c r="D261" s="41" t="str">
        <f t="shared" ref="D261:D324" si="15">IF(B261&lt;=D$1, "Risk", "")</f>
        <v/>
      </c>
      <c r="E261" s="16">
        <v>785.79</v>
      </c>
      <c r="F261" s="16">
        <v>101.85</v>
      </c>
      <c r="G261" s="21">
        <v>32.36</v>
      </c>
      <c r="H261" s="28">
        <f t="shared" si="12"/>
        <v>549.38238308430891</v>
      </c>
      <c r="I261" s="14">
        <v>385.18</v>
      </c>
      <c r="J261" s="28">
        <f t="shared" si="14"/>
        <v>715.23233904585504</v>
      </c>
    </row>
    <row r="262" spans="1:19" ht="18" customHeight="1">
      <c r="A262" s="9">
        <v>38108</v>
      </c>
      <c r="B262" s="3">
        <v>1.02</v>
      </c>
      <c r="C262" s="30" t="str">
        <f t="shared" si="13"/>
        <v/>
      </c>
      <c r="D262" s="41" t="str">
        <f t="shared" si="15"/>
        <v/>
      </c>
      <c r="E262" s="16">
        <v>803.84</v>
      </c>
      <c r="F262" s="16">
        <v>104.14</v>
      </c>
      <c r="G262" s="21">
        <v>30.14</v>
      </c>
      <c r="H262" s="28">
        <f t="shared" si="12"/>
        <v>561.73472139813396</v>
      </c>
      <c r="I262" s="14">
        <v>400.92</v>
      </c>
      <c r="J262" s="28">
        <f t="shared" si="14"/>
        <v>744.45960166743907</v>
      </c>
    </row>
    <row r="263" spans="1:19" ht="18" customHeight="1">
      <c r="A263" s="9">
        <v>38078</v>
      </c>
      <c r="B263" s="3">
        <v>1.1000000000000001</v>
      </c>
      <c r="C263" s="30" t="str">
        <f t="shared" si="13"/>
        <v/>
      </c>
      <c r="D263" s="41" t="str">
        <f t="shared" si="15"/>
        <v/>
      </c>
      <c r="E263" s="16">
        <v>862.84</v>
      </c>
      <c r="F263" s="16">
        <v>112.4</v>
      </c>
      <c r="G263" s="21">
        <v>24.47</v>
      </c>
      <c r="H263" s="28">
        <f t="shared" si="12"/>
        <v>606.28944387507454</v>
      </c>
      <c r="I263" s="14">
        <v>453.47</v>
      </c>
      <c r="J263" s="28">
        <f t="shared" si="14"/>
        <v>842.03855025474809</v>
      </c>
      <c r="S263" s="32"/>
    </row>
    <row r="264" spans="1:19" ht="18" customHeight="1">
      <c r="A264" s="9">
        <v>38047</v>
      </c>
      <c r="B264" s="3">
        <v>1.1100000000000001</v>
      </c>
      <c r="C264" s="30" t="str">
        <f t="shared" si="13"/>
        <v/>
      </c>
      <c r="D264" s="41" t="str">
        <f t="shared" si="15"/>
        <v/>
      </c>
      <c r="E264" s="16">
        <v>880.5</v>
      </c>
      <c r="F264" s="16">
        <v>115.98</v>
      </c>
      <c r="G264" s="21">
        <v>24.66</v>
      </c>
      <c r="H264" s="28">
        <f t="shared" si="12"/>
        <v>625.60008630454752</v>
      </c>
      <c r="I264" s="14">
        <v>434.16</v>
      </c>
      <c r="J264" s="28">
        <f t="shared" si="14"/>
        <v>806.18223251505378</v>
      </c>
      <c r="R264" s="32"/>
      <c r="S264" s="32"/>
    </row>
    <row r="265" spans="1:19" ht="18" customHeight="1">
      <c r="A265" s="9">
        <v>38018</v>
      </c>
      <c r="B265" s="3">
        <v>1.08</v>
      </c>
      <c r="C265" s="30" t="str">
        <f t="shared" si="13"/>
        <v/>
      </c>
      <c r="D265" s="41" t="str">
        <f t="shared" si="15"/>
        <v/>
      </c>
      <c r="E265" s="16">
        <v>883.42</v>
      </c>
      <c r="F265" s="16">
        <v>115.92</v>
      </c>
      <c r="G265" s="21">
        <v>19.95</v>
      </c>
      <c r="H265" s="28">
        <f t="shared" si="12"/>
        <v>625.27644425265692</v>
      </c>
      <c r="I265" s="14">
        <v>428.68</v>
      </c>
      <c r="J265" s="28">
        <f t="shared" si="14"/>
        <v>796.00654006484535</v>
      </c>
      <c r="Q265" s="33"/>
      <c r="R265" s="32"/>
      <c r="S265" s="32"/>
    </row>
    <row r="266" spans="1:19" ht="18" customHeight="1">
      <c r="A266" s="9">
        <v>37987</v>
      </c>
      <c r="B266" s="3">
        <v>1.07</v>
      </c>
      <c r="C266" s="30" t="str">
        <f t="shared" si="13"/>
        <v/>
      </c>
      <c r="D266" s="41" t="str">
        <f t="shared" si="15"/>
        <v/>
      </c>
      <c r="E266" s="16">
        <v>848.5</v>
      </c>
      <c r="F266" s="16">
        <v>110.89</v>
      </c>
      <c r="G266" s="21">
        <v>21.23</v>
      </c>
      <c r="H266" s="28">
        <f t="shared" si="12"/>
        <v>598.14445223582754</v>
      </c>
      <c r="I266" s="14">
        <v>441.45</v>
      </c>
      <c r="J266" s="28">
        <f>(I266/I265)*J265</f>
        <v>819.71887447892595</v>
      </c>
      <c r="P266" s="33"/>
      <c r="Q266" s="33"/>
      <c r="R266" s="32"/>
      <c r="S266" s="32"/>
    </row>
    <row r="267" spans="1:19" ht="18" customHeight="1">
      <c r="A267" s="9">
        <v>37956</v>
      </c>
      <c r="B267" s="4">
        <v>1.02</v>
      </c>
      <c r="C267" s="30" t="str">
        <f t="shared" si="13"/>
        <v/>
      </c>
      <c r="D267" s="41" t="str">
        <f t="shared" si="15"/>
        <v/>
      </c>
      <c r="E267" s="17">
        <v>811</v>
      </c>
      <c r="F267" s="27">
        <v>105.21</v>
      </c>
      <c r="G267" s="17">
        <v>22.5</v>
      </c>
      <c r="H267" s="28">
        <f t="shared" si="12"/>
        <v>567.50633799018317</v>
      </c>
      <c r="I267" s="29">
        <f>(E267/E266)*I266</f>
        <v>421.93983500294632</v>
      </c>
      <c r="J267" s="29">
        <f>(H267/H266)*J266</f>
        <v>777.73129032309305</v>
      </c>
      <c r="O267" s="33"/>
      <c r="P267" s="33"/>
      <c r="Q267" s="33"/>
      <c r="R267" s="32"/>
      <c r="S267" s="32"/>
    </row>
    <row r="268" spans="1:19" ht="18" customHeight="1">
      <c r="A268" s="9">
        <v>37926</v>
      </c>
      <c r="B268" s="4">
        <v>1.01</v>
      </c>
      <c r="C268" s="30" t="str">
        <f t="shared" si="13"/>
        <v/>
      </c>
      <c r="D268" s="41" t="str">
        <f t="shared" si="15"/>
        <v/>
      </c>
      <c r="E268" s="17">
        <v>796</v>
      </c>
      <c r="F268" s="27">
        <v>103.61</v>
      </c>
      <c r="G268" s="17">
        <v>25.4</v>
      </c>
      <c r="H268" s="28">
        <f t="shared" si="12"/>
        <v>558.87588327310027</v>
      </c>
      <c r="I268" s="29">
        <f t="shared" ref="I268:I326" si="16">(E268/E267)*I267</f>
        <v>414.13576900412488</v>
      </c>
      <c r="J268" s="29">
        <f t="shared" ref="J268:J326" si="17">(H268/H267)*J267</f>
        <v>765.90380182849231</v>
      </c>
      <c r="N268" s="33"/>
      <c r="O268" s="33"/>
      <c r="P268" s="33"/>
      <c r="Q268" s="33"/>
      <c r="R268" s="32"/>
      <c r="S268" s="32"/>
    </row>
    <row r="269" spans="1:19" ht="18" customHeight="1">
      <c r="A269" s="9">
        <v>37895</v>
      </c>
      <c r="B269" s="7">
        <v>0.99</v>
      </c>
      <c r="C269" s="30" t="str">
        <f t="shared" si="13"/>
        <v/>
      </c>
      <c r="D269" s="41" t="str">
        <f t="shared" si="15"/>
        <v/>
      </c>
      <c r="E269" s="18">
        <v>782</v>
      </c>
      <c r="F269" s="27">
        <v>101.44</v>
      </c>
      <c r="G269" s="18">
        <v>28.3</v>
      </c>
      <c r="H269" s="28">
        <f t="shared" si="12"/>
        <v>547.17082906305654</v>
      </c>
      <c r="I269" s="29">
        <f t="shared" si="16"/>
        <v>406.8519740718915</v>
      </c>
      <c r="J269" s="29">
        <f t="shared" si="17"/>
        <v>749.86277055768994</v>
      </c>
      <c r="M269" s="33"/>
      <c r="N269" s="33"/>
      <c r="O269" s="33"/>
      <c r="P269" s="33"/>
      <c r="Q269" s="33"/>
      <c r="R269" s="32"/>
      <c r="S269" s="32"/>
    </row>
    <row r="270" spans="1:19" ht="18" customHeight="1">
      <c r="A270" s="9">
        <v>37865</v>
      </c>
      <c r="B270" s="7">
        <v>0.89</v>
      </c>
      <c r="C270" s="30" t="str">
        <f t="shared" si="13"/>
        <v/>
      </c>
      <c r="D270" s="41" t="str">
        <f t="shared" si="15"/>
        <v/>
      </c>
      <c r="E270" s="18">
        <v>698</v>
      </c>
      <c r="F270" s="27">
        <v>89.55</v>
      </c>
      <c r="G270" s="18">
        <v>27</v>
      </c>
      <c r="H270" s="28">
        <f t="shared" si="12"/>
        <v>483.03576244673417</v>
      </c>
      <c r="I270" s="29">
        <f t="shared" si="16"/>
        <v>363.14920447849141</v>
      </c>
      <c r="J270" s="29">
        <f t="shared" si="17"/>
        <v>661.96974668218786</v>
      </c>
      <c r="L270" s="33"/>
      <c r="M270" s="33"/>
      <c r="N270" s="33"/>
      <c r="O270" s="33"/>
      <c r="P270" s="33"/>
      <c r="Q270" s="33"/>
      <c r="R270" s="32"/>
      <c r="S270" s="32"/>
    </row>
    <row r="271" spans="1:19" ht="18" customHeight="1">
      <c r="A271" s="9">
        <v>37834</v>
      </c>
      <c r="B271" s="7">
        <v>0.96</v>
      </c>
      <c r="C271" s="30" t="str">
        <f t="shared" si="13"/>
        <v/>
      </c>
      <c r="D271" s="41" t="str">
        <f t="shared" si="15"/>
        <v/>
      </c>
      <c r="E271" s="18">
        <v>759</v>
      </c>
      <c r="F271" s="27">
        <v>97.59</v>
      </c>
      <c r="G271" s="18">
        <v>20.8</v>
      </c>
      <c r="H271" s="28">
        <f t="shared" si="12"/>
        <v>526.40379740007586</v>
      </c>
      <c r="I271" s="29">
        <f t="shared" si="16"/>
        <v>394.88573954036531</v>
      </c>
      <c r="J271" s="29">
        <f t="shared" si="17"/>
        <v>721.40287636755693</v>
      </c>
      <c r="K271" s="33"/>
      <c r="L271" s="33"/>
      <c r="M271" s="33"/>
      <c r="N271" s="33"/>
      <c r="O271" s="33"/>
      <c r="P271" s="33"/>
      <c r="Q271" s="33"/>
      <c r="R271" s="32"/>
      <c r="S271" s="32"/>
    </row>
    <row r="272" spans="1:19" ht="18" customHeight="1">
      <c r="A272" s="9">
        <v>37803</v>
      </c>
      <c r="B272" s="7">
        <v>0.9</v>
      </c>
      <c r="C272" s="30" t="str">
        <f t="shared" si="13"/>
        <v/>
      </c>
      <c r="D272" s="41" t="str">
        <f t="shared" si="15"/>
        <v/>
      </c>
      <c r="E272" s="18">
        <v>714</v>
      </c>
      <c r="F272" s="27">
        <v>91.52</v>
      </c>
      <c r="G272" s="18">
        <v>25.5</v>
      </c>
      <c r="H272" s="28">
        <f>(F272/F271)*H271</f>
        <v>493.66200981714252</v>
      </c>
      <c r="I272" s="29">
        <f t="shared" si="16"/>
        <v>371.47354154390098</v>
      </c>
      <c r="J272" s="29">
        <f t="shared" si="17"/>
        <v>676.53234189116506</v>
      </c>
      <c r="K272" s="33"/>
      <c r="L272" s="33"/>
      <c r="M272" s="33"/>
      <c r="N272" s="33"/>
      <c r="O272" s="33"/>
      <c r="P272" s="33"/>
      <c r="Q272" s="33"/>
      <c r="R272" s="32"/>
      <c r="S272" s="32"/>
    </row>
    <row r="273" spans="1:19" ht="18" customHeight="1">
      <c r="A273" s="9">
        <v>37773</v>
      </c>
      <c r="B273" s="7">
        <v>0.84</v>
      </c>
      <c r="C273" s="30" t="str">
        <f t="shared" si="13"/>
        <v>Risk</v>
      </c>
      <c r="D273" s="41" t="str">
        <f t="shared" si="15"/>
        <v/>
      </c>
      <c r="E273" s="18">
        <v>670</v>
      </c>
      <c r="F273" s="27">
        <v>85.47</v>
      </c>
      <c r="G273" s="18">
        <v>28.3</v>
      </c>
      <c r="H273" s="28">
        <f t="shared" ref="H273:H326" si="18">(F273/F272)*H272</f>
        <v>461.02810291817281</v>
      </c>
      <c r="I273" s="29">
        <f t="shared" si="16"/>
        <v>348.58161461402472</v>
      </c>
      <c r="J273" s="29">
        <f t="shared" si="17"/>
        <v>631.80965102095593</v>
      </c>
      <c r="K273" s="33"/>
      <c r="L273" s="33"/>
      <c r="M273" s="33"/>
      <c r="N273" s="33"/>
      <c r="O273" s="33"/>
      <c r="P273" s="33"/>
      <c r="Q273" s="33"/>
      <c r="R273" s="32"/>
      <c r="S273" s="32"/>
    </row>
    <row r="274" spans="1:19" ht="18" customHeight="1">
      <c r="A274" s="9">
        <v>37742</v>
      </c>
      <c r="B274" s="7">
        <v>0.79</v>
      </c>
      <c r="C274" s="30" t="str">
        <f t="shared" si="13"/>
        <v>Risk</v>
      </c>
      <c r="D274" s="41" t="str">
        <f t="shared" si="15"/>
        <v>Risk</v>
      </c>
      <c r="E274" s="18">
        <v>633</v>
      </c>
      <c r="F274" s="27">
        <v>80.53</v>
      </c>
      <c r="G274" s="18">
        <v>32.4</v>
      </c>
      <c r="H274" s="28">
        <f t="shared" si="18"/>
        <v>434.38157397917934</v>
      </c>
      <c r="I274" s="29">
        <f t="shared" si="16"/>
        <v>329.33158515026514</v>
      </c>
      <c r="J274" s="29">
        <f t="shared" si="17"/>
        <v>595.29228029387593</v>
      </c>
      <c r="K274" s="33"/>
      <c r="L274" s="33"/>
      <c r="M274" s="33"/>
      <c r="N274" s="33"/>
      <c r="O274" s="33"/>
      <c r="P274" s="33"/>
      <c r="Q274" s="33"/>
      <c r="R274" s="32"/>
      <c r="S274" s="32"/>
    </row>
    <row r="275" spans="1:19" ht="18" customHeight="1">
      <c r="A275" s="9">
        <v>37712</v>
      </c>
      <c r="B275" s="4">
        <v>0.76</v>
      </c>
      <c r="C275" s="30" t="str">
        <f t="shared" si="13"/>
        <v>Risk</v>
      </c>
      <c r="D275" s="41" t="str">
        <f t="shared" si="15"/>
        <v>Risk</v>
      </c>
      <c r="E275" s="17">
        <v>599</v>
      </c>
      <c r="F275" s="27">
        <v>76.45</v>
      </c>
      <c r="G275" s="17">
        <v>34.5</v>
      </c>
      <c r="H275" s="28">
        <f t="shared" si="18"/>
        <v>412.37391445061792</v>
      </c>
      <c r="I275" s="29">
        <f t="shared" si="16"/>
        <v>311.64236888626982</v>
      </c>
      <c r="J275" s="29">
        <f t="shared" si="17"/>
        <v>565.13218463264388</v>
      </c>
      <c r="K275" s="35">
        <f>1+(($H271/$H275)-1)*2</f>
        <v>1.5530412034009156</v>
      </c>
      <c r="L275" s="35">
        <f>1+(($H270/$H275)-1)*2</f>
        <v>1.3427076520601697</v>
      </c>
      <c r="M275" s="35">
        <f>1+(($H269/$H275)-1)*2</f>
        <v>1.6537606278613466</v>
      </c>
      <c r="N275" s="35">
        <f>1+(($H268/$H275)-1)*2</f>
        <v>1.7105297580117718</v>
      </c>
      <c r="O275" s="35">
        <f>1+(($H267/$H275)-1)*2</f>
        <v>1.7523871811641589</v>
      </c>
      <c r="P275" s="35">
        <f>1+(($H266/$H275)-1)*2</f>
        <v>1.9009810333551336</v>
      </c>
      <c r="Q275" s="35">
        <f>1+(($H265/$H275)-1)*2</f>
        <v>2.0325703073904506</v>
      </c>
      <c r="R275" s="35">
        <f>1+(($H264/$H275)-1)*2</f>
        <v>2.0341399607586652</v>
      </c>
      <c r="S275" s="35">
        <f>1+(($H263/$H275)-1)*2</f>
        <v>1.9404839764551993</v>
      </c>
    </row>
    <row r="276" spans="1:19" ht="18" customHeight="1">
      <c r="A276" s="9">
        <v>37681</v>
      </c>
      <c r="B276" s="4">
        <v>0.89</v>
      </c>
      <c r="C276" s="30" t="str">
        <f t="shared" si="13"/>
        <v/>
      </c>
      <c r="D276" s="41" t="str">
        <f t="shared" si="15"/>
        <v/>
      </c>
      <c r="E276" s="17">
        <v>536</v>
      </c>
      <c r="F276" s="27">
        <v>68.05</v>
      </c>
      <c r="G276" s="17">
        <v>41</v>
      </c>
      <c r="H276" s="28">
        <f t="shared" si="18"/>
        <v>367.06402718593262</v>
      </c>
      <c r="I276" s="29">
        <f t="shared" si="16"/>
        <v>278.86529169121974</v>
      </c>
      <c r="J276" s="29">
        <f t="shared" si="17"/>
        <v>503.03787003598973</v>
      </c>
    </row>
    <row r="277" spans="1:19" ht="18" customHeight="1">
      <c r="A277" s="9">
        <v>37653</v>
      </c>
      <c r="B277" s="4">
        <v>0.96</v>
      </c>
      <c r="C277" s="30" t="str">
        <f t="shared" si="13"/>
        <v/>
      </c>
      <c r="D277" s="41" t="str">
        <f t="shared" si="15"/>
        <v/>
      </c>
      <c r="E277" s="17">
        <v>575</v>
      </c>
      <c r="F277" s="27">
        <v>72.849999999999994</v>
      </c>
      <c r="G277" s="17">
        <v>35.5</v>
      </c>
      <c r="H277" s="28">
        <f t="shared" si="18"/>
        <v>392.95539133718131</v>
      </c>
      <c r="I277" s="29">
        <f t="shared" si="16"/>
        <v>299.1558632881555</v>
      </c>
      <c r="J277" s="29">
        <f t="shared" si="17"/>
        <v>538.52033551979207</v>
      </c>
    </row>
    <row r="278" spans="1:19" ht="18" customHeight="1">
      <c r="A278" s="9">
        <v>37622</v>
      </c>
      <c r="B278" s="4">
        <v>0.98</v>
      </c>
      <c r="C278" s="30" t="str">
        <f t="shared" si="13"/>
        <v/>
      </c>
      <c r="D278" s="41" t="str">
        <f t="shared" si="15"/>
        <v/>
      </c>
      <c r="E278" s="17">
        <v>592</v>
      </c>
      <c r="F278" s="27">
        <v>75.22</v>
      </c>
      <c r="G278" s="17">
        <v>35.9</v>
      </c>
      <c r="H278" s="28">
        <f t="shared" si="18"/>
        <v>405.73925238686036</v>
      </c>
      <c r="I278" s="29">
        <f t="shared" si="16"/>
        <v>308.00047142015313</v>
      </c>
      <c r="J278" s="29">
        <f t="shared" si="17"/>
        <v>556.03980285241948</v>
      </c>
    </row>
    <row r="279" spans="1:19" ht="18" customHeight="1">
      <c r="A279" s="9">
        <v>37591</v>
      </c>
      <c r="B279" s="4">
        <v>1.05</v>
      </c>
      <c r="C279" s="30" t="str">
        <f t="shared" si="13"/>
        <v/>
      </c>
      <c r="D279" s="41" t="str">
        <f t="shared" si="15"/>
        <v/>
      </c>
      <c r="E279" s="17">
        <v>628</v>
      </c>
      <c r="F279" s="27">
        <v>79.87</v>
      </c>
      <c r="G279" s="17">
        <v>35.6</v>
      </c>
      <c r="H279" s="28">
        <f t="shared" si="18"/>
        <v>430.82151140838261</v>
      </c>
      <c r="I279" s="29">
        <f t="shared" si="16"/>
        <v>326.73022981732458</v>
      </c>
      <c r="J279" s="29">
        <f t="shared" si="17"/>
        <v>590.41344128985304</v>
      </c>
    </row>
    <row r="280" spans="1:19" ht="18" customHeight="1">
      <c r="A280" s="9">
        <v>37561</v>
      </c>
      <c r="B280" s="4">
        <v>1.19</v>
      </c>
      <c r="C280" s="30" t="str">
        <f t="shared" si="13"/>
        <v/>
      </c>
      <c r="D280" s="41" t="str">
        <f t="shared" si="15"/>
        <v/>
      </c>
      <c r="E280" s="17">
        <v>725</v>
      </c>
      <c r="F280" s="27">
        <v>92.05</v>
      </c>
      <c r="G280" s="17">
        <v>40.9</v>
      </c>
      <c r="H280" s="28">
        <f t="shared" si="18"/>
        <v>496.5208479421762</v>
      </c>
      <c r="I280" s="29">
        <f t="shared" si="16"/>
        <v>377.19652327636993</v>
      </c>
      <c r="J280" s="29">
        <f t="shared" si="17"/>
        <v>680.45019745500144</v>
      </c>
    </row>
    <row r="281" spans="1:19" ht="18" customHeight="1">
      <c r="A281" s="9">
        <v>37530</v>
      </c>
      <c r="B281" s="4">
        <v>1.08</v>
      </c>
      <c r="C281" s="30" t="str">
        <f t="shared" si="13"/>
        <v/>
      </c>
      <c r="D281" s="41" t="str">
        <f t="shared" si="15"/>
        <v/>
      </c>
      <c r="E281" s="17">
        <v>659</v>
      </c>
      <c r="F281" s="27">
        <v>83.1</v>
      </c>
      <c r="G281" s="17">
        <v>40.9</v>
      </c>
      <c r="H281" s="28">
        <f t="shared" si="18"/>
        <v>448.2442418684937</v>
      </c>
      <c r="I281" s="29">
        <f t="shared" si="16"/>
        <v>342.85863288155554</v>
      </c>
      <c r="J281" s="29">
        <f t="shared" si="17"/>
        <v>614.29018368832828</v>
      </c>
    </row>
    <row r="282" spans="1:19" ht="18" customHeight="1">
      <c r="A282" s="9">
        <v>37500</v>
      </c>
      <c r="B282" s="4">
        <v>1.06</v>
      </c>
      <c r="C282" s="30" t="str">
        <f t="shared" si="13"/>
        <v/>
      </c>
      <c r="D282" s="41" t="str">
        <f t="shared" si="15"/>
        <v/>
      </c>
      <c r="E282" s="17">
        <v>646</v>
      </c>
      <c r="F282" s="27">
        <v>81.37</v>
      </c>
      <c r="G282" s="22">
        <v>40</v>
      </c>
      <c r="H282" s="28">
        <f t="shared" si="18"/>
        <v>438.91256270564787</v>
      </c>
      <c r="I282" s="29">
        <f t="shared" si="16"/>
        <v>336.09510901591028</v>
      </c>
      <c r="J282" s="29">
        <f t="shared" si="17"/>
        <v>601.50171175354126</v>
      </c>
      <c r="S282" s="32"/>
    </row>
    <row r="283" spans="1:19" ht="18" customHeight="1">
      <c r="A283" s="9">
        <v>37469</v>
      </c>
      <c r="B283" s="4">
        <v>1.2</v>
      </c>
      <c r="C283" s="30" t="str">
        <f t="shared" si="13"/>
        <v/>
      </c>
      <c r="D283" s="41" t="str">
        <f t="shared" si="15"/>
        <v/>
      </c>
      <c r="E283" s="17">
        <v>736</v>
      </c>
      <c r="F283" s="27">
        <v>92.55</v>
      </c>
      <c r="G283" s="22">
        <v>40</v>
      </c>
      <c r="H283" s="28">
        <f t="shared" si="18"/>
        <v>499.2178650412647</v>
      </c>
      <c r="I283" s="29">
        <f t="shared" si="16"/>
        <v>382.919505008839</v>
      </c>
      <c r="J283" s="29">
        <f t="shared" si="17"/>
        <v>684.1462876095643</v>
      </c>
      <c r="R283" s="32"/>
      <c r="S283" s="32"/>
    </row>
    <row r="284" spans="1:19" ht="18" customHeight="1">
      <c r="A284" s="9">
        <v>37438</v>
      </c>
      <c r="B284" s="4">
        <v>1.1599999999999999</v>
      </c>
      <c r="C284" s="30" t="str">
        <f t="shared" si="13"/>
        <v/>
      </c>
      <c r="D284" s="41" t="str">
        <f t="shared" si="15"/>
        <v/>
      </c>
      <c r="E284" s="17">
        <v>718</v>
      </c>
      <c r="F284" s="27">
        <v>90.16</v>
      </c>
      <c r="G284" s="22">
        <v>35</v>
      </c>
      <c r="H284" s="28">
        <f t="shared" si="18"/>
        <v>486.32612330762208</v>
      </c>
      <c r="I284" s="29">
        <f t="shared" si="16"/>
        <v>373.55462581025324</v>
      </c>
      <c r="J284" s="29">
        <f t="shared" si="17"/>
        <v>666.47897667075438</v>
      </c>
      <c r="Q284" s="33"/>
      <c r="R284" s="32"/>
      <c r="S284" s="32"/>
    </row>
    <row r="285" spans="1:19" ht="18" customHeight="1">
      <c r="A285" s="9">
        <v>37408</v>
      </c>
      <c r="B285" s="4">
        <v>1.21</v>
      </c>
      <c r="C285" s="30" t="str">
        <f t="shared" si="13"/>
        <v/>
      </c>
      <c r="D285" s="41" t="str">
        <f t="shared" si="15"/>
        <v/>
      </c>
      <c r="E285" s="17">
        <v>743</v>
      </c>
      <c r="F285" s="27">
        <v>93.69</v>
      </c>
      <c r="G285" s="22">
        <v>40</v>
      </c>
      <c r="H285" s="28">
        <f t="shared" si="18"/>
        <v>505.36706402718625</v>
      </c>
      <c r="I285" s="29">
        <f t="shared" si="16"/>
        <v>386.56140247495563</v>
      </c>
      <c r="J285" s="29">
        <f t="shared" si="17"/>
        <v>692.57337316196742</v>
      </c>
      <c r="P285" s="33"/>
      <c r="Q285" s="33"/>
      <c r="R285" s="32"/>
      <c r="S285" s="32"/>
    </row>
    <row r="286" spans="1:19" ht="18" customHeight="1">
      <c r="A286" s="9">
        <v>37377</v>
      </c>
      <c r="B286" s="4">
        <v>1.34</v>
      </c>
      <c r="C286" s="30" t="str">
        <f t="shared" si="13"/>
        <v/>
      </c>
      <c r="D286" s="41" t="str">
        <f t="shared" si="15"/>
        <v/>
      </c>
      <c r="E286" s="17">
        <v>796</v>
      </c>
      <c r="F286" s="27">
        <v>100.8</v>
      </c>
      <c r="G286" s="22">
        <v>35</v>
      </c>
      <c r="H286" s="28">
        <f t="shared" si="18"/>
        <v>543.71864717622339</v>
      </c>
      <c r="I286" s="29">
        <f t="shared" si="16"/>
        <v>414.13576900412471</v>
      </c>
      <c r="J286" s="29">
        <f t="shared" si="17"/>
        <v>745.13177515984967</v>
      </c>
      <c r="O286" s="33"/>
      <c r="P286" s="33"/>
      <c r="Q286" s="33"/>
      <c r="R286" s="32"/>
      <c r="S286" s="32"/>
    </row>
    <row r="287" spans="1:19" ht="18" customHeight="1">
      <c r="A287" s="9">
        <v>37347</v>
      </c>
      <c r="B287" s="4">
        <v>1.4</v>
      </c>
      <c r="C287" s="30" t="str">
        <f t="shared" si="13"/>
        <v/>
      </c>
      <c r="D287" s="41" t="str">
        <f t="shared" si="15"/>
        <v/>
      </c>
      <c r="E287" s="17">
        <v>842</v>
      </c>
      <c r="F287" s="27">
        <v>106.39</v>
      </c>
      <c r="G287" s="22">
        <v>32</v>
      </c>
      <c r="H287" s="28">
        <f t="shared" si="18"/>
        <v>573.87129834403186</v>
      </c>
      <c r="I287" s="29">
        <f t="shared" si="16"/>
        <v>438.06823806717716</v>
      </c>
      <c r="J287" s="29">
        <f t="shared" si="17"/>
        <v>786.4540630878613</v>
      </c>
      <c r="N287" s="33"/>
      <c r="O287" s="33"/>
      <c r="P287" s="33"/>
      <c r="Q287" s="33"/>
      <c r="R287" s="32"/>
      <c r="S287" s="32"/>
    </row>
    <row r="288" spans="1:19" ht="18" customHeight="1">
      <c r="A288" s="9">
        <v>37316</v>
      </c>
      <c r="B288" s="7">
        <v>1.49</v>
      </c>
      <c r="C288" s="30" t="str">
        <f t="shared" si="13"/>
        <v/>
      </c>
      <c r="D288" s="41" t="str">
        <f t="shared" si="15"/>
        <v/>
      </c>
      <c r="E288" s="18">
        <v>896</v>
      </c>
      <c r="F288" s="27">
        <v>111.84</v>
      </c>
      <c r="G288" s="23">
        <v>15</v>
      </c>
      <c r="H288" s="28">
        <f t="shared" si="18"/>
        <v>603.26878472409555</v>
      </c>
      <c r="I288" s="29">
        <f t="shared" si="16"/>
        <v>466.16287566293437</v>
      </c>
      <c r="J288" s="29">
        <f t="shared" si="17"/>
        <v>826.74144577259528</v>
      </c>
      <c r="M288" s="33"/>
      <c r="N288" s="33"/>
      <c r="O288" s="33"/>
      <c r="P288" s="33"/>
      <c r="Q288" s="33"/>
      <c r="R288" s="32"/>
      <c r="S288" s="32"/>
    </row>
    <row r="289" spans="1:19" ht="18" customHeight="1">
      <c r="A289" s="9">
        <v>37288</v>
      </c>
      <c r="B289" s="7">
        <v>1.363</v>
      </c>
      <c r="C289" s="30" t="str">
        <f t="shared" si="13"/>
        <v/>
      </c>
      <c r="D289" s="41" t="str">
        <f t="shared" si="15"/>
        <v/>
      </c>
      <c r="E289" s="18">
        <v>820</v>
      </c>
      <c r="F289" s="27">
        <v>102.62</v>
      </c>
      <c r="G289" s="23">
        <v>15</v>
      </c>
      <c r="H289" s="28">
        <f t="shared" si="18"/>
        <v>553.53578941690523</v>
      </c>
      <c r="I289" s="29">
        <f t="shared" si="16"/>
        <v>426.62227460223903</v>
      </c>
      <c r="J289" s="29">
        <f t="shared" si="17"/>
        <v>758.58554332245808</v>
      </c>
      <c r="L289" s="33"/>
      <c r="M289" s="33"/>
      <c r="N289" s="33"/>
      <c r="O289" s="33"/>
      <c r="P289" s="33"/>
      <c r="Q289" s="33"/>
      <c r="R289" s="32"/>
      <c r="S289" s="32"/>
    </row>
    <row r="290" spans="1:19" ht="18" customHeight="1">
      <c r="A290" s="9">
        <v>37257</v>
      </c>
      <c r="B290" s="7">
        <v>1.244</v>
      </c>
      <c r="C290" s="30" t="str">
        <f t="shared" si="13"/>
        <v/>
      </c>
      <c r="D290" s="41" t="str">
        <f t="shared" si="15"/>
        <v/>
      </c>
      <c r="E290" s="18">
        <v>748</v>
      </c>
      <c r="F290" s="27">
        <v>92.99</v>
      </c>
      <c r="G290" s="23">
        <v>15</v>
      </c>
      <c r="H290" s="28">
        <f t="shared" si="18"/>
        <v>501.59124008846243</v>
      </c>
      <c r="I290" s="29">
        <f t="shared" si="16"/>
        <v>389.16275780789613</v>
      </c>
      <c r="J290" s="29">
        <f t="shared" si="17"/>
        <v>687.39884694557952</v>
      </c>
      <c r="K290" s="33"/>
      <c r="L290" s="33"/>
      <c r="M290" s="33"/>
      <c r="N290" s="33"/>
      <c r="O290" s="33"/>
      <c r="P290" s="33"/>
      <c r="Q290" s="33"/>
      <c r="R290" s="32"/>
      <c r="S290" s="32"/>
    </row>
    <row r="291" spans="1:19" ht="18" customHeight="1">
      <c r="A291" s="9">
        <v>37226</v>
      </c>
      <c r="B291" s="7">
        <v>1.1539999999999999</v>
      </c>
      <c r="C291" s="30" t="str">
        <f t="shared" si="13"/>
        <v/>
      </c>
      <c r="D291" s="41" t="str">
        <f t="shared" si="15"/>
        <v/>
      </c>
      <c r="E291" s="18">
        <v>694</v>
      </c>
      <c r="F291" s="27">
        <v>86.97</v>
      </c>
      <c r="G291" s="23">
        <v>15</v>
      </c>
      <c r="H291" s="28">
        <f t="shared" si="18"/>
        <v>469.11915421543796</v>
      </c>
      <c r="I291" s="29">
        <f t="shared" si="16"/>
        <v>361.06812021213892</v>
      </c>
      <c r="J291" s="29">
        <f t="shared" si="17"/>
        <v>642.89792148464403</v>
      </c>
      <c r="K291" s="33"/>
      <c r="L291" s="33"/>
      <c r="M291" s="33"/>
      <c r="N291" s="33"/>
      <c r="O291" s="33"/>
      <c r="P291" s="33"/>
      <c r="Q291" s="33"/>
      <c r="R291" s="32"/>
      <c r="S291" s="32"/>
    </row>
    <row r="292" spans="1:19" ht="18" customHeight="1">
      <c r="A292" s="9">
        <v>37196</v>
      </c>
      <c r="B292" s="7">
        <v>1.071</v>
      </c>
      <c r="C292" s="30" t="str">
        <f t="shared" si="13"/>
        <v/>
      </c>
      <c r="D292" s="41" t="str">
        <f t="shared" si="15"/>
        <v/>
      </c>
      <c r="E292" s="18">
        <v>644</v>
      </c>
      <c r="F292" s="27">
        <v>80.03</v>
      </c>
      <c r="G292" s="23">
        <v>15</v>
      </c>
      <c r="H292" s="28">
        <f t="shared" si="18"/>
        <v>431.68455688009089</v>
      </c>
      <c r="I292" s="29">
        <f t="shared" si="16"/>
        <v>335.05456688273409</v>
      </c>
      <c r="J292" s="29">
        <f t="shared" si="17"/>
        <v>591.59619013931319</v>
      </c>
      <c r="K292" s="33"/>
      <c r="L292" s="33"/>
      <c r="M292" s="33"/>
      <c r="N292" s="33"/>
      <c r="O292" s="33"/>
      <c r="P292" s="33"/>
      <c r="Q292" s="33"/>
      <c r="R292" s="32"/>
      <c r="S292" s="32"/>
    </row>
    <row r="293" spans="1:19" ht="18" customHeight="1">
      <c r="A293" s="9">
        <v>37165</v>
      </c>
      <c r="B293" s="7">
        <v>0.89500000000000002</v>
      </c>
      <c r="C293" s="30" t="str">
        <f t="shared" si="13"/>
        <v/>
      </c>
      <c r="D293" s="41" t="str">
        <f t="shared" si="15"/>
        <v/>
      </c>
      <c r="E293" s="18">
        <v>538</v>
      </c>
      <c r="F293" s="27">
        <v>66.44</v>
      </c>
      <c r="G293" s="23">
        <v>15</v>
      </c>
      <c r="H293" s="28">
        <f t="shared" si="18"/>
        <v>358.37963212686788</v>
      </c>
      <c r="I293" s="29">
        <f t="shared" si="16"/>
        <v>279.90583382439587</v>
      </c>
      <c r="J293" s="29">
        <f t="shared" si="17"/>
        <v>491.13645973829773</v>
      </c>
      <c r="K293" s="33"/>
      <c r="L293" s="33"/>
      <c r="M293" s="33"/>
      <c r="N293" s="33"/>
      <c r="O293" s="33"/>
      <c r="P293" s="33"/>
      <c r="Q293" s="33"/>
      <c r="R293" s="32"/>
      <c r="S293" s="32"/>
    </row>
    <row r="294" spans="1:19" ht="18" customHeight="1">
      <c r="A294" s="9">
        <v>37135</v>
      </c>
      <c r="B294" s="4">
        <v>0.79800000000000004</v>
      </c>
      <c r="C294" s="30" t="str">
        <f t="shared" si="13"/>
        <v>Risk</v>
      </c>
      <c r="D294" s="41" t="str">
        <f t="shared" si="15"/>
        <v>Risk</v>
      </c>
      <c r="E294" s="17">
        <v>480</v>
      </c>
      <c r="F294" s="27">
        <v>58.91</v>
      </c>
      <c r="G294" s="22">
        <v>35</v>
      </c>
      <c r="H294" s="28">
        <f t="shared" si="18"/>
        <v>317.76255461459641</v>
      </c>
      <c r="I294" s="29">
        <f t="shared" si="16"/>
        <v>249.73011196228629</v>
      </c>
      <c r="J294" s="29">
        <f t="shared" si="17"/>
        <v>435.47334201058277</v>
      </c>
      <c r="K294" s="35">
        <f>1+(($H290/$H294)-1)*2</f>
        <v>2.1570191818027502</v>
      </c>
      <c r="L294" s="35">
        <f>1+(($H289/$H294)-1)*2</f>
        <v>2.4839585808860978</v>
      </c>
      <c r="M294" s="35">
        <f>1+(($H288/$H294)-1)*2</f>
        <v>2.7969784416907153</v>
      </c>
      <c r="N294" s="35">
        <f>1+(($H287/$H294)-1)*2</f>
        <v>2.6119504328636909</v>
      </c>
      <c r="O294" s="35">
        <f>1+(($H286/$H294)-1)*2</f>
        <v>2.4221694109658802</v>
      </c>
      <c r="P294" s="35">
        <f>1+(($H285/$H294)-1)*2</f>
        <v>2.1807842471566801</v>
      </c>
      <c r="Q294" s="35">
        <f>1+(($H284/$H294)-1)*2</f>
        <v>2.0609404175861488</v>
      </c>
      <c r="R294" s="35">
        <f>1+(($H283/$H294)-1)*2</f>
        <v>2.1420811407231377</v>
      </c>
      <c r="S294" s="35">
        <f>1+(($H282/$H294)-1)*2</f>
        <v>1.7625190969275173</v>
      </c>
    </row>
    <row r="295" spans="1:19" ht="18" customHeight="1">
      <c r="A295" s="9">
        <v>37104</v>
      </c>
      <c r="B295" s="4">
        <v>0.90600000000000003</v>
      </c>
      <c r="C295" s="30" t="str">
        <f t="shared" si="13"/>
        <v/>
      </c>
      <c r="D295" s="41" t="str">
        <f t="shared" si="15"/>
        <v/>
      </c>
      <c r="E295" s="17">
        <v>545</v>
      </c>
      <c r="F295" s="27">
        <v>67.42</v>
      </c>
      <c r="G295" s="22">
        <v>35</v>
      </c>
      <c r="H295" s="28">
        <f t="shared" si="18"/>
        <v>363.66578564108119</v>
      </c>
      <c r="I295" s="29">
        <f t="shared" si="16"/>
        <v>283.54773129051256</v>
      </c>
      <c r="J295" s="29">
        <f t="shared" si="17"/>
        <v>498.38079644124082</v>
      </c>
      <c r="P295" s="33"/>
      <c r="Q295" s="33"/>
      <c r="R295" s="33"/>
      <c r="S295" s="32"/>
    </row>
    <row r="296" spans="1:19" ht="18" customHeight="1">
      <c r="A296" s="9">
        <v>37073</v>
      </c>
      <c r="B296" s="4">
        <v>0.90100000000000002</v>
      </c>
      <c r="C296" s="30" t="str">
        <f t="shared" si="13"/>
        <v/>
      </c>
      <c r="D296" s="41" t="str">
        <f t="shared" si="15"/>
        <v/>
      </c>
      <c r="E296" s="17">
        <v>542</v>
      </c>
      <c r="F296" s="27">
        <v>66.98</v>
      </c>
      <c r="G296" s="22">
        <v>35</v>
      </c>
      <c r="H296" s="28">
        <f t="shared" si="18"/>
        <v>361.2924105938834</v>
      </c>
      <c r="I296" s="29">
        <f t="shared" si="16"/>
        <v>281.9869180907483</v>
      </c>
      <c r="J296" s="29">
        <f t="shared" si="17"/>
        <v>495.12823710522559</v>
      </c>
      <c r="O296" s="33"/>
      <c r="P296" s="33"/>
      <c r="Q296" s="33"/>
      <c r="R296" s="32"/>
      <c r="S296" s="32"/>
    </row>
    <row r="297" spans="1:19" ht="18" customHeight="1">
      <c r="A297" s="9">
        <v>37043</v>
      </c>
      <c r="B297" s="4">
        <v>0.98899999999999999</v>
      </c>
      <c r="C297" s="30" t="str">
        <f t="shared" si="13"/>
        <v/>
      </c>
      <c r="D297" s="41" t="str">
        <f t="shared" si="15"/>
        <v/>
      </c>
      <c r="E297" s="17">
        <v>595</v>
      </c>
      <c r="F297" s="27">
        <v>73.2</v>
      </c>
      <c r="G297" s="22">
        <v>25</v>
      </c>
      <c r="H297" s="28">
        <f t="shared" si="18"/>
        <v>394.84330330654319</v>
      </c>
      <c r="I297" s="29">
        <f t="shared" si="16"/>
        <v>309.56128461991739</v>
      </c>
      <c r="J297" s="29">
        <f t="shared" si="17"/>
        <v>541.10759862798614</v>
      </c>
      <c r="N297" s="33"/>
      <c r="O297" s="33"/>
      <c r="P297" s="33"/>
      <c r="Q297" s="33"/>
      <c r="R297" s="32"/>
      <c r="S297" s="32"/>
    </row>
    <row r="298" spans="1:19" ht="18" customHeight="1">
      <c r="A298" s="9">
        <v>37012</v>
      </c>
      <c r="B298" s="5">
        <v>1.018</v>
      </c>
      <c r="C298" s="30" t="str">
        <f t="shared" si="13"/>
        <v/>
      </c>
      <c r="D298" s="41" t="str">
        <f t="shared" si="15"/>
        <v/>
      </c>
      <c r="E298" s="19">
        <v>612</v>
      </c>
      <c r="F298" s="27">
        <v>76.09</v>
      </c>
      <c r="G298" s="24">
        <v>20</v>
      </c>
      <c r="H298" s="28">
        <f t="shared" si="18"/>
        <v>410.43206213927419</v>
      </c>
      <c r="I298" s="29">
        <f t="shared" si="16"/>
        <v>318.40589275191502</v>
      </c>
      <c r="J298" s="29">
        <f t="shared" si="17"/>
        <v>562.47099972135879</v>
      </c>
      <c r="M298" s="33"/>
      <c r="N298" s="33"/>
      <c r="O298" s="33"/>
      <c r="P298" s="33"/>
      <c r="Q298" s="33"/>
      <c r="R298" s="32"/>
      <c r="S298" s="32"/>
    </row>
    <row r="299" spans="1:19" ht="18" customHeight="1">
      <c r="A299" s="9">
        <v>36982</v>
      </c>
      <c r="B299" s="5">
        <v>0.95899999999999996</v>
      </c>
      <c r="C299" s="30" t="str">
        <f t="shared" si="13"/>
        <v/>
      </c>
      <c r="D299" s="41" t="str">
        <f t="shared" si="15"/>
        <v/>
      </c>
      <c r="E299" s="19">
        <v>577</v>
      </c>
      <c r="F299" s="27">
        <v>72.45</v>
      </c>
      <c r="G299" s="24">
        <v>20</v>
      </c>
      <c r="H299" s="28">
        <f t="shared" si="18"/>
        <v>390.79777765791056</v>
      </c>
      <c r="I299" s="29">
        <f t="shared" si="16"/>
        <v>300.19640542133163</v>
      </c>
      <c r="J299" s="29">
        <f t="shared" si="17"/>
        <v>535.56346339614197</v>
      </c>
      <c r="L299" s="33"/>
      <c r="M299" s="33"/>
      <c r="N299" s="33"/>
      <c r="O299" s="33"/>
      <c r="P299" s="33"/>
      <c r="Q299" s="33"/>
      <c r="R299" s="32"/>
      <c r="S299" s="32"/>
    </row>
    <row r="300" spans="1:19" ht="18" customHeight="1">
      <c r="A300" s="9">
        <v>36951</v>
      </c>
      <c r="B300" s="5">
        <v>0.87</v>
      </c>
      <c r="C300" s="30" t="str">
        <f t="shared" si="13"/>
        <v/>
      </c>
      <c r="D300" s="41" t="str">
        <f t="shared" si="15"/>
        <v/>
      </c>
      <c r="E300" s="19">
        <v>523</v>
      </c>
      <c r="F300" s="27">
        <v>65.16</v>
      </c>
      <c r="G300" s="24">
        <v>20</v>
      </c>
      <c r="H300" s="28">
        <f t="shared" si="18"/>
        <v>351.4752683532015</v>
      </c>
      <c r="I300" s="29">
        <f t="shared" si="16"/>
        <v>272.10176782557443</v>
      </c>
      <c r="J300" s="29">
        <f t="shared" si="17"/>
        <v>481.67446894261707</v>
      </c>
      <c r="K300" s="33"/>
      <c r="L300" s="33"/>
      <c r="M300" s="33"/>
      <c r="N300" s="33"/>
      <c r="O300" s="33"/>
      <c r="P300" s="33"/>
      <c r="Q300" s="33"/>
      <c r="R300" s="32"/>
      <c r="S300" s="32"/>
    </row>
    <row r="301" spans="1:19" ht="18" customHeight="1">
      <c r="A301" s="9">
        <v>36923</v>
      </c>
      <c r="B301" s="5">
        <v>0.96099999999999997</v>
      </c>
      <c r="C301" s="30" t="str">
        <f t="shared" si="13"/>
        <v/>
      </c>
      <c r="D301" s="41" t="str">
        <f t="shared" si="15"/>
        <v/>
      </c>
      <c r="E301" s="19">
        <v>578</v>
      </c>
      <c r="F301" s="27">
        <v>72.14</v>
      </c>
      <c r="G301" s="24">
        <v>20</v>
      </c>
      <c r="H301" s="28">
        <f t="shared" si="18"/>
        <v>389.12562705647571</v>
      </c>
      <c r="I301" s="29">
        <f t="shared" si="16"/>
        <v>300.7166764879197</v>
      </c>
      <c r="J301" s="29">
        <f t="shared" si="17"/>
        <v>533.27188750031303</v>
      </c>
      <c r="K301" s="33"/>
      <c r="L301" s="33"/>
      <c r="M301" s="33"/>
      <c r="N301" s="33"/>
      <c r="O301" s="33"/>
      <c r="P301" s="33"/>
      <c r="Q301" s="33"/>
      <c r="R301" s="32"/>
      <c r="S301" s="32"/>
    </row>
    <row r="302" spans="1:19" ht="18" customHeight="1">
      <c r="A302" s="9">
        <v>36892</v>
      </c>
      <c r="B302" s="5">
        <v>1.028</v>
      </c>
      <c r="C302" s="30" t="str">
        <f t="shared" si="13"/>
        <v/>
      </c>
      <c r="D302" s="41" t="str">
        <f t="shared" si="15"/>
        <v/>
      </c>
      <c r="E302" s="19">
        <v>618</v>
      </c>
      <c r="F302" s="27">
        <v>77.98</v>
      </c>
      <c r="G302" s="24">
        <v>20</v>
      </c>
      <c r="H302" s="28">
        <f t="shared" si="18"/>
        <v>420.62678677382837</v>
      </c>
      <c r="I302" s="29">
        <f t="shared" si="16"/>
        <v>321.52751915144353</v>
      </c>
      <c r="J302" s="29">
        <f t="shared" si="17"/>
        <v>576.44222050560597</v>
      </c>
      <c r="K302" s="33"/>
      <c r="L302" s="33"/>
      <c r="M302" s="33"/>
      <c r="N302" s="33"/>
      <c r="O302" s="33"/>
      <c r="P302" s="33"/>
      <c r="Q302" s="33"/>
      <c r="R302" s="32"/>
      <c r="S302" s="32"/>
    </row>
    <row r="303" spans="1:19" ht="18" customHeight="1">
      <c r="A303" s="9">
        <v>36861</v>
      </c>
      <c r="B303" s="5">
        <v>0.84</v>
      </c>
      <c r="C303" s="30" t="str">
        <f t="shared" si="13"/>
        <v>Risk</v>
      </c>
      <c r="D303" s="41" t="str">
        <f t="shared" si="15"/>
        <v/>
      </c>
      <c r="E303" s="19">
        <v>505</v>
      </c>
      <c r="F303" s="27">
        <v>63.35</v>
      </c>
      <c r="G303" s="24">
        <v>20</v>
      </c>
      <c r="H303" s="28">
        <f t="shared" si="18"/>
        <v>341.7120664545015</v>
      </c>
      <c r="I303" s="29">
        <f t="shared" si="16"/>
        <v>262.73688862698867</v>
      </c>
      <c r="J303" s="29">
        <f t="shared" si="17"/>
        <v>468.29462258309997</v>
      </c>
      <c r="K303" s="33"/>
      <c r="L303" s="33"/>
      <c r="M303" s="33"/>
      <c r="N303" s="33"/>
      <c r="O303" s="33"/>
      <c r="P303" s="33"/>
      <c r="Q303" s="33"/>
      <c r="R303" s="32"/>
      <c r="S303" s="32"/>
    </row>
    <row r="304" spans="1:19" ht="18" customHeight="1">
      <c r="A304" s="9">
        <v>36831</v>
      </c>
      <c r="B304" s="4">
        <v>0.84599999999999997</v>
      </c>
      <c r="C304" s="30" t="str">
        <f t="shared" si="13"/>
        <v>Risk</v>
      </c>
      <c r="D304" s="41" t="str">
        <f t="shared" si="15"/>
        <v/>
      </c>
      <c r="E304" s="17">
        <v>509</v>
      </c>
      <c r="F304" s="27">
        <v>63.48</v>
      </c>
      <c r="G304" s="25">
        <v>20</v>
      </c>
      <c r="H304" s="28">
        <f t="shared" si="18"/>
        <v>342.41329090026443</v>
      </c>
      <c r="I304" s="29">
        <f t="shared" si="16"/>
        <v>264.81797289334105</v>
      </c>
      <c r="J304" s="29">
        <f t="shared" si="17"/>
        <v>469.25560602328625</v>
      </c>
      <c r="K304" s="34">
        <f>$H300/$H304</f>
        <v>1.0264650283553876</v>
      </c>
      <c r="L304" s="34">
        <f>$H299/$H304</f>
        <v>1.1413043478260871</v>
      </c>
      <c r="M304" s="34">
        <f>$H298/$H304</f>
        <v>1.1986452425960936</v>
      </c>
      <c r="N304" s="34">
        <f>$H297/$H304</f>
        <v>1.1531190926275996</v>
      </c>
      <c r="O304" s="34">
        <f>$H296/$H304</f>
        <v>1.055135475740391</v>
      </c>
      <c r="P304" s="34">
        <f>$H295/$H304</f>
        <v>1.0620667926906115</v>
      </c>
      <c r="Q304" s="34">
        <f>$H294/$H304</f>
        <v>0.92800882167611853</v>
      </c>
      <c r="R304" s="34">
        <f t="shared" ref="R304:S304" si="19">$H294/$H304</f>
        <v>0.92800882167611853</v>
      </c>
      <c r="S304" s="34">
        <f t="shared" si="19"/>
        <v>0.92800882167611853</v>
      </c>
    </row>
    <row r="305" spans="1:10" ht="18" customHeight="1">
      <c r="A305" s="9">
        <v>36800</v>
      </c>
      <c r="B305" s="4">
        <v>0.85499999999999998</v>
      </c>
      <c r="C305" s="30" t="str">
        <f t="shared" si="13"/>
        <v/>
      </c>
      <c r="D305" s="41" t="str">
        <f t="shared" si="15"/>
        <v/>
      </c>
      <c r="E305" s="17">
        <v>514</v>
      </c>
      <c r="F305" s="27">
        <v>64</v>
      </c>
      <c r="G305" s="25">
        <v>40</v>
      </c>
      <c r="H305" s="28">
        <f t="shared" si="18"/>
        <v>345.21818868331644</v>
      </c>
      <c r="I305" s="29">
        <f t="shared" si="16"/>
        <v>267.41932822628155</v>
      </c>
      <c r="J305" s="29">
        <f t="shared" si="17"/>
        <v>473.09953978403155</v>
      </c>
    </row>
    <row r="306" spans="1:10" ht="18" customHeight="1">
      <c r="A306" s="9">
        <v>36770</v>
      </c>
      <c r="B306" s="4">
        <v>1.0189999999999999</v>
      </c>
      <c r="C306" s="30" t="str">
        <f t="shared" si="13"/>
        <v/>
      </c>
      <c r="D306" s="41" t="str">
        <f t="shared" si="15"/>
        <v/>
      </c>
      <c r="E306" s="17">
        <v>613</v>
      </c>
      <c r="F306" s="27">
        <v>76.37</v>
      </c>
      <c r="G306" s="25">
        <v>40</v>
      </c>
      <c r="H306" s="28">
        <f t="shared" si="18"/>
        <v>411.94239171476374</v>
      </c>
      <c r="I306" s="29">
        <f t="shared" si="16"/>
        <v>318.92616381850308</v>
      </c>
      <c r="J306" s="29">
        <f t="shared" si="17"/>
        <v>564.54081020791398</v>
      </c>
    </row>
    <row r="307" spans="1:10" ht="18" customHeight="1">
      <c r="A307" s="9">
        <v>36739</v>
      </c>
      <c r="B307" s="4">
        <v>1.1459999999999999</v>
      </c>
      <c r="C307" s="30" t="str">
        <f t="shared" si="13"/>
        <v/>
      </c>
      <c r="D307" s="41" t="str">
        <f t="shared" si="15"/>
        <v/>
      </c>
      <c r="E307" s="17">
        <v>689</v>
      </c>
      <c r="F307" s="27">
        <v>86.54</v>
      </c>
      <c r="G307" s="25">
        <v>20</v>
      </c>
      <c r="H307" s="28">
        <f t="shared" si="18"/>
        <v>466.79971951022202</v>
      </c>
      <c r="I307" s="29">
        <f t="shared" si="16"/>
        <v>358.46676487919842</v>
      </c>
      <c r="J307" s="29">
        <f t="shared" si="17"/>
        <v>639.71928395172029</v>
      </c>
    </row>
    <row r="308" spans="1:10" ht="18" customHeight="1">
      <c r="A308" s="9">
        <v>36708</v>
      </c>
      <c r="B308" s="4">
        <v>1.1739999999999999</v>
      </c>
      <c r="C308" s="30" t="str">
        <f t="shared" si="13"/>
        <v/>
      </c>
      <c r="D308" s="41" t="str">
        <f t="shared" si="15"/>
        <v/>
      </c>
      <c r="E308" s="17">
        <v>706</v>
      </c>
      <c r="F308" s="27">
        <v>89.35</v>
      </c>
      <c r="G308" s="25">
        <v>40</v>
      </c>
      <c r="H308" s="28">
        <f t="shared" si="18"/>
        <v>481.95695560709885</v>
      </c>
      <c r="I308" s="29">
        <f t="shared" si="16"/>
        <v>367.31137301119611</v>
      </c>
      <c r="J308" s="29">
        <f t="shared" si="17"/>
        <v>660.49131062036292</v>
      </c>
    </row>
    <row r="309" spans="1:10" ht="18" customHeight="1">
      <c r="A309" s="9">
        <v>36678</v>
      </c>
      <c r="B309" s="4">
        <v>1.365</v>
      </c>
      <c r="C309" s="30" t="str">
        <f t="shared" si="13"/>
        <v/>
      </c>
      <c r="D309" s="41" t="str">
        <f t="shared" si="15"/>
        <v/>
      </c>
      <c r="E309" s="17">
        <v>821</v>
      </c>
      <c r="F309" s="27">
        <v>104.43</v>
      </c>
      <c r="G309" s="25">
        <v>20</v>
      </c>
      <c r="H309" s="28">
        <f t="shared" si="18"/>
        <v>563.29899131560535</v>
      </c>
      <c r="I309" s="29">
        <f t="shared" si="16"/>
        <v>427.14254566882715</v>
      </c>
      <c r="J309" s="29">
        <f t="shared" si="17"/>
        <v>771.96538968197547</v>
      </c>
    </row>
    <row r="310" spans="1:10" ht="18" customHeight="1">
      <c r="A310" s="9">
        <v>36647</v>
      </c>
      <c r="B310" s="4">
        <v>1.2170000000000001</v>
      </c>
      <c r="C310" s="30" t="str">
        <f t="shared" si="13"/>
        <v/>
      </c>
      <c r="D310" s="41" t="str">
        <f t="shared" si="15"/>
        <v/>
      </c>
      <c r="E310" s="17">
        <v>732</v>
      </c>
      <c r="F310" s="27">
        <v>92.74</v>
      </c>
      <c r="G310" s="25">
        <v>30</v>
      </c>
      <c r="H310" s="28">
        <f t="shared" si="18"/>
        <v>500.24273153891829</v>
      </c>
      <c r="I310" s="29">
        <f t="shared" si="16"/>
        <v>380.83842074248656</v>
      </c>
      <c r="J310" s="29">
        <f t="shared" si="17"/>
        <v>685.55080186829844</v>
      </c>
    </row>
    <row r="311" spans="1:10" ht="18" customHeight="1">
      <c r="A311" s="9">
        <v>36617</v>
      </c>
      <c r="B311" s="4">
        <v>1.2050000000000001</v>
      </c>
      <c r="C311" s="30" t="str">
        <f t="shared" si="13"/>
        <v/>
      </c>
      <c r="D311" s="41" t="str">
        <f t="shared" si="15"/>
        <v/>
      </c>
      <c r="E311" s="17">
        <v>725</v>
      </c>
      <c r="F311" s="27">
        <v>91.21</v>
      </c>
      <c r="G311" s="25">
        <v>40</v>
      </c>
      <c r="H311" s="28">
        <f t="shared" si="18"/>
        <v>491.98985921570778</v>
      </c>
      <c r="I311" s="29">
        <f t="shared" si="16"/>
        <v>377.19652327636993</v>
      </c>
      <c r="J311" s="29">
        <f t="shared" si="17"/>
        <v>674.24076599533646</v>
      </c>
    </row>
    <row r="312" spans="1:10" ht="18" customHeight="1">
      <c r="A312" s="9">
        <v>36586</v>
      </c>
      <c r="B312" s="4">
        <v>1.4319999999999999</v>
      </c>
      <c r="C312" s="30" t="str">
        <f t="shared" si="13"/>
        <v/>
      </c>
      <c r="D312" s="41" t="str">
        <f t="shared" si="15"/>
        <v/>
      </c>
      <c r="E312" s="17">
        <v>861</v>
      </c>
      <c r="F312" s="27">
        <v>108.03</v>
      </c>
      <c r="G312" s="25">
        <v>30</v>
      </c>
      <c r="H312" s="28">
        <f t="shared" si="18"/>
        <v>582.7175144290419</v>
      </c>
      <c r="I312" s="29">
        <f t="shared" si="16"/>
        <v>447.95338833235104</v>
      </c>
      <c r="J312" s="29">
        <f t="shared" si="17"/>
        <v>798.57723879482728</v>
      </c>
    </row>
    <row r="313" spans="1:10" ht="18" customHeight="1">
      <c r="A313" s="9">
        <v>36557</v>
      </c>
      <c r="B313" s="4">
        <v>1.377</v>
      </c>
      <c r="C313" s="30" t="str">
        <f t="shared" si="13"/>
        <v/>
      </c>
      <c r="D313" s="41" t="str">
        <f t="shared" si="15"/>
        <v/>
      </c>
      <c r="E313" s="17">
        <v>828</v>
      </c>
      <c r="F313" s="27">
        <v>103.17</v>
      </c>
      <c r="G313" s="25">
        <v>40</v>
      </c>
      <c r="H313" s="28">
        <f t="shared" si="18"/>
        <v>556.50250822590249</v>
      </c>
      <c r="I313" s="29">
        <f t="shared" si="16"/>
        <v>430.78444313494384</v>
      </c>
      <c r="J313" s="29">
        <f t="shared" si="17"/>
        <v>762.65124249247731</v>
      </c>
    </row>
    <row r="314" spans="1:10" ht="18" customHeight="1">
      <c r="A314" s="9">
        <v>36526</v>
      </c>
      <c r="B314" s="4">
        <v>1.57</v>
      </c>
      <c r="C314" s="30" t="str">
        <f t="shared" si="13"/>
        <v/>
      </c>
      <c r="D314" s="41" t="str">
        <f t="shared" si="15"/>
        <v/>
      </c>
      <c r="E314" s="17">
        <v>944</v>
      </c>
      <c r="F314" s="27">
        <v>119.08</v>
      </c>
      <c r="G314" s="25">
        <v>40</v>
      </c>
      <c r="H314" s="28">
        <f t="shared" si="18"/>
        <v>642.32159231889568</v>
      </c>
      <c r="I314" s="29">
        <f t="shared" si="16"/>
        <v>491.13588685916301</v>
      </c>
      <c r="J314" s="29">
        <f t="shared" si="17"/>
        <v>880.26083121066392</v>
      </c>
    </row>
    <row r="315" spans="1:10" ht="18" customHeight="1">
      <c r="A315" s="9">
        <v>36495</v>
      </c>
      <c r="B315" s="8">
        <v>1.7090000000000001</v>
      </c>
      <c r="C315" s="30" t="str">
        <f t="shared" si="13"/>
        <v/>
      </c>
      <c r="D315" s="41" t="str">
        <f t="shared" si="15"/>
        <v/>
      </c>
      <c r="E315" s="20">
        <v>1028</v>
      </c>
      <c r="F315" s="27">
        <v>130.02000000000001</v>
      </c>
      <c r="G315" s="26">
        <v>20</v>
      </c>
      <c r="H315" s="28">
        <f t="shared" si="18"/>
        <v>701.33232644695011</v>
      </c>
      <c r="I315" s="29">
        <f t="shared" si="16"/>
        <v>534.8386564525631</v>
      </c>
      <c r="J315" s="29">
        <f t="shared" si="17"/>
        <v>961.1312837924969</v>
      </c>
    </row>
    <row r="316" spans="1:10" ht="18" customHeight="1">
      <c r="A316" s="9">
        <v>36465</v>
      </c>
      <c r="B316" s="8">
        <v>1.6579999999999999</v>
      </c>
      <c r="C316" s="30" t="str">
        <f t="shared" si="13"/>
        <v/>
      </c>
      <c r="D316" s="41" t="str">
        <f t="shared" si="15"/>
        <v/>
      </c>
      <c r="E316" s="20">
        <v>997</v>
      </c>
      <c r="F316" s="27">
        <v>123.59</v>
      </c>
      <c r="G316" s="26">
        <v>20</v>
      </c>
      <c r="H316" s="28">
        <f t="shared" si="18"/>
        <v>666.6486865526731</v>
      </c>
      <c r="I316" s="29">
        <f t="shared" si="16"/>
        <v>518.71025338833215</v>
      </c>
      <c r="J316" s="29">
        <f t="shared" si="17"/>
        <v>913.59956440481994</v>
      </c>
    </row>
    <row r="317" spans="1:10" ht="18" customHeight="1">
      <c r="A317" s="9">
        <v>36434</v>
      </c>
      <c r="B317" s="8">
        <v>1.387</v>
      </c>
      <c r="C317" s="30" t="str">
        <f t="shared" si="13"/>
        <v/>
      </c>
      <c r="D317" s="41" t="str">
        <f t="shared" si="15"/>
        <v/>
      </c>
      <c r="E317" s="20">
        <v>834</v>
      </c>
      <c r="F317" s="27">
        <v>100.19</v>
      </c>
      <c r="G317" s="26">
        <v>20</v>
      </c>
      <c r="H317" s="28">
        <f t="shared" si="18"/>
        <v>540.42828631533553</v>
      </c>
      <c r="I317" s="29">
        <f t="shared" si="16"/>
        <v>433.90606953447241</v>
      </c>
      <c r="J317" s="29">
        <f t="shared" si="17"/>
        <v>740.62254517128326</v>
      </c>
    </row>
    <row r="318" spans="1:10" ht="18" customHeight="1">
      <c r="A318" s="9">
        <v>36404</v>
      </c>
      <c r="B318" s="8">
        <v>1.39</v>
      </c>
      <c r="C318" s="30" t="str">
        <f t="shared" si="13"/>
        <v/>
      </c>
      <c r="D318" s="41" t="str">
        <f t="shared" si="15"/>
        <v/>
      </c>
      <c r="E318" s="20">
        <v>836</v>
      </c>
      <c r="F318" s="27">
        <v>100.71</v>
      </c>
      <c r="G318" s="26">
        <v>20</v>
      </c>
      <c r="H318" s="28">
        <f t="shared" si="18"/>
        <v>543.23318409838748</v>
      </c>
      <c r="I318" s="29">
        <f t="shared" si="16"/>
        <v>434.9466116676486</v>
      </c>
      <c r="J318" s="29">
        <f t="shared" si="17"/>
        <v>744.46647893202851</v>
      </c>
    </row>
    <row r="319" spans="1:10" ht="18" customHeight="1">
      <c r="A319" s="9">
        <v>36373</v>
      </c>
      <c r="B319" s="8">
        <v>1.56</v>
      </c>
      <c r="C319" s="30" t="str">
        <f t="shared" si="13"/>
        <v/>
      </c>
      <c r="D319" s="41" t="str">
        <f t="shared" si="15"/>
        <v/>
      </c>
      <c r="E319" s="20">
        <v>938</v>
      </c>
      <c r="F319" s="27">
        <v>112.79</v>
      </c>
      <c r="G319" s="26">
        <v>20</v>
      </c>
      <c r="H319" s="28">
        <f t="shared" si="18"/>
        <v>608.39311721236356</v>
      </c>
      <c r="I319" s="29">
        <f t="shared" si="16"/>
        <v>488.01426045963439</v>
      </c>
      <c r="J319" s="29">
        <f t="shared" si="17"/>
        <v>833.76401706626461</v>
      </c>
    </row>
    <row r="320" spans="1:10" ht="18" customHeight="1">
      <c r="A320" s="9">
        <v>36342</v>
      </c>
      <c r="B320" s="8">
        <v>1.613</v>
      </c>
      <c r="C320" s="30" t="str">
        <f t="shared" si="13"/>
        <v/>
      </c>
      <c r="D320" s="41" t="str">
        <f t="shared" si="15"/>
        <v/>
      </c>
      <c r="E320" s="20">
        <v>970</v>
      </c>
      <c r="F320" s="27">
        <v>116.14</v>
      </c>
      <c r="G320" s="26">
        <v>20</v>
      </c>
      <c r="H320" s="28">
        <f t="shared" si="18"/>
        <v>626.46313177625586</v>
      </c>
      <c r="I320" s="29">
        <f t="shared" si="16"/>
        <v>504.66293459045346</v>
      </c>
      <c r="J320" s="29">
        <f t="shared" si="17"/>
        <v>858.52782110183489</v>
      </c>
    </row>
    <row r="321" spans="1:10" ht="18" customHeight="1">
      <c r="A321" s="9">
        <v>36312</v>
      </c>
      <c r="B321" s="8">
        <v>1.468</v>
      </c>
      <c r="C321" s="30" t="str">
        <f t="shared" si="13"/>
        <v/>
      </c>
      <c r="D321" s="41" t="str">
        <f t="shared" si="15"/>
        <v/>
      </c>
      <c r="E321" s="20">
        <v>883</v>
      </c>
      <c r="F321" s="27">
        <v>105.47</v>
      </c>
      <c r="G321" s="26">
        <v>20</v>
      </c>
      <c r="H321" s="28">
        <f t="shared" si="18"/>
        <v>568.90878688170926</v>
      </c>
      <c r="I321" s="29">
        <f t="shared" si="16"/>
        <v>459.39935179728906</v>
      </c>
      <c r="J321" s="29">
        <f t="shared" si="17"/>
        <v>779.65325720346596</v>
      </c>
    </row>
    <row r="322" spans="1:10" ht="18" customHeight="1">
      <c r="A322" s="9">
        <v>36281</v>
      </c>
      <c r="B322" s="8">
        <v>1.224</v>
      </c>
      <c r="C322" s="30" t="str">
        <f t="shared" si="13"/>
        <v/>
      </c>
      <c r="D322" s="41" t="str">
        <f t="shared" si="15"/>
        <v/>
      </c>
      <c r="E322" s="20">
        <v>736</v>
      </c>
      <c r="F322" s="27">
        <v>85.68</v>
      </c>
      <c r="G322" s="26">
        <v>20</v>
      </c>
      <c r="H322" s="28">
        <f t="shared" si="18"/>
        <v>462.16085009979003</v>
      </c>
      <c r="I322" s="29">
        <f t="shared" si="16"/>
        <v>382.91950500883888</v>
      </c>
      <c r="J322" s="29">
        <f t="shared" si="17"/>
        <v>633.36200888587246</v>
      </c>
    </row>
    <row r="323" spans="1:10" ht="18" customHeight="1">
      <c r="A323" s="9">
        <v>36251</v>
      </c>
      <c r="B323" s="8">
        <v>1.252</v>
      </c>
      <c r="C323" s="30" t="str">
        <f t="shared" si="13"/>
        <v/>
      </c>
      <c r="D323" s="41" t="str">
        <f t="shared" si="15"/>
        <v/>
      </c>
      <c r="E323" s="20">
        <v>753</v>
      </c>
      <c r="F323" s="27">
        <v>87.15</v>
      </c>
      <c r="G323" s="26">
        <v>20</v>
      </c>
      <c r="H323" s="28">
        <f t="shared" si="18"/>
        <v>470.09008037110993</v>
      </c>
      <c r="I323" s="29">
        <f t="shared" si="16"/>
        <v>391.76411314083651</v>
      </c>
      <c r="J323" s="29">
        <f t="shared" si="17"/>
        <v>644.22851394028692</v>
      </c>
    </row>
    <row r="324" spans="1:10" ht="18" customHeight="1">
      <c r="A324" s="9">
        <v>36220</v>
      </c>
      <c r="B324" s="8">
        <v>1.0289999999999999</v>
      </c>
      <c r="C324" s="30" t="str">
        <f t="shared" ref="C324:C326" si="20">IF(B324&lt;=C$1, "Risk", "")</f>
        <v/>
      </c>
      <c r="D324" s="41" t="str">
        <f t="shared" si="15"/>
        <v/>
      </c>
      <c r="E324" s="20">
        <v>619</v>
      </c>
      <c r="F324" s="27">
        <v>71.84</v>
      </c>
      <c r="G324" s="26">
        <v>20</v>
      </c>
      <c r="H324" s="28">
        <f t="shared" si="18"/>
        <v>387.50741679702281</v>
      </c>
      <c r="I324" s="29">
        <f t="shared" si="16"/>
        <v>322.04779021803165</v>
      </c>
      <c r="J324" s="29">
        <f t="shared" si="17"/>
        <v>531.05423340757557</v>
      </c>
    </row>
    <row r="325" spans="1:10" ht="18" customHeight="1">
      <c r="A325" s="9">
        <v>36192</v>
      </c>
      <c r="B325" s="8">
        <v>0.86499999999999999</v>
      </c>
      <c r="C325" s="30" t="str">
        <f t="shared" si="20"/>
        <v/>
      </c>
      <c r="D325" s="41" t="str">
        <f t="shared" ref="D325:D326" si="21">IF(B325&lt;=D$1, "Risk", "")</f>
        <v/>
      </c>
      <c r="E325" s="20">
        <v>520</v>
      </c>
      <c r="F325" s="27">
        <v>60.28</v>
      </c>
      <c r="G325" s="26">
        <v>20</v>
      </c>
      <c r="H325" s="28">
        <f t="shared" si="18"/>
        <v>325.15238146609875</v>
      </c>
      <c r="I325" s="29">
        <f t="shared" si="16"/>
        <v>270.54095462581012</v>
      </c>
      <c r="J325" s="29">
        <f t="shared" si="17"/>
        <v>445.60062903408482</v>
      </c>
    </row>
    <row r="326" spans="1:10" ht="18" customHeight="1">
      <c r="A326" s="9">
        <v>36161</v>
      </c>
      <c r="B326" s="8">
        <v>0.94899999999999995</v>
      </c>
      <c r="C326" s="30" t="str">
        <f t="shared" si="20"/>
        <v/>
      </c>
      <c r="D326" s="41" t="str">
        <f t="shared" si="21"/>
        <v/>
      </c>
      <c r="E326" s="20">
        <v>571</v>
      </c>
      <c r="F326" s="27">
        <v>65.72</v>
      </c>
      <c r="G326" s="26">
        <v>20</v>
      </c>
      <c r="H326" s="28">
        <f t="shared" si="18"/>
        <v>354.4959275041806</v>
      </c>
      <c r="I326" s="29">
        <f t="shared" si="16"/>
        <v>297.07477902180307</v>
      </c>
      <c r="J326" s="29">
        <f t="shared" si="17"/>
        <v>485.81408991572744</v>
      </c>
    </row>
  </sheetData>
  <phoneticPr fontId="1" type="noConversion"/>
  <conditionalFormatting sqref="C1:D1048576">
    <cfRule type="containsText" dxfId="67" priority="1" operator="containsText" text="Risk">
      <formula>NOT(ISERROR(SEARCH("Risk",C1)))</formula>
    </cfRule>
  </conditionalFormatting>
  <conditionalFormatting sqref="K4:S326">
    <cfRule type="cellIs" dxfId="66" priority="2" operator="lessThan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F22E-7ADF-40EF-89E0-60C4D7618CE6}">
  <dimension ref="A1:U326"/>
  <sheetViews>
    <sheetView zoomScale="85" zoomScaleNormal="85" workbookViewId="0">
      <pane ySplit="1" topLeftCell="A304" activePane="bottomLeft" state="frozen"/>
      <selection pane="bottomLeft" activeCell="R304" sqref="R304"/>
    </sheetView>
  </sheetViews>
  <sheetFormatPr defaultColWidth="21" defaultRowHeight="16.5"/>
  <cols>
    <col min="1" max="1" width="11.625" style="2" customWidth="1"/>
    <col min="2" max="2" width="10.375" style="6" customWidth="1"/>
    <col min="3" max="5" width="7.75" style="31" customWidth="1"/>
    <col min="6" max="6" width="8.875" style="6" customWidth="1"/>
    <col min="7" max="7" width="11.625" style="6" hidden="1" customWidth="1"/>
    <col min="8" max="9" width="11.625" style="6" customWidth="1"/>
    <col min="10" max="11" width="11.625" style="2" hidden="1" customWidth="1"/>
    <col min="12" max="20" width="8.75" style="2" customWidth="1"/>
    <col min="21" max="16384" width="21" style="2"/>
  </cols>
  <sheetData>
    <row r="1" spans="1:21" ht="18" customHeight="1">
      <c r="A1" s="10" t="s">
        <v>3</v>
      </c>
      <c r="B1" s="45" t="s">
        <v>2</v>
      </c>
      <c r="C1" s="46">
        <v>0.85</v>
      </c>
      <c r="D1" s="46">
        <v>0.8</v>
      </c>
      <c r="E1" s="46">
        <v>0.75</v>
      </c>
      <c r="F1" s="47" t="s">
        <v>0</v>
      </c>
      <c r="G1" s="47" t="s">
        <v>1</v>
      </c>
      <c r="H1" s="47" t="s">
        <v>4</v>
      </c>
      <c r="I1" s="48" t="s">
        <v>5</v>
      </c>
      <c r="J1" s="49" t="s">
        <v>6</v>
      </c>
      <c r="K1" s="49" t="s">
        <v>7</v>
      </c>
      <c r="L1" s="49" t="s">
        <v>9</v>
      </c>
      <c r="M1" s="49" t="s">
        <v>10</v>
      </c>
      <c r="N1" s="49" t="s">
        <v>8</v>
      </c>
      <c r="O1" s="49" t="s">
        <v>11</v>
      </c>
      <c r="P1" s="49" t="s">
        <v>12</v>
      </c>
      <c r="Q1" s="49" t="s">
        <v>13</v>
      </c>
      <c r="R1" s="54" t="s">
        <v>14</v>
      </c>
      <c r="S1" s="49" t="s">
        <v>15</v>
      </c>
      <c r="T1" s="49" t="s">
        <v>16</v>
      </c>
      <c r="U1" s="53" t="s">
        <v>17</v>
      </c>
    </row>
    <row r="2" spans="1:21" ht="18" customHeight="1">
      <c r="A2" s="10"/>
      <c r="B2" s="45"/>
      <c r="C2" s="46" t="s">
        <v>21</v>
      </c>
      <c r="D2" s="46" t="s">
        <v>20</v>
      </c>
      <c r="E2" s="46" t="s">
        <v>19</v>
      </c>
      <c r="F2" s="47"/>
      <c r="G2" s="47"/>
      <c r="H2" s="47"/>
      <c r="I2" s="48"/>
      <c r="J2" s="49"/>
      <c r="K2" s="49"/>
      <c r="L2" s="50">
        <f>PRODUCT(L4:L326)</f>
        <v>8.8826844932431932</v>
      </c>
      <c r="M2" s="50">
        <f t="shared" ref="M2:T2" si="0">PRODUCT(M4:M326)</f>
        <v>11.10087058038763</v>
      </c>
      <c r="N2" s="50">
        <f t="shared" si="0"/>
        <v>20.206057250976546</v>
      </c>
      <c r="O2" s="50">
        <f t="shared" si="0"/>
        <v>16.326127070206351</v>
      </c>
      <c r="P2" s="50">
        <f t="shared" si="0"/>
        <v>20.299992278680246</v>
      </c>
      <c r="Q2" s="50">
        <f t="shared" si="0"/>
        <v>27.106362242408405</v>
      </c>
      <c r="R2" s="51">
        <f t="shared" si="0"/>
        <v>30.15670054129237</v>
      </c>
      <c r="S2" s="50">
        <f t="shared" si="0"/>
        <v>27.473777268714706</v>
      </c>
      <c r="T2" s="50">
        <f t="shared" si="0"/>
        <v>21.089560151226728</v>
      </c>
      <c r="U2" s="78">
        <f>R2^(1/27)-1</f>
        <v>0.13446732927546257</v>
      </c>
    </row>
    <row r="3" spans="1:21" ht="18" customHeight="1">
      <c r="A3" s="10"/>
      <c r="B3" s="62"/>
      <c r="C3" s="63"/>
      <c r="D3" s="63"/>
      <c r="E3" s="63"/>
      <c r="F3" s="64"/>
      <c r="G3" s="64"/>
      <c r="H3" s="64"/>
      <c r="I3" s="65"/>
      <c r="J3" s="66"/>
      <c r="K3" s="66"/>
      <c r="L3" s="67">
        <f>COUNTIF(L4:L326, "&lt;1")</f>
        <v>1</v>
      </c>
      <c r="M3" s="67">
        <f t="shared" ref="M3:T3" si="1">COUNTIF(M4:M326, "&lt;1")</f>
        <v>1</v>
      </c>
      <c r="N3" s="67">
        <f t="shared" si="1"/>
        <v>0</v>
      </c>
      <c r="O3" s="67">
        <f t="shared" si="1"/>
        <v>1</v>
      </c>
      <c r="P3" s="67">
        <f t="shared" si="1"/>
        <v>1</v>
      </c>
      <c r="Q3" s="67">
        <f t="shared" si="1"/>
        <v>1</v>
      </c>
      <c r="R3" s="67">
        <f t="shared" si="1"/>
        <v>2</v>
      </c>
      <c r="S3" s="67">
        <f t="shared" si="1"/>
        <v>2</v>
      </c>
      <c r="T3" s="67">
        <f t="shared" si="1"/>
        <v>2</v>
      </c>
      <c r="U3" s="1" t="s">
        <v>18</v>
      </c>
    </row>
    <row r="4" spans="1:21" ht="18" customHeight="1">
      <c r="A4" s="9">
        <v>45962</v>
      </c>
      <c r="B4" s="40">
        <v>1.29</v>
      </c>
      <c r="C4" s="41" t="str">
        <f t="shared" ref="C4:C67" si="2">IF(B4&lt;=C$1, "Risk", "")</f>
        <v/>
      </c>
      <c r="D4" s="41" t="str">
        <f>IF(B4&lt;=D$1, "Risk", "")</f>
        <v/>
      </c>
      <c r="E4" s="41" t="str">
        <f>IF(B4&lt;=E$1, "Risk", "")</f>
        <v/>
      </c>
      <c r="F4" s="42">
        <v>3853.26</v>
      </c>
      <c r="G4" s="42">
        <v>540.36</v>
      </c>
      <c r="H4" s="42">
        <v>41.88</v>
      </c>
      <c r="I4" s="42">
        <v>2666.12</v>
      </c>
      <c r="J4" s="43">
        <v>863.95</v>
      </c>
      <c r="K4" s="43">
        <v>1517.92</v>
      </c>
      <c r="S4" s="44"/>
      <c r="T4" s="44"/>
    </row>
    <row r="5" spans="1:21" ht="18" customHeight="1">
      <c r="A5" s="9">
        <v>45931</v>
      </c>
      <c r="B5" s="10">
        <v>1.38</v>
      </c>
      <c r="C5" s="30" t="str">
        <f t="shared" si="2"/>
        <v/>
      </c>
      <c r="D5" s="41" t="str">
        <f t="shared" ref="D5:D68" si="3">IF(B5&lt;=D$1, "Risk", "")</f>
        <v/>
      </c>
      <c r="E5" s="41" t="str">
        <f t="shared" ref="E5:E68" si="4">IF(B5&lt;=E$1, "Risk", "")</f>
        <v/>
      </c>
      <c r="F5" s="16">
        <v>4107.5</v>
      </c>
      <c r="G5" s="16">
        <v>579.46</v>
      </c>
      <c r="H5" s="16">
        <v>30.4</v>
      </c>
      <c r="I5" s="16">
        <v>2862.4</v>
      </c>
      <c r="J5" s="14">
        <v>900.42</v>
      </c>
      <c r="K5" s="14">
        <v>1549.34</v>
      </c>
      <c r="R5" s="33"/>
      <c r="S5" s="32"/>
      <c r="T5" s="32"/>
    </row>
    <row r="6" spans="1:21" ht="18" customHeight="1">
      <c r="A6" s="9">
        <v>45901</v>
      </c>
      <c r="B6" s="3">
        <v>1.146595</v>
      </c>
      <c r="C6" s="30" t="str">
        <f t="shared" si="2"/>
        <v/>
      </c>
      <c r="D6" s="41" t="str">
        <f t="shared" si="3"/>
        <v/>
      </c>
      <c r="E6" s="41" t="str">
        <f t="shared" si="4"/>
        <v/>
      </c>
      <c r="F6" s="16">
        <v>3424.6</v>
      </c>
      <c r="G6" s="16">
        <v>474.03</v>
      </c>
      <c r="H6" s="16">
        <v>20.62</v>
      </c>
      <c r="I6" s="16">
        <v>2343.75</v>
      </c>
      <c r="J6" s="14">
        <v>841.99</v>
      </c>
      <c r="K6" s="14">
        <v>1407.18</v>
      </c>
      <c r="Q6" s="33"/>
      <c r="R6" s="33"/>
      <c r="S6" s="32"/>
      <c r="T6" s="32"/>
    </row>
    <row r="7" spans="1:21" ht="18" customHeight="1">
      <c r="A7" s="9">
        <v>45870</v>
      </c>
      <c r="B7" s="3">
        <v>1.072565</v>
      </c>
      <c r="C7" s="30" t="str">
        <f t="shared" si="2"/>
        <v/>
      </c>
      <c r="D7" s="41" t="str">
        <f t="shared" si="3"/>
        <v/>
      </c>
      <c r="E7" s="41" t="str">
        <f t="shared" si="4"/>
        <v/>
      </c>
      <c r="F7" s="16">
        <v>3186.01</v>
      </c>
      <c r="G7" s="16">
        <v>430.12</v>
      </c>
      <c r="H7" s="16">
        <v>19.52</v>
      </c>
      <c r="I7" s="16">
        <v>2127.69</v>
      </c>
      <c r="J7" s="14">
        <v>796.91</v>
      </c>
      <c r="K7" s="14">
        <v>1336.98</v>
      </c>
      <c r="L7" s="68"/>
      <c r="P7" s="33"/>
      <c r="Q7" s="33"/>
      <c r="R7" s="33"/>
      <c r="S7" s="32"/>
      <c r="T7" s="32"/>
    </row>
    <row r="8" spans="1:21" ht="18" customHeight="1">
      <c r="A8" s="9">
        <v>45839</v>
      </c>
      <c r="B8" s="3">
        <v>1.091499</v>
      </c>
      <c r="C8" s="30" t="str">
        <f t="shared" si="2"/>
        <v/>
      </c>
      <c r="D8" s="41" t="str">
        <f t="shared" si="3"/>
        <v/>
      </c>
      <c r="E8" s="41" t="str">
        <f t="shared" si="4"/>
        <v/>
      </c>
      <c r="F8" s="16">
        <v>3245.44</v>
      </c>
      <c r="G8" s="16">
        <v>438.6</v>
      </c>
      <c r="H8" s="16">
        <v>21.85</v>
      </c>
      <c r="I8" s="16">
        <v>2163.7600000000002</v>
      </c>
      <c r="J8" s="14">
        <v>805.24</v>
      </c>
      <c r="K8" s="14">
        <v>1352.23</v>
      </c>
      <c r="O8" s="33"/>
      <c r="P8" s="33"/>
      <c r="Q8" s="33"/>
      <c r="R8" s="33"/>
      <c r="S8" s="32"/>
      <c r="T8" s="32"/>
    </row>
    <row r="9" spans="1:21" ht="18" customHeight="1">
      <c r="A9" s="9">
        <v>45809</v>
      </c>
      <c r="B9" s="11">
        <v>1.032691</v>
      </c>
      <c r="C9" s="30" t="str">
        <f t="shared" si="2"/>
        <v/>
      </c>
      <c r="D9" s="41" t="str">
        <f t="shared" si="3"/>
        <v/>
      </c>
      <c r="E9" s="41" t="str">
        <f t="shared" si="4"/>
        <v/>
      </c>
      <c r="F9" s="16">
        <v>3071.7</v>
      </c>
      <c r="G9" s="16">
        <v>414.6</v>
      </c>
      <c r="H9" s="16">
        <v>23.99</v>
      </c>
      <c r="I9" s="16">
        <v>2056.29</v>
      </c>
      <c r="J9" s="13">
        <v>781.5</v>
      </c>
      <c r="K9" s="14">
        <v>1267.1300000000001</v>
      </c>
      <c r="N9" s="33"/>
      <c r="O9" s="33"/>
      <c r="P9" s="33"/>
      <c r="Q9" s="33"/>
      <c r="R9" s="33"/>
      <c r="S9" s="32"/>
      <c r="T9" s="32"/>
    </row>
    <row r="10" spans="1:21" ht="18" customHeight="1">
      <c r="A10" s="9">
        <v>45778</v>
      </c>
      <c r="B10" s="11">
        <v>0.91562399999999999</v>
      </c>
      <c r="C10" s="30" t="str">
        <f t="shared" si="2"/>
        <v/>
      </c>
      <c r="D10" s="41" t="str">
        <f t="shared" si="3"/>
        <v/>
      </c>
      <c r="E10" s="41" t="str">
        <f t="shared" si="4"/>
        <v/>
      </c>
      <c r="F10" s="16">
        <v>2697.67</v>
      </c>
      <c r="G10" s="16">
        <v>359.62</v>
      </c>
      <c r="H10" s="16">
        <v>22.55</v>
      </c>
      <c r="I10" s="16">
        <v>1782.88</v>
      </c>
      <c r="J10" s="14">
        <v>734.35</v>
      </c>
      <c r="K10" s="14">
        <v>1194.26</v>
      </c>
      <c r="M10" s="33"/>
      <c r="N10" s="33"/>
      <c r="O10" s="33"/>
      <c r="P10" s="33"/>
      <c r="Q10" s="33"/>
      <c r="R10" s="33"/>
      <c r="S10" s="32"/>
      <c r="T10" s="32"/>
    </row>
    <row r="11" spans="1:21" ht="18" customHeight="1">
      <c r="A11" s="9">
        <v>45748</v>
      </c>
      <c r="B11" s="11">
        <v>0.89342200000000005</v>
      </c>
      <c r="C11" s="30" t="str">
        <f t="shared" si="2"/>
        <v/>
      </c>
      <c r="D11" s="41" t="str">
        <f t="shared" si="3"/>
        <v/>
      </c>
      <c r="E11" s="41" t="str">
        <f t="shared" si="4"/>
        <v/>
      </c>
      <c r="F11" s="16">
        <v>2556.61</v>
      </c>
      <c r="G11" s="16">
        <v>338.74</v>
      </c>
      <c r="H11" s="16">
        <v>20.74</v>
      </c>
      <c r="I11" s="16">
        <v>1677.67</v>
      </c>
      <c r="J11" s="14">
        <v>717.24</v>
      </c>
      <c r="K11" s="14">
        <v>1169.69</v>
      </c>
      <c r="L11" s="33"/>
      <c r="M11" s="33"/>
      <c r="N11" s="33"/>
      <c r="O11" s="33"/>
      <c r="P11" s="33"/>
      <c r="Q11" s="33"/>
      <c r="R11" s="33"/>
      <c r="S11" s="32"/>
      <c r="T11" s="32"/>
    </row>
    <row r="12" spans="1:21" ht="18" customHeight="1">
      <c r="A12" s="9">
        <v>45717</v>
      </c>
      <c r="B12" s="11">
        <v>0.86726999999999999</v>
      </c>
      <c r="C12" s="30" t="str">
        <f t="shared" si="2"/>
        <v/>
      </c>
      <c r="D12" s="41" t="str">
        <f t="shared" si="3"/>
        <v/>
      </c>
      <c r="E12" s="41" t="str">
        <f t="shared" si="4"/>
        <v/>
      </c>
      <c r="F12" s="16">
        <v>2481.12</v>
      </c>
      <c r="G12" s="16">
        <v>332.4</v>
      </c>
      <c r="H12" s="16">
        <v>25.35</v>
      </c>
      <c r="I12" s="16">
        <v>1652.67</v>
      </c>
      <c r="J12" s="14">
        <v>672.85</v>
      </c>
      <c r="K12" s="14">
        <v>1112.8900000000001</v>
      </c>
      <c r="L12" s="33"/>
      <c r="M12" s="33"/>
      <c r="N12" s="33"/>
      <c r="O12" s="33"/>
      <c r="P12" s="33"/>
      <c r="Q12" s="33"/>
      <c r="R12" s="33"/>
      <c r="S12" s="32"/>
      <c r="T12" s="32"/>
    </row>
    <row r="13" spans="1:21" ht="18" customHeight="1">
      <c r="A13" s="9">
        <v>45689</v>
      </c>
      <c r="B13" s="11">
        <v>0.88822400000000001</v>
      </c>
      <c r="C13" s="30" t="str">
        <f t="shared" si="2"/>
        <v/>
      </c>
      <c r="D13" s="41" t="str">
        <f t="shared" si="3"/>
        <v/>
      </c>
      <c r="E13" s="41" t="str">
        <f t="shared" si="4"/>
        <v/>
      </c>
      <c r="F13" s="16">
        <v>2532.7800000000002</v>
      </c>
      <c r="G13" s="16">
        <v>334.27</v>
      </c>
      <c r="H13" s="16">
        <v>22.86</v>
      </c>
      <c r="I13" s="16">
        <v>1648.2</v>
      </c>
      <c r="J13" s="14">
        <v>743.96</v>
      </c>
      <c r="K13" s="14">
        <v>1262.71</v>
      </c>
      <c r="L13" s="33"/>
      <c r="M13" s="33"/>
      <c r="N13" s="33"/>
      <c r="O13" s="33"/>
      <c r="P13" s="33"/>
      <c r="Q13" s="33"/>
      <c r="R13" s="33"/>
      <c r="S13" s="32"/>
      <c r="T13" s="32"/>
    </row>
    <row r="14" spans="1:21" ht="18" customHeight="1">
      <c r="A14" s="9">
        <v>45658</v>
      </c>
      <c r="B14" s="11">
        <v>0.88211099999999998</v>
      </c>
      <c r="C14" s="30" t="str">
        <f t="shared" si="2"/>
        <v/>
      </c>
      <c r="D14" s="41" t="str">
        <f t="shared" si="3"/>
        <v/>
      </c>
      <c r="E14" s="41" t="str">
        <f t="shared" si="4"/>
        <v/>
      </c>
      <c r="F14" s="16">
        <v>2517.37</v>
      </c>
      <c r="G14" s="16">
        <v>333.36</v>
      </c>
      <c r="H14" s="16">
        <v>18.79</v>
      </c>
      <c r="I14" s="16">
        <v>1642.77</v>
      </c>
      <c r="J14" s="14">
        <v>728.29</v>
      </c>
      <c r="K14" s="14">
        <v>1233.1600000000001</v>
      </c>
      <c r="L14" s="33"/>
      <c r="M14" s="33"/>
      <c r="N14" s="33"/>
      <c r="O14" s="33"/>
      <c r="P14" s="33"/>
      <c r="Q14" s="33"/>
      <c r="R14" s="33"/>
      <c r="S14" s="32"/>
      <c r="T14" s="32"/>
    </row>
    <row r="15" spans="1:21" ht="18" customHeight="1">
      <c r="A15" s="9">
        <v>45627</v>
      </c>
      <c r="B15" s="3">
        <v>0.84027300000000005</v>
      </c>
      <c r="C15" s="30" t="str">
        <f t="shared" si="2"/>
        <v>Risk</v>
      </c>
      <c r="D15" s="41" t="str">
        <f t="shared" si="3"/>
        <v/>
      </c>
      <c r="E15" s="41" t="str">
        <f t="shared" si="4"/>
        <v/>
      </c>
      <c r="F15" s="16">
        <v>2399.4899999999998</v>
      </c>
      <c r="G15" s="16">
        <v>317.82</v>
      </c>
      <c r="H15" s="16">
        <v>21.14</v>
      </c>
      <c r="I15" s="16">
        <v>1575.57</v>
      </c>
      <c r="J15" s="14">
        <v>678.19</v>
      </c>
      <c r="K15" s="13">
        <v>1129.8</v>
      </c>
      <c r="L15" s="34">
        <f>$I11/$I15</f>
        <v>1.0648019446930319</v>
      </c>
      <c r="M15" s="34">
        <f>$I10/$I15</f>
        <v>1.1315777782009051</v>
      </c>
      <c r="N15" s="34">
        <f>$I9/$I15</f>
        <v>1.3051086273539101</v>
      </c>
      <c r="O15" s="34">
        <f>$I8/$I15</f>
        <v>1.3733188623799644</v>
      </c>
      <c r="P15" s="34">
        <f>$I7/$I15</f>
        <v>1.350425560273425</v>
      </c>
      <c r="Q15" s="34">
        <f>$I6/$I15</f>
        <v>1.4875568841752509</v>
      </c>
      <c r="R15" s="34">
        <f>$I5/$I15</f>
        <v>1.8167393387789816</v>
      </c>
      <c r="S15" s="34">
        <f>$I4/$I15</f>
        <v>1.6921622016159232</v>
      </c>
      <c r="T15" s="34">
        <f>$I4/$I15</f>
        <v>1.6921622016159232</v>
      </c>
    </row>
    <row r="16" spans="1:21" ht="18" customHeight="1">
      <c r="A16" s="9">
        <v>45597</v>
      </c>
      <c r="B16" s="3">
        <v>0.86388699999999996</v>
      </c>
      <c r="C16" s="30" t="str">
        <f t="shared" si="2"/>
        <v/>
      </c>
      <c r="D16" s="41" t="str">
        <f t="shared" si="3"/>
        <v/>
      </c>
      <c r="E16" s="41" t="str">
        <f t="shared" si="4"/>
        <v/>
      </c>
      <c r="F16" s="16">
        <v>2455.91</v>
      </c>
      <c r="G16" s="16">
        <v>325.45</v>
      </c>
      <c r="H16" s="16">
        <v>19.34</v>
      </c>
      <c r="I16" s="16">
        <v>1612.46</v>
      </c>
      <c r="J16" s="14">
        <v>678.19</v>
      </c>
      <c r="K16" s="14">
        <v>1133.83</v>
      </c>
    </row>
    <row r="17" spans="1:20" ht="18" customHeight="1">
      <c r="A17" s="9">
        <v>45566</v>
      </c>
      <c r="B17" s="3">
        <v>0.89510699999999999</v>
      </c>
      <c r="C17" s="30" t="str">
        <f t="shared" si="2"/>
        <v/>
      </c>
      <c r="D17" s="41" t="str">
        <f t="shared" si="3"/>
        <v/>
      </c>
      <c r="E17" s="41" t="str">
        <f t="shared" si="4"/>
        <v/>
      </c>
      <c r="F17" s="16">
        <v>2556.15</v>
      </c>
      <c r="G17" s="16">
        <v>339.32</v>
      </c>
      <c r="H17" s="16">
        <v>22.65</v>
      </c>
      <c r="I17" s="16">
        <v>1685.1</v>
      </c>
      <c r="J17" s="14">
        <v>743.06</v>
      </c>
      <c r="K17" s="14">
        <v>1273.29</v>
      </c>
      <c r="T17" s="32"/>
    </row>
    <row r="18" spans="1:20" ht="18" customHeight="1">
      <c r="A18" s="9">
        <v>45536</v>
      </c>
      <c r="B18" s="3">
        <v>0.90802499999999997</v>
      </c>
      <c r="C18" s="30" t="str">
        <f t="shared" si="2"/>
        <v/>
      </c>
      <c r="D18" s="41" t="str">
        <f t="shared" si="3"/>
        <v/>
      </c>
      <c r="E18" s="41" t="str">
        <f t="shared" si="4"/>
        <v/>
      </c>
      <c r="F18" s="16">
        <v>2593.27</v>
      </c>
      <c r="G18" s="16">
        <v>344.76</v>
      </c>
      <c r="H18" s="16">
        <v>25.44</v>
      </c>
      <c r="I18" s="16">
        <v>1719.2</v>
      </c>
      <c r="J18" s="14">
        <v>763.88</v>
      </c>
      <c r="K18" s="14">
        <v>1288.3399999999999</v>
      </c>
      <c r="S18" s="32"/>
      <c r="T18" s="32"/>
    </row>
    <row r="19" spans="1:20" ht="18" customHeight="1">
      <c r="A19" s="9">
        <v>45505</v>
      </c>
      <c r="B19" s="3">
        <v>0.95820899999999998</v>
      </c>
      <c r="C19" s="30" t="str">
        <f t="shared" si="2"/>
        <v/>
      </c>
      <c r="D19" s="41" t="str">
        <f t="shared" si="3"/>
        <v/>
      </c>
      <c r="E19" s="41" t="str">
        <f t="shared" si="4"/>
        <v/>
      </c>
      <c r="F19" s="16">
        <v>2674.31</v>
      </c>
      <c r="G19" s="16">
        <v>361.55</v>
      </c>
      <c r="H19" s="16">
        <v>18.809999999999999</v>
      </c>
      <c r="I19" s="16">
        <v>1802.36</v>
      </c>
      <c r="J19" s="14">
        <v>767.66</v>
      </c>
      <c r="K19" s="14">
        <v>1294.69</v>
      </c>
      <c r="R19" s="33"/>
      <c r="S19" s="32"/>
      <c r="T19" s="32"/>
    </row>
    <row r="20" spans="1:20" ht="18" customHeight="1">
      <c r="A20" s="9">
        <v>45474</v>
      </c>
      <c r="B20" s="3">
        <v>0.99315799999999999</v>
      </c>
      <c r="C20" s="30" t="str">
        <f t="shared" si="2"/>
        <v/>
      </c>
      <c r="D20" s="41" t="str">
        <f t="shared" si="3"/>
        <v/>
      </c>
      <c r="E20" s="41" t="str">
        <f t="shared" si="4"/>
        <v/>
      </c>
      <c r="F20" s="16">
        <v>2770.69</v>
      </c>
      <c r="G20" s="16">
        <v>380.49</v>
      </c>
      <c r="H20" s="16">
        <v>17.510000000000002</v>
      </c>
      <c r="I20" s="16">
        <v>1897.75</v>
      </c>
      <c r="J20" s="14">
        <v>803.15</v>
      </c>
      <c r="K20" s="14">
        <v>1338.75</v>
      </c>
      <c r="Q20" s="33"/>
      <c r="R20" s="33"/>
      <c r="S20" s="32"/>
      <c r="T20" s="32"/>
    </row>
    <row r="21" spans="1:20" ht="18" customHeight="1">
      <c r="A21" s="9">
        <v>45444</v>
      </c>
      <c r="B21" s="3">
        <v>1.001382</v>
      </c>
      <c r="C21" s="30" t="str">
        <f t="shared" si="2"/>
        <v/>
      </c>
      <c r="D21" s="41" t="str">
        <f t="shared" si="3"/>
        <v/>
      </c>
      <c r="E21" s="41" t="str">
        <f t="shared" si="4"/>
        <v/>
      </c>
      <c r="F21" s="16">
        <v>2797.82</v>
      </c>
      <c r="G21" s="16">
        <v>384.02</v>
      </c>
      <c r="H21" s="16">
        <v>16.100000000000001</v>
      </c>
      <c r="I21" s="16">
        <v>1919.36</v>
      </c>
      <c r="J21" s="14">
        <v>840.44</v>
      </c>
      <c r="K21" s="14">
        <v>1361.54</v>
      </c>
      <c r="P21" s="33"/>
      <c r="Q21" s="33"/>
      <c r="R21" s="33"/>
      <c r="S21" s="32"/>
      <c r="T21" s="32"/>
    </row>
    <row r="22" spans="1:20" ht="18" customHeight="1">
      <c r="A22" s="9">
        <v>45413</v>
      </c>
      <c r="B22" s="3">
        <v>0.95718300000000001</v>
      </c>
      <c r="C22" s="30" t="str">
        <f t="shared" si="2"/>
        <v/>
      </c>
      <c r="D22" s="41" t="str">
        <f t="shared" si="3"/>
        <v/>
      </c>
      <c r="E22" s="41" t="str">
        <f t="shared" si="4"/>
        <v/>
      </c>
      <c r="F22" s="16">
        <v>2636.52</v>
      </c>
      <c r="G22" s="16">
        <v>358.21</v>
      </c>
      <c r="H22" s="16">
        <v>16.899999999999999</v>
      </c>
      <c r="I22" s="16">
        <v>1799.7</v>
      </c>
      <c r="J22" s="14">
        <v>839.98</v>
      </c>
      <c r="K22" s="14">
        <v>1338.55</v>
      </c>
      <c r="O22" s="33"/>
      <c r="P22" s="33"/>
      <c r="Q22" s="33"/>
      <c r="R22" s="33"/>
      <c r="S22" s="32"/>
      <c r="T22" s="32"/>
    </row>
    <row r="23" spans="1:20" ht="18" customHeight="1">
      <c r="A23" s="9">
        <v>45383</v>
      </c>
      <c r="B23" s="5">
        <v>0.98</v>
      </c>
      <c r="C23" s="30" t="str">
        <f t="shared" si="2"/>
        <v/>
      </c>
      <c r="D23" s="41" t="str">
        <f t="shared" si="3"/>
        <v/>
      </c>
      <c r="E23" s="41" t="str">
        <f t="shared" si="4"/>
        <v/>
      </c>
      <c r="F23" s="16">
        <v>2692.06</v>
      </c>
      <c r="G23" s="16">
        <v>365.13</v>
      </c>
      <c r="H23" s="16">
        <v>18.14</v>
      </c>
      <c r="I23" s="16">
        <v>1836.69</v>
      </c>
      <c r="J23" s="14">
        <v>868.93</v>
      </c>
      <c r="K23" s="14">
        <v>1442.22</v>
      </c>
      <c r="N23" s="33"/>
      <c r="O23" s="33"/>
      <c r="P23" s="33"/>
      <c r="Q23" s="33"/>
      <c r="R23" s="33"/>
      <c r="S23" s="32"/>
      <c r="T23" s="32"/>
    </row>
    <row r="24" spans="1:20" ht="18" customHeight="1">
      <c r="A24" s="9">
        <v>45352</v>
      </c>
      <c r="B24" s="5">
        <v>1</v>
      </c>
      <c r="C24" s="30" t="str">
        <f t="shared" si="2"/>
        <v/>
      </c>
      <c r="D24" s="41" t="str">
        <f t="shared" si="3"/>
        <v/>
      </c>
      <c r="E24" s="41" t="str">
        <f t="shared" si="4"/>
        <v/>
      </c>
      <c r="F24" s="16">
        <v>2746.63</v>
      </c>
      <c r="G24" s="16">
        <v>374.63</v>
      </c>
      <c r="H24" s="16">
        <v>16.84</v>
      </c>
      <c r="I24" s="16">
        <v>1884.17</v>
      </c>
      <c r="J24" s="13">
        <v>905.5</v>
      </c>
      <c r="K24" s="14">
        <v>1520.44</v>
      </c>
      <c r="M24" s="33"/>
      <c r="N24" s="33"/>
      <c r="O24" s="33"/>
      <c r="P24" s="33"/>
      <c r="Q24" s="33"/>
      <c r="R24" s="33"/>
      <c r="S24" s="32"/>
      <c r="T24" s="32"/>
    </row>
    <row r="25" spans="1:20" ht="18" customHeight="1">
      <c r="A25" s="9">
        <v>45323</v>
      </c>
      <c r="B25" s="5">
        <v>0.96</v>
      </c>
      <c r="C25" s="30" t="str">
        <f t="shared" si="2"/>
        <v/>
      </c>
      <c r="D25" s="41" t="str">
        <f t="shared" si="3"/>
        <v/>
      </c>
      <c r="E25" s="41" t="str">
        <f t="shared" si="4"/>
        <v/>
      </c>
      <c r="F25" s="16">
        <v>2642.36</v>
      </c>
      <c r="G25" s="16">
        <v>355.57</v>
      </c>
      <c r="H25" s="16">
        <v>16.77</v>
      </c>
      <c r="I25" s="16">
        <v>1785.57</v>
      </c>
      <c r="J25" s="14">
        <v>862.96</v>
      </c>
      <c r="K25" s="14">
        <v>1402.26</v>
      </c>
      <c r="L25" s="33"/>
      <c r="M25" s="33"/>
      <c r="N25" s="33"/>
      <c r="O25" s="33"/>
      <c r="P25" s="33"/>
      <c r="Q25" s="33"/>
      <c r="R25" s="33"/>
      <c r="S25" s="32"/>
      <c r="T25" s="32"/>
    </row>
    <row r="26" spans="1:20" ht="18" customHeight="1">
      <c r="A26" s="9">
        <v>45292</v>
      </c>
      <c r="B26" s="5">
        <v>0.91</v>
      </c>
      <c r="C26" s="30" t="str">
        <f t="shared" si="2"/>
        <v/>
      </c>
      <c r="D26" s="41" t="str">
        <f t="shared" si="3"/>
        <v/>
      </c>
      <c r="E26" s="41" t="str">
        <f t="shared" si="4"/>
        <v/>
      </c>
      <c r="F26" s="16">
        <v>2497.09</v>
      </c>
      <c r="G26" s="16">
        <v>336.24</v>
      </c>
      <c r="H26" s="16">
        <v>17.02</v>
      </c>
      <c r="I26" s="16">
        <v>1691.46</v>
      </c>
      <c r="J26" s="14">
        <v>799.24</v>
      </c>
      <c r="K26" s="14">
        <v>1241.75</v>
      </c>
      <c r="L26" s="33"/>
      <c r="M26" s="33"/>
      <c r="N26" s="33"/>
      <c r="O26" s="33"/>
      <c r="P26" s="33"/>
      <c r="Q26" s="33"/>
      <c r="R26" s="33"/>
      <c r="S26" s="32"/>
      <c r="T26" s="32"/>
    </row>
    <row r="27" spans="1:20" ht="18" customHeight="1">
      <c r="A27" s="9">
        <v>45261</v>
      </c>
      <c r="B27" s="5">
        <v>0.96</v>
      </c>
      <c r="C27" s="30" t="str">
        <f t="shared" si="2"/>
        <v/>
      </c>
      <c r="D27" s="41" t="str">
        <f t="shared" si="3"/>
        <v/>
      </c>
      <c r="E27" s="41" t="str">
        <f t="shared" si="4"/>
        <v/>
      </c>
      <c r="F27" s="16">
        <v>2655.28</v>
      </c>
      <c r="G27" s="16">
        <v>357.99</v>
      </c>
      <c r="H27" s="16">
        <v>17.78</v>
      </c>
      <c r="I27" s="16">
        <v>1820.45</v>
      </c>
      <c r="J27" s="14">
        <v>866.57</v>
      </c>
      <c r="K27" s="14">
        <v>1393.46</v>
      </c>
      <c r="L27" s="33"/>
      <c r="M27" s="33"/>
      <c r="N27" s="33"/>
      <c r="O27" s="33"/>
      <c r="P27" s="33"/>
      <c r="Q27" s="33"/>
      <c r="R27" s="33"/>
      <c r="S27" s="32"/>
      <c r="T27" s="32"/>
    </row>
    <row r="28" spans="1:20" ht="18" customHeight="1">
      <c r="A28" s="9">
        <v>45231</v>
      </c>
      <c r="B28" s="5">
        <v>0.92</v>
      </c>
      <c r="C28" s="30" t="str">
        <f t="shared" si="2"/>
        <v/>
      </c>
      <c r="D28" s="41" t="str">
        <f t="shared" si="3"/>
        <v/>
      </c>
      <c r="E28" s="41" t="str">
        <f t="shared" si="4"/>
        <v/>
      </c>
      <c r="F28" s="16">
        <v>2535.29</v>
      </c>
      <c r="G28" s="16">
        <v>338.43</v>
      </c>
      <c r="H28" s="16">
        <v>14.46</v>
      </c>
      <c r="I28" s="16">
        <v>1698.8</v>
      </c>
      <c r="J28" s="14">
        <v>831.68</v>
      </c>
      <c r="K28" s="14">
        <v>1323.92</v>
      </c>
      <c r="L28" s="33"/>
      <c r="M28" s="33"/>
      <c r="N28" s="33"/>
      <c r="O28" s="33"/>
      <c r="P28" s="33"/>
      <c r="Q28" s="33"/>
      <c r="R28" s="33"/>
      <c r="S28" s="32"/>
      <c r="T28" s="32"/>
    </row>
    <row r="29" spans="1:20" ht="18" customHeight="1">
      <c r="A29" s="9">
        <v>45200</v>
      </c>
      <c r="B29" s="3">
        <v>0.82694800000000002</v>
      </c>
      <c r="C29" s="30" t="str">
        <f t="shared" si="2"/>
        <v>Risk</v>
      </c>
      <c r="D29" s="41" t="str">
        <f t="shared" si="3"/>
        <v/>
      </c>
      <c r="E29" s="41" t="str">
        <f t="shared" si="4"/>
        <v/>
      </c>
      <c r="F29" s="16">
        <v>2277.9899999999998</v>
      </c>
      <c r="G29" s="16">
        <v>305.56</v>
      </c>
      <c r="H29" s="16">
        <v>19.89</v>
      </c>
      <c r="I29" s="16">
        <v>1538.26</v>
      </c>
      <c r="J29" s="13">
        <v>736.1</v>
      </c>
      <c r="K29" s="14">
        <v>1147.92</v>
      </c>
      <c r="L29" s="34">
        <f>$I25/$I29</f>
        <v>1.160772561205518</v>
      </c>
      <c r="M29" s="34">
        <f>$I24/$I29</f>
        <v>1.2248709580955106</v>
      </c>
      <c r="N29" s="34">
        <f>$I23/$I29</f>
        <v>1.1940049146438183</v>
      </c>
      <c r="O29" s="34">
        <f>$I22/$I29</f>
        <v>1.1699582645326538</v>
      </c>
      <c r="P29" s="34">
        <f>$I21/$I29</f>
        <v>1.2477474549165941</v>
      </c>
      <c r="Q29" s="34">
        <f>$I20/$I29</f>
        <v>1.2336991145840106</v>
      </c>
      <c r="R29" s="34">
        <f>$I19/$I29</f>
        <v>1.1716874910613291</v>
      </c>
      <c r="S29" s="34">
        <f>$I18/$I29</f>
        <v>1.1176264090595869</v>
      </c>
      <c r="T29" s="34">
        <f>$I17/$I29</f>
        <v>1.0954585050641634</v>
      </c>
    </row>
    <row r="30" spans="1:20" ht="18" customHeight="1">
      <c r="A30" s="9">
        <v>45170</v>
      </c>
      <c r="B30" s="3">
        <v>0.89318699999999995</v>
      </c>
      <c r="C30" s="30" t="str">
        <f t="shared" si="2"/>
        <v/>
      </c>
      <c r="D30" s="41" t="str">
        <f t="shared" si="3"/>
        <v/>
      </c>
      <c r="E30" s="41" t="str">
        <f t="shared" si="4"/>
        <v/>
      </c>
      <c r="F30" s="16">
        <v>2465.0700000000002</v>
      </c>
      <c r="G30" s="16">
        <v>326.70999999999998</v>
      </c>
      <c r="H30" s="16">
        <v>15.08</v>
      </c>
      <c r="I30" s="16">
        <v>1647.96</v>
      </c>
      <c r="J30" s="14">
        <v>841.02</v>
      </c>
      <c r="K30" s="14">
        <v>1321.64</v>
      </c>
      <c r="T30" s="32"/>
    </row>
    <row r="31" spans="1:20" ht="18" customHeight="1">
      <c r="A31" s="9">
        <v>45139</v>
      </c>
      <c r="B31" s="3">
        <v>0.93718599999999996</v>
      </c>
      <c r="C31" s="30" t="str">
        <f t="shared" si="2"/>
        <v/>
      </c>
      <c r="D31" s="41" t="str">
        <f t="shared" si="3"/>
        <v/>
      </c>
      <c r="E31" s="41" t="str">
        <f t="shared" si="4"/>
        <v/>
      </c>
      <c r="F31" s="16">
        <v>2556.27</v>
      </c>
      <c r="G31" s="16">
        <v>334.75</v>
      </c>
      <c r="H31" s="16">
        <v>12.78</v>
      </c>
      <c r="I31" s="16">
        <v>1686.41</v>
      </c>
      <c r="J31" s="13">
        <v>928.4</v>
      </c>
      <c r="K31" s="14">
        <v>1483.08</v>
      </c>
      <c r="S31" s="32"/>
      <c r="T31" s="32"/>
    </row>
    <row r="32" spans="1:20" ht="18" customHeight="1">
      <c r="A32" s="9">
        <v>45108</v>
      </c>
      <c r="B32" s="3">
        <v>0.96419200000000005</v>
      </c>
      <c r="C32" s="30" t="str">
        <f t="shared" si="2"/>
        <v/>
      </c>
      <c r="D32" s="41" t="str">
        <f t="shared" si="3"/>
        <v/>
      </c>
      <c r="E32" s="41" t="str">
        <f t="shared" si="4"/>
        <v/>
      </c>
      <c r="F32" s="16">
        <v>2632.58</v>
      </c>
      <c r="G32" s="16">
        <v>345.62</v>
      </c>
      <c r="H32" s="16">
        <v>14.21</v>
      </c>
      <c r="I32" s="16">
        <v>1748.34</v>
      </c>
      <c r="J32" s="14">
        <v>935.97</v>
      </c>
      <c r="K32" s="14">
        <v>1551.24</v>
      </c>
      <c r="R32" s="33"/>
      <c r="S32" s="32"/>
      <c r="T32" s="32"/>
    </row>
    <row r="33" spans="1:20" ht="18" customHeight="1">
      <c r="A33" s="9">
        <v>45078</v>
      </c>
      <c r="B33" s="3">
        <v>0.938608</v>
      </c>
      <c r="C33" s="30" t="str">
        <f t="shared" si="2"/>
        <v/>
      </c>
      <c r="D33" s="41" t="str">
        <f t="shared" si="3"/>
        <v/>
      </c>
      <c r="E33" s="41" t="str">
        <f t="shared" si="4"/>
        <v/>
      </c>
      <c r="F33" s="16">
        <v>2564.2800000000002</v>
      </c>
      <c r="G33" s="16">
        <v>337.95</v>
      </c>
      <c r="H33" s="16">
        <v>12.59</v>
      </c>
      <c r="I33" s="16">
        <v>1714.36</v>
      </c>
      <c r="J33" s="14">
        <v>868.24</v>
      </c>
      <c r="K33" s="14">
        <v>1322.36</v>
      </c>
      <c r="Q33" s="33"/>
      <c r="R33" s="33"/>
      <c r="S33" s="32"/>
      <c r="T33" s="32"/>
    </row>
    <row r="34" spans="1:20" ht="18" customHeight="1">
      <c r="A34" s="9">
        <v>45047</v>
      </c>
      <c r="B34" s="3">
        <v>0.98162400000000005</v>
      </c>
      <c r="C34" s="30" t="str">
        <f t="shared" si="2"/>
        <v/>
      </c>
      <c r="D34" s="41" t="str">
        <f t="shared" si="3"/>
        <v/>
      </c>
      <c r="E34" s="41" t="str">
        <f t="shared" si="4"/>
        <v/>
      </c>
      <c r="F34" s="16">
        <v>2577.12</v>
      </c>
      <c r="G34" s="16">
        <v>339.12</v>
      </c>
      <c r="H34" s="16">
        <v>14.8</v>
      </c>
      <c r="I34" s="16">
        <v>1714.7</v>
      </c>
      <c r="J34" s="14">
        <v>856.94</v>
      </c>
      <c r="K34" s="14">
        <v>1308.6500000000001</v>
      </c>
      <c r="P34" s="33"/>
      <c r="Q34" s="33"/>
      <c r="R34" s="33"/>
      <c r="S34" s="32"/>
      <c r="T34" s="32"/>
    </row>
    <row r="35" spans="1:20" ht="18" customHeight="1">
      <c r="A35" s="9">
        <v>45017</v>
      </c>
      <c r="B35" s="3">
        <v>0.94302699999999995</v>
      </c>
      <c r="C35" s="30" t="str">
        <f t="shared" si="2"/>
        <v/>
      </c>
      <c r="D35" s="41" t="str">
        <f t="shared" si="3"/>
        <v/>
      </c>
      <c r="E35" s="41" t="str">
        <f t="shared" si="4"/>
        <v/>
      </c>
      <c r="F35" s="16">
        <v>2501.5300000000002</v>
      </c>
      <c r="G35" s="16">
        <v>326.45999999999998</v>
      </c>
      <c r="H35" s="16">
        <v>14.51</v>
      </c>
      <c r="I35" s="16">
        <v>1650.97</v>
      </c>
      <c r="J35" s="14">
        <v>842.83</v>
      </c>
      <c r="K35" s="14">
        <v>1299.28</v>
      </c>
      <c r="O35" s="33"/>
      <c r="P35" s="33"/>
      <c r="Q35" s="33"/>
      <c r="R35" s="33"/>
      <c r="S35" s="32"/>
      <c r="T35" s="32"/>
    </row>
    <row r="36" spans="1:20" ht="18" customHeight="1">
      <c r="A36" s="9">
        <v>44986</v>
      </c>
      <c r="B36" s="11">
        <v>0.93132300000000001</v>
      </c>
      <c r="C36" s="30" t="str">
        <f t="shared" si="2"/>
        <v/>
      </c>
      <c r="D36" s="41" t="str">
        <f t="shared" si="3"/>
        <v/>
      </c>
      <c r="E36" s="41" t="str">
        <f t="shared" si="4"/>
        <v/>
      </c>
      <c r="F36" s="16">
        <v>2476.86</v>
      </c>
      <c r="G36" s="16">
        <v>322.02999999999997</v>
      </c>
      <c r="H36" s="16">
        <v>15.57</v>
      </c>
      <c r="I36" s="16">
        <v>1637.31</v>
      </c>
      <c r="J36" s="14">
        <v>847.52</v>
      </c>
      <c r="K36" s="14">
        <v>1260.21</v>
      </c>
      <c r="N36" s="33"/>
      <c r="O36" s="33"/>
      <c r="P36" s="33"/>
      <c r="Q36" s="33"/>
      <c r="R36" s="33"/>
      <c r="S36" s="32"/>
      <c r="T36" s="32"/>
    </row>
    <row r="37" spans="1:20" ht="18" customHeight="1">
      <c r="A37" s="9">
        <v>44958</v>
      </c>
      <c r="B37" s="11">
        <v>0.90686500000000003</v>
      </c>
      <c r="C37" s="30" t="str">
        <f t="shared" si="2"/>
        <v/>
      </c>
      <c r="D37" s="41" t="str">
        <f t="shared" si="3"/>
        <v/>
      </c>
      <c r="E37" s="41" t="str">
        <f t="shared" si="4"/>
        <v/>
      </c>
      <c r="F37" s="16">
        <v>2412.85</v>
      </c>
      <c r="G37" s="16">
        <v>314.8</v>
      </c>
      <c r="H37" s="16">
        <v>18.53</v>
      </c>
      <c r="I37" s="16">
        <v>1605.25</v>
      </c>
      <c r="J37" s="13">
        <v>791.6</v>
      </c>
      <c r="K37" s="14">
        <v>1143.05</v>
      </c>
      <c r="M37" s="33"/>
      <c r="N37" s="33"/>
      <c r="O37" s="33"/>
      <c r="P37" s="33"/>
      <c r="Q37" s="33"/>
      <c r="R37" s="33"/>
      <c r="S37" s="32"/>
      <c r="T37" s="32"/>
    </row>
    <row r="38" spans="1:20" ht="18" customHeight="1">
      <c r="A38" s="9">
        <v>44927</v>
      </c>
      <c r="B38" s="11">
        <v>0.91425400000000001</v>
      </c>
      <c r="C38" s="30" t="str">
        <f t="shared" si="2"/>
        <v/>
      </c>
      <c r="D38" s="41" t="str">
        <f t="shared" si="3"/>
        <v/>
      </c>
      <c r="E38" s="41" t="str">
        <f t="shared" si="4"/>
        <v/>
      </c>
      <c r="F38" s="16">
        <v>2425.08</v>
      </c>
      <c r="G38" s="16">
        <v>317.26</v>
      </c>
      <c r="H38" s="16">
        <v>17.75</v>
      </c>
      <c r="I38" s="16">
        <v>1619.74</v>
      </c>
      <c r="J38" s="14">
        <v>740.49</v>
      </c>
      <c r="K38" s="13">
        <v>1021.6</v>
      </c>
      <c r="L38" s="33"/>
      <c r="M38" s="33"/>
      <c r="N38" s="33"/>
      <c r="O38" s="33"/>
      <c r="P38" s="33"/>
      <c r="Q38" s="33"/>
      <c r="R38" s="33"/>
      <c r="S38" s="32"/>
      <c r="T38" s="32"/>
    </row>
    <row r="39" spans="1:20" ht="18" customHeight="1">
      <c r="A39" s="9">
        <v>44896</v>
      </c>
      <c r="B39" s="11">
        <v>0.84129799999999999</v>
      </c>
      <c r="C39" s="30" t="str">
        <f t="shared" si="2"/>
        <v>Risk</v>
      </c>
      <c r="D39" s="41" t="str">
        <f t="shared" si="3"/>
        <v/>
      </c>
      <c r="E39" s="41" t="str">
        <f t="shared" si="4"/>
        <v/>
      </c>
      <c r="F39" s="16">
        <v>2236.4</v>
      </c>
      <c r="G39" s="16">
        <v>291.10000000000002</v>
      </c>
      <c r="H39" s="16">
        <v>18.399999999999999</v>
      </c>
      <c r="I39" s="16">
        <v>1488.59</v>
      </c>
      <c r="J39" s="14">
        <v>679.29</v>
      </c>
      <c r="K39" s="14">
        <v>957.78</v>
      </c>
      <c r="L39" s="33"/>
      <c r="M39" s="33"/>
      <c r="N39" s="33"/>
      <c r="O39" s="33"/>
      <c r="P39" s="33"/>
      <c r="Q39" s="33"/>
      <c r="R39" s="33"/>
      <c r="S39" s="32"/>
      <c r="T39" s="32"/>
    </row>
    <row r="40" spans="1:20" ht="18" customHeight="1">
      <c r="A40" s="9">
        <v>44866</v>
      </c>
      <c r="B40" s="11">
        <v>0.95905799999999997</v>
      </c>
      <c r="C40" s="30" t="str">
        <f t="shared" si="2"/>
        <v/>
      </c>
      <c r="D40" s="41" t="str">
        <f t="shared" si="3"/>
        <v/>
      </c>
      <c r="E40" s="41" t="str">
        <f t="shared" si="4"/>
        <v/>
      </c>
      <c r="F40" s="16">
        <v>2472.5300000000002</v>
      </c>
      <c r="G40" s="16">
        <v>321</v>
      </c>
      <c r="H40" s="16">
        <v>17.78</v>
      </c>
      <c r="I40" s="16">
        <v>1616.28</v>
      </c>
      <c r="J40" s="14">
        <v>729.54</v>
      </c>
      <c r="K40" s="14">
        <v>1038.42</v>
      </c>
      <c r="L40" s="33"/>
      <c r="M40" s="33"/>
      <c r="N40" s="33"/>
      <c r="O40" s="33"/>
      <c r="P40" s="33"/>
      <c r="Q40" s="33"/>
      <c r="R40" s="33"/>
      <c r="S40" s="32"/>
      <c r="T40" s="32"/>
    </row>
    <row r="41" spans="1:20" ht="18" customHeight="1">
      <c r="A41" s="9">
        <v>44835</v>
      </c>
      <c r="B41" s="11">
        <v>0.88847299999999996</v>
      </c>
      <c r="C41" s="30" t="str">
        <f t="shared" si="2"/>
        <v/>
      </c>
      <c r="D41" s="41" t="str">
        <f t="shared" si="3"/>
        <v/>
      </c>
      <c r="E41" s="41" t="str">
        <f t="shared" si="4"/>
        <v/>
      </c>
      <c r="F41" s="16">
        <v>2293.61</v>
      </c>
      <c r="G41" s="16">
        <v>299.58</v>
      </c>
      <c r="H41" s="16">
        <v>21.97</v>
      </c>
      <c r="I41" s="16">
        <v>1520.46</v>
      </c>
      <c r="J41" s="14">
        <v>695.33</v>
      </c>
      <c r="K41" s="14">
        <v>1006.82</v>
      </c>
      <c r="L41" s="33"/>
      <c r="M41" s="33"/>
      <c r="N41" s="33"/>
      <c r="O41" s="33"/>
      <c r="P41" s="33"/>
      <c r="Q41" s="33"/>
      <c r="R41" s="33"/>
      <c r="S41" s="32"/>
      <c r="T41" s="32"/>
    </row>
    <row r="42" spans="1:20" ht="18" customHeight="1">
      <c r="A42" s="9">
        <v>44805</v>
      </c>
      <c r="B42" s="3">
        <v>0.83385600000000004</v>
      </c>
      <c r="C42" s="30" t="str">
        <f t="shared" si="2"/>
        <v>Risk</v>
      </c>
      <c r="D42" s="41" t="str">
        <f t="shared" si="3"/>
        <v/>
      </c>
      <c r="E42" s="41" t="str">
        <f t="shared" si="4"/>
        <v/>
      </c>
      <c r="F42" s="16">
        <v>2155.4899999999998</v>
      </c>
      <c r="G42" s="16">
        <v>281.36</v>
      </c>
      <c r="H42" s="16">
        <v>27.19</v>
      </c>
      <c r="I42" s="16">
        <v>1428.18</v>
      </c>
      <c r="J42" s="14">
        <v>672.65</v>
      </c>
      <c r="K42" s="14">
        <v>956.48</v>
      </c>
      <c r="L42" s="34">
        <f>$I38/$I42</f>
        <v>1.1341287512778502</v>
      </c>
      <c r="M42" s="34">
        <f>$I37/$I42</f>
        <v>1.1239829713341456</v>
      </c>
      <c r="N42" s="34">
        <f>$I36/$I42</f>
        <v>1.1464311221274628</v>
      </c>
      <c r="O42" s="34">
        <f>$I35/$I42</f>
        <v>1.1559957428335363</v>
      </c>
      <c r="P42" s="34">
        <f>$I34/$I42</f>
        <v>1.2006189695976697</v>
      </c>
      <c r="Q42" s="34">
        <f>$I33/$I42</f>
        <v>1.2003809043677967</v>
      </c>
      <c r="R42" s="34">
        <f>$I32/$I42</f>
        <v>1.2241734235180439</v>
      </c>
      <c r="S42" s="34">
        <f>$I31/$I42</f>
        <v>1.1808105420885322</v>
      </c>
      <c r="T42" s="34">
        <f>$I30/$I42</f>
        <v>1.1538881653573079</v>
      </c>
    </row>
    <row r="43" spans="1:20" ht="18" customHeight="1">
      <c r="A43" s="9">
        <v>44774</v>
      </c>
      <c r="B43" s="3">
        <v>0.97728800000000005</v>
      </c>
      <c r="C43" s="30" t="str">
        <f t="shared" si="2"/>
        <v/>
      </c>
      <c r="D43" s="41" t="str">
        <f t="shared" si="3"/>
        <v/>
      </c>
      <c r="E43" s="41" t="str">
        <f t="shared" si="4"/>
        <v/>
      </c>
      <c r="F43" s="16">
        <v>2472.0500000000002</v>
      </c>
      <c r="G43" s="16">
        <v>322.95999999999998</v>
      </c>
      <c r="H43" s="16">
        <v>17.309999999999999</v>
      </c>
      <c r="I43" s="16">
        <v>1625.97</v>
      </c>
      <c r="J43" s="14">
        <v>807.04</v>
      </c>
      <c r="K43" s="14">
        <v>1155.03</v>
      </c>
    </row>
    <row r="44" spans="1:20" ht="18" customHeight="1">
      <c r="A44" s="9">
        <v>44743</v>
      </c>
      <c r="B44" s="3">
        <v>0.96806300000000001</v>
      </c>
      <c r="C44" s="30" t="str">
        <f t="shared" si="2"/>
        <v/>
      </c>
      <c r="D44" s="41" t="str">
        <f t="shared" si="3"/>
        <v/>
      </c>
      <c r="E44" s="41" t="str">
        <f t="shared" si="4"/>
        <v/>
      </c>
      <c r="F44" s="16">
        <v>2451.5</v>
      </c>
      <c r="G44" s="16">
        <v>323.31</v>
      </c>
      <c r="H44" s="16">
        <v>17.79</v>
      </c>
      <c r="I44" s="16">
        <v>1638.38</v>
      </c>
      <c r="J44" s="14">
        <v>803.62</v>
      </c>
      <c r="K44" s="13">
        <v>1151.8</v>
      </c>
    </row>
    <row r="45" spans="1:20" ht="18" customHeight="1">
      <c r="A45" s="9">
        <v>44713</v>
      </c>
      <c r="B45" s="3">
        <v>0.92029099999999997</v>
      </c>
      <c r="C45" s="30" t="str">
        <f t="shared" si="2"/>
        <v/>
      </c>
      <c r="D45" s="41" t="str">
        <f t="shared" si="3"/>
        <v/>
      </c>
      <c r="E45" s="41" t="str">
        <f t="shared" si="4"/>
        <v/>
      </c>
      <c r="F45" s="16">
        <v>2332.64</v>
      </c>
      <c r="G45" s="16">
        <v>307.2</v>
      </c>
      <c r="H45" s="16">
        <v>23.9</v>
      </c>
      <c r="I45" s="16">
        <v>1557.34</v>
      </c>
      <c r="J45" s="14">
        <v>745.44</v>
      </c>
      <c r="K45" s="14">
        <v>1056.42</v>
      </c>
    </row>
    <row r="46" spans="1:20" ht="18" customHeight="1">
      <c r="A46" s="9">
        <v>44682</v>
      </c>
      <c r="B46" s="3">
        <v>1.075215</v>
      </c>
      <c r="C46" s="30" t="str">
        <f t="shared" si="2"/>
        <v/>
      </c>
      <c r="D46" s="41" t="str">
        <f t="shared" si="3"/>
        <v/>
      </c>
      <c r="E46" s="41" t="str">
        <f t="shared" si="4"/>
        <v/>
      </c>
      <c r="F46" s="16">
        <v>2685.9</v>
      </c>
      <c r="G46" s="16">
        <v>354.54</v>
      </c>
      <c r="H46" s="16">
        <v>17.260000000000002</v>
      </c>
      <c r="I46" s="16">
        <v>1793.38</v>
      </c>
      <c r="J46" s="14">
        <v>893.36</v>
      </c>
      <c r="K46" s="14">
        <v>1269.22</v>
      </c>
    </row>
    <row r="47" spans="1:20" ht="18" customHeight="1">
      <c r="A47" s="9">
        <v>44652</v>
      </c>
      <c r="B47" s="3">
        <v>1.097928</v>
      </c>
      <c r="C47" s="30" t="str">
        <f t="shared" si="2"/>
        <v/>
      </c>
      <c r="D47" s="41" t="str">
        <f t="shared" si="3"/>
        <v/>
      </c>
      <c r="E47" s="41" t="str">
        <f t="shared" si="4"/>
        <v/>
      </c>
      <c r="F47" s="16">
        <v>2695.05</v>
      </c>
      <c r="G47" s="16">
        <v>355.08</v>
      </c>
      <c r="H47" s="16">
        <v>18.920000000000002</v>
      </c>
      <c r="I47" s="16">
        <v>1800.72</v>
      </c>
      <c r="J47" s="14">
        <v>904.75</v>
      </c>
      <c r="K47" s="14">
        <v>1261.29</v>
      </c>
    </row>
    <row r="48" spans="1:20" ht="18" customHeight="1">
      <c r="A48" s="9">
        <v>44621</v>
      </c>
      <c r="B48" s="3">
        <v>1.1232880000000001</v>
      </c>
      <c r="C48" s="30" t="str">
        <f t="shared" si="2"/>
        <v/>
      </c>
      <c r="D48" s="41" t="str">
        <f t="shared" si="3"/>
        <v/>
      </c>
      <c r="E48" s="41" t="str">
        <f t="shared" si="4"/>
        <v/>
      </c>
      <c r="F48" s="16">
        <v>2757.65</v>
      </c>
      <c r="G48" s="16">
        <v>365.61</v>
      </c>
      <c r="H48" s="16">
        <v>17.14</v>
      </c>
      <c r="I48" s="16">
        <v>1851.87</v>
      </c>
      <c r="J48" s="14">
        <v>944.53</v>
      </c>
      <c r="K48" s="14">
        <v>1332.65</v>
      </c>
    </row>
    <row r="49" spans="1:20" ht="18" customHeight="1">
      <c r="A49" s="9">
        <v>44593</v>
      </c>
      <c r="B49" s="3">
        <v>1.0990470000000001</v>
      </c>
      <c r="C49" s="30" t="str">
        <f t="shared" si="2"/>
        <v/>
      </c>
      <c r="D49" s="41" t="str">
        <f t="shared" si="3"/>
        <v/>
      </c>
      <c r="E49" s="41" t="str">
        <f t="shared" si="4"/>
        <v/>
      </c>
      <c r="F49" s="16">
        <v>2699.18</v>
      </c>
      <c r="G49" s="16">
        <v>361.54</v>
      </c>
      <c r="H49" s="16">
        <v>24.41</v>
      </c>
      <c r="I49" s="16">
        <v>1828.27</v>
      </c>
      <c r="J49" s="14">
        <v>881.07</v>
      </c>
      <c r="K49" s="14">
        <v>1257.1400000000001</v>
      </c>
    </row>
    <row r="50" spans="1:20" ht="18" customHeight="1">
      <c r="A50" s="9">
        <v>44562</v>
      </c>
      <c r="B50" s="3">
        <v>1.0827770000000001</v>
      </c>
      <c r="C50" s="30" t="str">
        <f t="shared" si="2"/>
        <v/>
      </c>
      <c r="D50" s="41" t="str">
        <f t="shared" si="3"/>
        <v/>
      </c>
      <c r="E50" s="41" t="str">
        <f t="shared" si="4"/>
        <v/>
      </c>
      <c r="F50" s="16">
        <v>2663.34</v>
      </c>
      <c r="G50" s="16">
        <v>357.98</v>
      </c>
      <c r="H50" s="16">
        <v>23.97</v>
      </c>
      <c r="I50" s="16">
        <v>1804.99</v>
      </c>
      <c r="J50" s="14">
        <v>872.87</v>
      </c>
      <c r="K50" s="13">
        <v>1244.9000000000001</v>
      </c>
    </row>
    <row r="51" spans="1:20" ht="18" customHeight="1">
      <c r="A51" s="9">
        <v>44531</v>
      </c>
      <c r="B51" s="3">
        <v>1.1415519999999999</v>
      </c>
      <c r="C51" s="30" t="str">
        <f t="shared" si="2"/>
        <v/>
      </c>
      <c r="D51" s="41" t="str">
        <f t="shared" si="3"/>
        <v/>
      </c>
      <c r="E51" s="41" t="str">
        <f t="shared" si="4"/>
        <v/>
      </c>
      <c r="F51" s="16">
        <v>2977.65</v>
      </c>
      <c r="G51" s="16">
        <v>394.19</v>
      </c>
      <c r="H51" s="16">
        <v>16.5</v>
      </c>
      <c r="I51" s="16">
        <v>1995.56</v>
      </c>
      <c r="J51" s="14">
        <v>1033.98</v>
      </c>
      <c r="K51" s="14">
        <v>1524.21</v>
      </c>
    </row>
    <row r="52" spans="1:20" ht="18" customHeight="1">
      <c r="A52" s="9">
        <v>44501</v>
      </c>
      <c r="B52" s="3">
        <v>1.1318319999999999</v>
      </c>
      <c r="C52" s="30" t="str">
        <f t="shared" si="2"/>
        <v/>
      </c>
      <c r="D52" s="41" t="str">
        <f t="shared" si="3"/>
        <v/>
      </c>
      <c r="E52" s="41" t="str">
        <f t="shared" si="4"/>
        <v/>
      </c>
      <c r="F52" s="16">
        <v>2839.01</v>
      </c>
      <c r="G52" s="16">
        <v>373.24</v>
      </c>
      <c r="H52" s="16">
        <v>23.23</v>
      </c>
      <c r="I52" s="16">
        <v>1873.74</v>
      </c>
      <c r="J52" s="14">
        <v>965.63</v>
      </c>
      <c r="K52" s="14">
        <v>1448.84</v>
      </c>
    </row>
    <row r="53" spans="1:20" ht="18" customHeight="1">
      <c r="A53" s="9">
        <v>44470</v>
      </c>
      <c r="B53" s="3">
        <v>1.1723330000000001</v>
      </c>
      <c r="C53" s="30" t="str">
        <f t="shared" si="2"/>
        <v/>
      </c>
      <c r="D53" s="41" t="str">
        <f t="shared" si="3"/>
        <v/>
      </c>
      <c r="E53" s="41" t="str">
        <f t="shared" si="4"/>
        <v/>
      </c>
      <c r="F53" s="16">
        <v>2970.68</v>
      </c>
      <c r="G53" s="16">
        <v>388.47</v>
      </c>
      <c r="H53" s="16">
        <v>18.55</v>
      </c>
      <c r="I53" s="16">
        <v>1948.02</v>
      </c>
      <c r="J53" s="14">
        <v>992.33</v>
      </c>
      <c r="K53" s="14">
        <v>1444.19</v>
      </c>
    </row>
    <row r="54" spans="1:20" ht="18" customHeight="1">
      <c r="A54" s="9">
        <v>44440</v>
      </c>
      <c r="B54" s="3">
        <v>1.2105570000000001</v>
      </c>
      <c r="C54" s="30" t="str">
        <f t="shared" si="2"/>
        <v/>
      </c>
      <c r="D54" s="41" t="str">
        <f t="shared" si="3"/>
        <v/>
      </c>
      <c r="E54" s="41" t="str">
        <f t="shared" si="4"/>
        <v/>
      </c>
      <c r="F54" s="16">
        <v>3068.82</v>
      </c>
      <c r="G54" s="16">
        <v>401.3</v>
      </c>
      <c r="H54" s="16">
        <v>17.350000000000001</v>
      </c>
      <c r="I54" s="16">
        <v>2015.02</v>
      </c>
      <c r="J54" s="14">
        <v>1003.27</v>
      </c>
      <c r="K54" s="14">
        <v>1475.06</v>
      </c>
    </row>
    <row r="55" spans="1:20" ht="18" customHeight="1">
      <c r="A55" s="9">
        <v>44409</v>
      </c>
      <c r="B55" s="3">
        <v>1.300484</v>
      </c>
      <c r="C55" s="30" t="str">
        <f t="shared" si="2"/>
        <v/>
      </c>
      <c r="D55" s="41" t="str">
        <f t="shared" si="3"/>
        <v/>
      </c>
      <c r="E55" s="41" t="str">
        <f t="shared" si="4"/>
        <v/>
      </c>
      <c r="F55" s="16">
        <v>3199.27</v>
      </c>
      <c r="G55" s="16">
        <v>419.79</v>
      </c>
      <c r="H55" s="16">
        <v>14.76</v>
      </c>
      <c r="I55" s="16">
        <v>2103.6999999999998</v>
      </c>
      <c r="J55" s="14">
        <v>1038.33</v>
      </c>
      <c r="K55" s="14">
        <v>1512.05</v>
      </c>
    </row>
    <row r="56" spans="1:20" ht="18" customHeight="1">
      <c r="A56" s="9">
        <v>44378</v>
      </c>
      <c r="B56" s="3">
        <v>1.2705679999999999</v>
      </c>
      <c r="C56" s="30" t="str">
        <f t="shared" si="2"/>
        <v/>
      </c>
      <c r="D56" s="41" t="str">
        <f t="shared" si="3"/>
        <v/>
      </c>
      <c r="E56" s="41" t="str">
        <f t="shared" si="4"/>
        <v/>
      </c>
      <c r="F56" s="16">
        <v>3202.32</v>
      </c>
      <c r="G56" s="16">
        <v>423.91</v>
      </c>
      <c r="H56" s="16">
        <v>17.3</v>
      </c>
      <c r="I56" s="16">
        <v>2128.27</v>
      </c>
      <c r="J56" s="14">
        <v>1031.1400000000001</v>
      </c>
      <c r="K56" s="14">
        <v>1452.86</v>
      </c>
    </row>
    <row r="57" spans="1:20" ht="18" customHeight="1">
      <c r="A57" s="9">
        <v>44348</v>
      </c>
      <c r="B57" s="3">
        <v>1.3026359999999999</v>
      </c>
      <c r="C57" s="30" t="str">
        <f t="shared" si="2"/>
        <v/>
      </c>
      <c r="D57" s="41" t="str">
        <f t="shared" si="3"/>
        <v/>
      </c>
      <c r="E57" s="41" t="str">
        <f t="shared" si="4"/>
        <v/>
      </c>
      <c r="F57" s="16">
        <v>3296.68</v>
      </c>
      <c r="G57" s="16">
        <v>438.84</v>
      </c>
      <c r="H57" s="16">
        <v>14.17</v>
      </c>
      <c r="I57" s="16">
        <v>2200.7399999999998</v>
      </c>
      <c r="J57" s="14">
        <v>1029.96</v>
      </c>
      <c r="K57" s="14">
        <v>1464.08</v>
      </c>
    </row>
    <row r="58" spans="1:20" ht="18" customHeight="1">
      <c r="A58" s="9">
        <v>44317</v>
      </c>
      <c r="B58" s="3">
        <v>1.2930200000000001</v>
      </c>
      <c r="C58" s="30" t="str">
        <f t="shared" si="2"/>
        <v/>
      </c>
      <c r="D58" s="41" t="str">
        <f t="shared" si="3"/>
        <v/>
      </c>
      <c r="E58" s="41" t="str">
        <f t="shared" si="4"/>
        <v/>
      </c>
      <c r="F58" s="16">
        <v>3203.92</v>
      </c>
      <c r="G58" s="16">
        <v>427.91</v>
      </c>
      <c r="H58" s="16">
        <v>17.04</v>
      </c>
      <c r="I58" s="16">
        <v>2141.91</v>
      </c>
      <c r="J58" s="14">
        <v>981.78</v>
      </c>
      <c r="K58" s="13">
        <v>1399.6</v>
      </c>
    </row>
    <row r="59" spans="1:20" ht="18" customHeight="1">
      <c r="A59" s="9">
        <v>44287</v>
      </c>
      <c r="B59" s="3">
        <v>1.281185</v>
      </c>
      <c r="C59" s="30" t="str">
        <f t="shared" si="2"/>
        <v/>
      </c>
      <c r="D59" s="41" t="str">
        <f t="shared" si="3"/>
        <v/>
      </c>
      <c r="E59" s="41" t="str">
        <f t="shared" si="4"/>
        <v/>
      </c>
      <c r="F59" s="16">
        <v>3147.86</v>
      </c>
      <c r="G59" s="16">
        <v>422.36</v>
      </c>
      <c r="H59" s="16">
        <v>18.84</v>
      </c>
      <c r="I59" s="16">
        <v>2113.87</v>
      </c>
      <c r="J59" s="14">
        <v>983.45</v>
      </c>
      <c r="K59" s="14">
        <v>1405.47</v>
      </c>
    </row>
    <row r="60" spans="1:20" ht="18" customHeight="1">
      <c r="A60" s="9">
        <v>44256</v>
      </c>
      <c r="B60" s="3">
        <v>1.2439530000000001</v>
      </c>
      <c r="C60" s="30" t="str">
        <f t="shared" si="2"/>
        <v/>
      </c>
      <c r="D60" s="41" t="str">
        <f t="shared" si="3"/>
        <v/>
      </c>
      <c r="E60" s="41" t="str">
        <f t="shared" si="4"/>
        <v/>
      </c>
      <c r="F60" s="16">
        <v>3061.42</v>
      </c>
      <c r="G60" s="16">
        <v>415.04</v>
      </c>
      <c r="H60" s="16">
        <v>20.440000000000001</v>
      </c>
      <c r="I60" s="16">
        <v>2076.56</v>
      </c>
      <c r="J60" s="14">
        <v>956.17</v>
      </c>
      <c r="K60" s="13">
        <v>1423.2</v>
      </c>
      <c r="T60" s="32"/>
    </row>
    <row r="61" spans="1:20" ht="18" customHeight="1">
      <c r="A61" s="9">
        <v>44228</v>
      </c>
      <c r="B61" s="3">
        <v>1.216664</v>
      </c>
      <c r="C61" s="30" t="str">
        <f t="shared" si="2"/>
        <v/>
      </c>
      <c r="D61" s="41" t="str">
        <f t="shared" si="3"/>
        <v/>
      </c>
      <c r="E61" s="41" t="str">
        <f t="shared" si="4"/>
        <v/>
      </c>
      <c r="F61" s="16">
        <v>3012.95</v>
      </c>
      <c r="G61" s="16">
        <v>409.91</v>
      </c>
      <c r="H61" s="16">
        <v>31.34</v>
      </c>
      <c r="I61" s="16">
        <v>2049.71</v>
      </c>
      <c r="J61" s="14">
        <v>913.94</v>
      </c>
      <c r="K61" s="14">
        <v>1363.12</v>
      </c>
      <c r="S61" s="32"/>
      <c r="T61" s="32"/>
    </row>
    <row r="62" spans="1:20" ht="18" customHeight="1">
      <c r="A62" s="9">
        <v>44197</v>
      </c>
      <c r="B62" s="3">
        <v>1.200699</v>
      </c>
      <c r="C62" s="30" t="str">
        <f t="shared" si="2"/>
        <v/>
      </c>
      <c r="D62" s="41" t="str">
        <f t="shared" si="3"/>
        <v/>
      </c>
      <c r="E62" s="41" t="str">
        <f t="shared" si="4"/>
        <v/>
      </c>
      <c r="F62" s="16">
        <v>2976.21</v>
      </c>
      <c r="G62" s="16">
        <v>404.56</v>
      </c>
      <c r="H62" s="16">
        <v>35.729999999999997</v>
      </c>
      <c r="I62" s="16">
        <v>2022.21</v>
      </c>
      <c r="J62" s="14">
        <v>928.73</v>
      </c>
      <c r="K62" s="14">
        <v>1427.72</v>
      </c>
      <c r="R62" s="32"/>
      <c r="S62" s="32"/>
      <c r="T62" s="32"/>
    </row>
    <row r="63" spans="1:20" ht="18" customHeight="1">
      <c r="A63" s="9">
        <v>44166</v>
      </c>
      <c r="B63" s="3">
        <v>1.1567099999999999</v>
      </c>
      <c r="C63" s="30" t="str">
        <f t="shared" si="2"/>
        <v/>
      </c>
      <c r="D63" s="41" t="str">
        <f t="shared" si="3"/>
        <v/>
      </c>
      <c r="E63" s="41" t="str">
        <f t="shared" si="4"/>
        <v/>
      </c>
      <c r="F63" s="16">
        <v>2873.47</v>
      </c>
      <c r="G63" s="16">
        <v>389.29</v>
      </c>
      <c r="H63" s="16">
        <v>22.09</v>
      </c>
      <c r="I63" s="16">
        <v>1945.71</v>
      </c>
      <c r="J63" s="14">
        <v>968.42</v>
      </c>
      <c r="K63" s="14">
        <v>1532.52</v>
      </c>
      <c r="Q63" s="32"/>
      <c r="R63" s="32"/>
      <c r="S63" s="32"/>
      <c r="T63" s="32"/>
    </row>
    <row r="64" spans="1:20" ht="18" customHeight="1">
      <c r="A64" s="9">
        <v>44136</v>
      </c>
      <c r="B64" s="3">
        <v>1.0639050000000001</v>
      </c>
      <c r="C64" s="30" t="str">
        <f t="shared" si="2"/>
        <v/>
      </c>
      <c r="D64" s="41" t="str">
        <f t="shared" si="3"/>
        <v/>
      </c>
      <c r="E64" s="41" t="str">
        <f t="shared" si="4"/>
        <v/>
      </c>
      <c r="F64" s="16">
        <v>2591.34</v>
      </c>
      <c r="G64" s="16">
        <v>346.05</v>
      </c>
      <c r="H64" s="16">
        <v>20.77</v>
      </c>
      <c r="I64" s="16">
        <v>1713.2</v>
      </c>
      <c r="J64" s="14">
        <v>886.11</v>
      </c>
      <c r="K64" s="14">
        <v>1348.49</v>
      </c>
      <c r="P64" s="32"/>
      <c r="Q64" s="32"/>
      <c r="R64" s="32"/>
      <c r="S64" s="32"/>
      <c r="T64" s="32"/>
    </row>
    <row r="65" spans="1:20" ht="18" customHeight="1">
      <c r="A65" s="9">
        <v>44105</v>
      </c>
      <c r="B65" s="3">
        <v>0.92899500000000002</v>
      </c>
      <c r="C65" s="30" t="str">
        <f t="shared" si="2"/>
        <v/>
      </c>
      <c r="D65" s="41" t="str">
        <f t="shared" si="3"/>
        <v/>
      </c>
      <c r="E65" s="41" t="str">
        <f t="shared" si="4"/>
        <v/>
      </c>
      <c r="F65" s="16">
        <v>2267.15</v>
      </c>
      <c r="G65" s="16">
        <v>301.60000000000002</v>
      </c>
      <c r="H65" s="16">
        <v>31.97</v>
      </c>
      <c r="I65" s="16">
        <v>1488.97</v>
      </c>
      <c r="J65" s="14">
        <v>792.65</v>
      </c>
      <c r="K65" s="14">
        <v>1203.73</v>
      </c>
      <c r="O65" s="32"/>
      <c r="P65" s="32"/>
      <c r="Q65" s="32"/>
      <c r="R65" s="32"/>
      <c r="S65" s="32"/>
      <c r="T65" s="32"/>
    </row>
    <row r="66" spans="1:20" ht="18" customHeight="1">
      <c r="A66" s="9">
        <v>44075</v>
      </c>
      <c r="B66" s="12">
        <v>0.94691700000000001</v>
      </c>
      <c r="C66" s="30" t="str">
        <f t="shared" si="2"/>
        <v/>
      </c>
      <c r="D66" s="41" t="str">
        <f t="shared" si="3"/>
        <v/>
      </c>
      <c r="E66" s="41" t="str">
        <f t="shared" si="4"/>
        <v/>
      </c>
      <c r="F66" s="16">
        <v>2327.89</v>
      </c>
      <c r="G66" s="16">
        <v>309.44</v>
      </c>
      <c r="H66" s="16">
        <v>24.15</v>
      </c>
      <c r="I66" s="16">
        <v>1529.18</v>
      </c>
      <c r="J66" s="14">
        <v>848.15</v>
      </c>
      <c r="K66" s="14">
        <v>1310.49</v>
      </c>
      <c r="N66" s="33"/>
      <c r="O66" s="32"/>
      <c r="P66" s="32"/>
      <c r="Q66" s="32"/>
      <c r="R66" s="32"/>
      <c r="S66" s="32"/>
      <c r="T66" s="32"/>
    </row>
    <row r="67" spans="1:20" ht="18" customHeight="1">
      <c r="A67" s="9">
        <v>44044</v>
      </c>
      <c r="B67" s="12">
        <v>0.96567000000000003</v>
      </c>
      <c r="C67" s="30" t="str">
        <f t="shared" si="2"/>
        <v/>
      </c>
      <c r="D67" s="41" t="str">
        <f t="shared" si="3"/>
        <v/>
      </c>
      <c r="E67" s="41" t="str">
        <f t="shared" si="4"/>
        <v/>
      </c>
      <c r="F67" s="16">
        <v>2326.17</v>
      </c>
      <c r="G67" s="16">
        <v>307.14</v>
      </c>
      <c r="H67" s="16">
        <v>27.77</v>
      </c>
      <c r="I67" s="16">
        <v>1510.89</v>
      </c>
      <c r="J67" s="14">
        <v>848.24</v>
      </c>
      <c r="K67" s="14">
        <v>1336.94</v>
      </c>
      <c r="M67" s="32"/>
      <c r="N67" s="33"/>
      <c r="O67" s="32"/>
      <c r="P67" s="32"/>
      <c r="Q67" s="32"/>
      <c r="R67" s="32"/>
      <c r="S67" s="32"/>
      <c r="T67" s="32"/>
    </row>
    <row r="68" spans="1:20" ht="18" customHeight="1">
      <c r="A68" s="9">
        <v>44013</v>
      </c>
      <c r="B68" s="12">
        <v>0.93300700000000003</v>
      </c>
      <c r="C68" s="30" t="str">
        <f t="shared" ref="C68:C131" si="5">IF(B68&lt;=C$1, "Risk", "")</f>
        <v/>
      </c>
      <c r="D68" s="41" t="str">
        <f t="shared" si="3"/>
        <v/>
      </c>
      <c r="E68" s="41" t="str">
        <f t="shared" si="4"/>
        <v/>
      </c>
      <c r="F68" s="16">
        <v>2249.37</v>
      </c>
      <c r="G68" s="16">
        <v>299.32</v>
      </c>
      <c r="H68" s="16">
        <v>23.57</v>
      </c>
      <c r="I68" s="16">
        <v>1474.68</v>
      </c>
      <c r="J68" s="13">
        <v>815.3</v>
      </c>
      <c r="K68" s="14">
        <v>1277.58</v>
      </c>
      <c r="L68" s="32"/>
      <c r="M68" s="32"/>
      <c r="N68" s="33"/>
      <c r="O68" s="32"/>
      <c r="P68" s="32"/>
      <c r="Q68" s="32"/>
      <c r="R68" s="32"/>
      <c r="S68" s="32"/>
      <c r="T68" s="32"/>
    </row>
    <row r="69" spans="1:20" ht="18" customHeight="1">
      <c r="A69" s="9">
        <v>43983</v>
      </c>
      <c r="B69" s="12">
        <v>0.86749100000000001</v>
      </c>
      <c r="C69" s="30" t="str">
        <f t="shared" si="5"/>
        <v/>
      </c>
      <c r="D69" s="41" t="str">
        <f t="shared" ref="D69:D132" si="6">IF(B69&lt;=D$1, "Risk", "")</f>
        <v/>
      </c>
      <c r="E69" s="41" t="str">
        <f t="shared" ref="E69:E132" si="7">IF(B69&lt;=E$1, "Risk", "")</f>
        <v/>
      </c>
      <c r="F69" s="16">
        <v>2108.33</v>
      </c>
      <c r="G69" s="16">
        <v>280.08999999999997</v>
      </c>
      <c r="H69" s="16">
        <v>31.07</v>
      </c>
      <c r="I69" s="16">
        <v>1383.3</v>
      </c>
      <c r="J69" s="14">
        <v>737.97</v>
      </c>
      <c r="K69" s="14">
        <v>1167.1400000000001</v>
      </c>
      <c r="L69" s="32"/>
      <c r="M69" s="32"/>
      <c r="N69" s="33"/>
      <c r="O69" s="32"/>
      <c r="P69" s="32"/>
      <c r="Q69" s="32"/>
      <c r="R69" s="32"/>
      <c r="S69" s="32"/>
      <c r="T69" s="32"/>
    </row>
    <row r="70" spans="1:20" ht="18" customHeight="1">
      <c r="A70" s="9">
        <v>43952</v>
      </c>
      <c r="B70" s="12">
        <v>0.83083600000000002</v>
      </c>
      <c r="C70" s="30" t="str">
        <f t="shared" si="5"/>
        <v>Risk</v>
      </c>
      <c r="D70" s="41" t="str">
        <f t="shared" si="6"/>
        <v/>
      </c>
      <c r="E70" s="41" t="str">
        <f t="shared" si="7"/>
        <v/>
      </c>
      <c r="F70" s="16">
        <v>2029.6</v>
      </c>
      <c r="G70" s="16">
        <v>268.32</v>
      </c>
      <c r="H70" s="16">
        <v>25.64</v>
      </c>
      <c r="I70" s="16">
        <v>1311.92</v>
      </c>
      <c r="J70" s="14">
        <v>713.68</v>
      </c>
      <c r="K70" s="14">
        <v>1093.3800000000001</v>
      </c>
      <c r="L70" s="32"/>
      <c r="M70" s="32"/>
      <c r="N70" s="33"/>
      <c r="O70" s="32"/>
      <c r="P70" s="32"/>
      <c r="Q70" s="32"/>
      <c r="R70" s="32"/>
      <c r="S70" s="32"/>
      <c r="T70" s="32"/>
    </row>
    <row r="71" spans="1:20" ht="18" customHeight="1">
      <c r="A71" s="9">
        <v>43922</v>
      </c>
      <c r="B71" s="12">
        <v>0.79072900000000002</v>
      </c>
      <c r="C71" s="30" t="str">
        <f t="shared" si="5"/>
        <v>Risk</v>
      </c>
      <c r="D71" s="41" t="str">
        <f t="shared" si="6"/>
        <v>Risk</v>
      </c>
      <c r="E71" s="41" t="str">
        <f t="shared" si="7"/>
        <v/>
      </c>
      <c r="F71" s="16">
        <v>1947.56</v>
      </c>
      <c r="G71" s="16">
        <v>258.14999999999998</v>
      </c>
      <c r="H71" s="16">
        <v>30.51</v>
      </c>
      <c r="I71" s="16">
        <v>1268.19</v>
      </c>
      <c r="J71" s="14">
        <v>645.17999999999995</v>
      </c>
      <c r="K71" s="13">
        <v>992.7</v>
      </c>
      <c r="L71" s="32"/>
      <c r="M71" s="32"/>
      <c r="N71" s="33"/>
      <c r="O71" s="32"/>
      <c r="P71" s="32"/>
      <c r="Q71" s="32"/>
      <c r="R71" s="32"/>
      <c r="S71" s="32"/>
      <c r="T71" s="32"/>
    </row>
    <row r="72" spans="1:20" ht="18" customHeight="1">
      <c r="A72" s="9">
        <v>43891</v>
      </c>
      <c r="B72" s="11">
        <v>0.71247499999999997</v>
      </c>
      <c r="C72" s="30" t="str">
        <f t="shared" si="5"/>
        <v>Risk</v>
      </c>
      <c r="D72" s="41" t="str">
        <f t="shared" si="6"/>
        <v>Risk</v>
      </c>
      <c r="E72" s="41" t="str">
        <f t="shared" si="7"/>
        <v>Risk</v>
      </c>
      <c r="F72" s="16">
        <v>1754.64</v>
      </c>
      <c r="G72" s="16">
        <v>236.82</v>
      </c>
      <c r="H72" s="16">
        <v>48.55</v>
      </c>
      <c r="I72" s="16">
        <v>1159.5999999999999</v>
      </c>
      <c r="J72" s="14">
        <v>569.07000000000005</v>
      </c>
      <c r="K72" s="13">
        <v>916.5</v>
      </c>
      <c r="L72" s="73">
        <f>1+(($I68/$I72)-1)*3</f>
        <v>1.8151431528113144</v>
      </c>
      <c r="M72" s="73">
        <f>1+(($I67/$I72)-1)*3</f>
        <v>1.9088220075888245</v>
      </c>
      <c r="N72" s="73">
        <f>1+(($I66/$I72)-1)*3</f>
        <v>1.9561400482925149</v>
      </c>
      <c r="O72" s="73">
        <f>1+(($I65/$I72)-1)*3</f>
        <v>1.8521127975163854</v>
      </c>
      <c r="P72" s="73">
        <f>1+(($I64/$I72)-1)*3</f>
        <v>2.4322180062090379</v>
      </c>
      <c r="Q72" s="73">
        <f>1+(($I63/$I72)-1)*3</f>
        <v>3.0337443946188341</v>
      </c>
      <c r="R72" s="73">
        <f>1+(($I62/$I72)-1)*3</f>
        <v>3.2316574680924459</v>
      </c>
      <c r="S72" s="73">
        <f>1+(($I61/$I72)-1)*3</f>
        <v>3.3028026905829599</v>
      </c>
      <c r="T72" s="73">
        <f>1+(($I60/$I72)-1)*3</f>
        <v>3.372266298723698</v>
      </c>
    </row>
    <row r="73" spans="1:20" ht="18" customHeight="1">
      <c r="A73" s="9">
        <v>43862</v>
      </c>
      <c r="B73" s="3">
        <v>0.806952</v>
      </c>
      <c r="C73" s="30" t="str">
        <f t="shared" si="5"/>
        <v>Risk</v>
      </c>
      <c r="D73" s="41" t="str">
        <f t="shared" si="6"/>
        <v/>
      </c>
      <c r="E73" s="41" t="str">
        <f t="shared" si="7"/>
        <v/>
      </c>
      <c r="F73" s="16">
        <v>1987.01</v>
      </c>
      <c r="G73" s="16">
        <v>268.02</v>
      </c>
      <c r="H73" s="16">
        <v>33.81</v>
      </c>
      <c r="I73" s="16">
        <v>1312.77</v>
      </c>
      <c r="J73" s="14">
        <v>610.73</v>
      </c>
      <c r="K73" s="14">
        <v>927.48</v>
      </c>
      <c r="L73" s="34">
        <f>$I72/$I73</f>
        <v>0.8833230497345308</v>
      </c>
      <c r="M73" s="34">
        <f>$I72/$I73</f>
        <v>0.8833230497345308</v>
      </c>
      <c r="N73" s="33"/>
      <c r="O73" s="33"/>
      <c r="P73" s="32"/>
      <c r="Q73" s="32"/>
      <c r="R73" s="32"/>
      <c r="S73" s="32"/>
      <c r="T73" s="32"/>
    </row>
    <row r="74" spans="1:20" ht="18" customHeight="1">
      <c r="A74" s="9">
        <v>43831</v>
      </c>
      <c r="B74" s="11">
        <v>0.85994499999999996</v>
      </c>
      <c r="C74" s="30" t="str">
        <f t="shared" si="5"/>
        <v/>
      </c>
      <c r="D74" s="41" t="str">
        <f t="shared" si="6"/>
        <v/>
      </c>
      <c r="E74" s="41" t="str">
        <f t="shared" si="7"/>
        <v/>
      </c>
      <c r="F74" s="16">
        <v>2119.0100000000002</v>
      </c>
      <c r="G74" s="16">
        <v>284.52999999999997</v>
      </c>
      <c r="H74" s="16">
        <v>19.29</v>
      </c>
      <c r="I74" s="16">
        <v>1397.56</v>
      </c>
      <c r="J74" s="14">
        <v>642.48</v>
      </c>
      <c r="K74" s="14">
        <v>958.52</v>
      </c>
      <c r="M74" s="33"/>
      <c r="N74" s="33"/>
      <c r="O74" s="33"/>
      <c r="P74" s="32"/>
      <c r="Q74" s="32"/>
      <c r="R74" s="32"/>
      <c r="S74" s="32"/>
      <c r="T74" s="32"/>
    </row>
    <row r="75" spans="1:20" ht="18" customHeight="1">
      <c r="A75" s="9">
        <v>43800</v>
      </c>
      <c r="B75" s="11">
        <v>0.89135299999999995</v>
      </c>
      <c r="C75" s="30" t="str">
        <f t="shared" si="5"/>
        <v/>
      </c>
      <c r="D75" s="41" t="str">
        <f t="shared" si="6"/>
        <v/>
      </c>
      <c r="E75" s="41" t="str">
        <f t="shared" si="7"/>
        <v/>
      </c>
      <c r="F75" s="16">
        <v>2197.67</v>
      </c>
      <c r="G75" s="16">
        <v>293.77</v>
      </c>
      <c r="H75" s="16">
        <v>14.69</v>
      </c>
      <c r="I75" s="16">
        <v>1446.82</v>
      </c>
      <c r="J75" s="14">
        <v>669.83</v>
      </c>
      <c r="K75" s="14">
        <v>1029.57</v>
      </c>
      <c r="L75" s="33"/>
      <c r="M75" s="33"/>
      <c r="N75" s="33"/>
      <c r="O75" s="33"/>
      <c r="P75" s="32"/>
      <c r="Q75" s="32"/>
      <c r="R75" s="32"/>
      <c r="S75" s="32"/>
      <c r="T75" s="32"/>
    </row>
    <row r="76" spans="1:20" ht="18" customHeight="1">
      <c r="A76" s="9">
        <v>43770</v>
      </c>
      <c r="B76" s="11">
        <v>0.86090999999999995</v>
      </c>
      <c r="C76" s="30" t="str">
        <f t="shared" si="5"/>
        <v/>
      </c>
      <c r="D76" s="41" t="str">
        <f t="shared" si="6"/>
        <v/>
      </c>
      <c r="E76" s="41" t="str">
        <f t="shared" si="7"/>
        <v/>
      </c>
      <c r="F76" s="16">
        <v>2087.96</v>
      </c>
      <c r="G76" s="16">
        <v>276.77999999999997</v>
      </c>
      <c r="H76" s="16">
        <v>13.96</v>
      </c>
      <c r="I76" s="16">
        <v>1347.44</v>
      </c>
      <c r="J76" s="14">
        <v>632.99</v>
      </c>
      <c r="K76" s="14">
        <v>946.89</v>
      </c>
      <c r="L76" s="33"/>
      <c r="M76" s="33"/>
      <c r="N76" s="33"/>
      <c r="O76" s="33"/>
      <c r="P76" s="32"/>
      <c r="Q76" s="32"/>
      <c r="R76" s="32"/>
      <c r="S76" s="32"/>
      <c r="T76" s="32"/>
    </row>
    <row r="77" spans="1:20" ht="18" customHeight="1">
      <c r="A77" s="9">
        <v>43739</v>
      </c>
      <c r="B77" s="11">
        <v>0.85831400000000002</v>
      </c>
      <c r="C77" s="30" t="str">
        <f t="shared" si="5"/>
        <v/>
      </c>
      <c r="D77" s="41" t="str">
        <f t="shared" si="6"/>
        <v/>
      </c>
      <c r="E77" s="41" t="str">
        <f t="shared" si="7"/>
        <v/>
      </c>
      <c r="F77" s="16">
        <v>2083.48</v>
      </c>
      <c r="G77" s="16">
        <v>275.82</v>
      </c>
      <c r="H77" s="16">
        <v>13.59</v>
      </c>
      <c r="I77" s="16">
        <v>1342.34</v>
      </c>
      <c r="J77" s="14">
        <v>658.52</v>
      </c>
      <c r="K77" s="14">
        <v>1016.62</v>
      </c>
      <c r="L77" s="33"/>
      <c r="M77" s="33"/>
      <c r="N77" s="33"/>
      <c r="O77" s="33"/>
      <c r="P77" s="32"/>
      <c r="Q77" s="32"/>
      <c r="R77" s="32"/>
      <c r="S77" s="32"/>
      <c r="T77" s="32"/>
    </row>
    <row r="78" spans="1:20" ht="18" customHeight="1">
      <c r="A78" s="9">
        <v>43709</v>
      </c>
      <c r="B78" s="11">
        <v>0.84934799999999999</v>
      </c>
      <c r="C78" s="30" t="str">
        <f t="shared" si="5"/>
        <v>Risk</v>
      </c>
      <c r="D78" s="41" t="str">
        <f t="shared" si="6"/>
        <v/>
      </c>
      <c r="E78" s="41" t="str">
        <f t="shared" si="7"/>
        <v/>
      </c>
      <c r="F78" s="16">
        <v>2063.0500000000002</v>
      </c>
      <c r="G78" s="16">
        <v>273.55</v>
      </c>
      <c r="H78" s="16">
        <v>15.15</v>
      </c>
      <c r="I78" s="16">
        <v>1330.93</v>
      </c>
      <c r="J78" s="14">
        <v>621.76</v>
      </c>
      <c r="K78" s="14">
        <v>894.36</v>
      </c>
      <c r="L78" s="33"/>
      <c r="M78" s="33"/>
      <c r="N78" s="33"/>
      <c r="O78" s="33"/>
      <c r="P78" s="32"/>
      <c r="Q78" s="32"/>
      <c r="R78" s="32"/>
      <c r="S78" s="32"/>
      <c r="T78" s="32"/>
    </row>
    <row r="79" spans="1:20" ht="18" customHeight="1">
      <c r="A79" s="9">
        <v>43678</v>
      </c>
      <c r="B79" s="11">
        <v>0.826874</v>
      </c>
      <c r="C79" s="30" t="str">
        <f t="shared" si="5"/>
        <v>Risk</v>
      </c>
      <c r="D79" s="41" t="str">
        <f t="shared" si="6"/>
        <v/>
      </c>
      <c r="E79" s="41" t="str">
        <f t="shared" si="7"/>
        <v/>
      </c>
      <c r="F79" s="16">
        <v>1967.79</v>
      </c>
      <c r="G79" s="16">
        <v>259</v>
      </c>
      <c r="H79" s="16">
        <v>15.75</v>
      </c>
      <c r="I79" s="16">
        <v>1258.81</v>
      </c>
      <c r="J79" s="14">
        <v>610.54999999999995</v>
      </c>
      <c r="K79" s="14">
        <v>891.39</v>
      </c>
      <c r="L79" s="34">
        <f>$I75/$I79</f>
        <v>1.1493553435387389</v>
      </c>
      <c r="M79" s="34">
        <f>$I74/$I79</f>
        <v>1.1102231472581248</v>
      </c>
      <c r="N79" s="34">
        <f>$I73/$I79</f>
        <v>1.0428658812688174</v>
      </c>
      <c r="O79" s="34">
        <f>$I72/$I79</f>
        <v>0.92118747070646079</v>
      </c>
      <c r="P79" s="34">
        <f t="shared" ref="P79:T79" si="8">$I72/$I79</f>
        <v>0.92118747070646079</v>
      </c>
      <c r="Q79" s="34">
        <f t="shared" si="8"/>
        <v>0.92118747070646079</v>
      </c>
      <c r="R79" s="34">
        <f t="shared" si="8"/>
        <v>0.92118747070646079</v>
      </c>
      <c r="S79" s="34">
        <f t="shared" si="8"/>
        <v>0.92118747070646079</v>
      </c>
      <c r="T79" s="34">
        <f t="shared" si="8"/>
        <v>0.92118747070646079</v>
      </c>
    </row>
    <row r="80" spans="1:20" ht="18" customHeight="1">
      <c r="A80" s="9">
        <v>43647</v>
      </c>
      <c r="B80" s="3">
        <v>0.85062599999999999</v>
      </c>
      <c r="C80" s="30" t="str">
        <f t="shared" si="5"/>
        <v/>
      </c>
      <c r="D80" s="41" t="str">
        <f t="shared" si="6"/>
        <v/>
      </c>
      <c r="E80" s="41" t="str">
        <f t="shared" si="7"/>
        <v/>
      </c>
      <c r="F80" s="16">
        <v>2024.55</v>
      </c>
      <c r="G80" s="16">
        <v>266.33999999999997</v>
      </c>
      <c r="H80" s="16">
        <v>15.29</v>
      </c>
      <c r="I80" s="16">
        <v>1296.21</v>
      </c>
      <c r="J80" s="14">
        <v>630.17999999999995</v>
      </c>
      <c r="K80" s="14">
        <v>939.73</v>
      </c>
    </row>
    <row r="81" spans="1:11" ht="18" customHeight="1">
      <c r="A81" s="9">
        <v>43617</v>
      </c>
      <c r="B81" s="3">
        <v>0.89509099999999997</v>
      </c>
      <c r="C81" s="30" t="str">
        <f t="shared" si="5"/>
        <v/>
      </c>
      <c r="D81" s="41" t="str">
        <f t="shared" si="6"/>
        <v/>
      </c>
      <c r="E81" s="41" t="str">
        <f t="shared" si="7"/>
        <v/>
      </c>
      <c r="F81" s="16">
        <v>2130.62</v>
      </c>
      <c r="G81" s="16">
        <v>277.5</v>
      </c>
      <c r="H81" s="16">
        <v>14.43</v>
      </c>
      <c r="I81" s="16">
        <v>1352.31</v>
      </c>
      <c r="J81" s="14">
        <v>690.53</v>
      </c>
      <c r="K81" s="14">
        <v>1012.74</v>
      </c>
    </row>
    <row r="82" spans="1:11" ht="18" customHeight="1">
      <c r="A82" s="9">
        <v>43586</v>
      </c>
      <c r="B82" s="3">
        <v>0.87327999999999995</v>
      </c>
      <c r="C82" s="30" t="str">
        <f t="shared" si="5"/>
        <v/>
      </c>
      <c r="D82" s="41" t="str">
        <f t="shared" si="6"/>
        <v/>
      </c>
      <c r="E82" s="41" t="str">
        <f t="shared" si="7"/>
        <v/>
      </c>
      <c r="F82" s="16">
        <v>2041.74</v>
      </c>
      <c r="G82" s="16">
        <v>263.89</v>
      </c>
      <c r="H82" s="16">
        <v>17.32</v>
      </c>
      <c r="I82" s="16">
        <v>1280.67</v>
      </c>
      <c r="J82" s="14">
        <v>696.47</v>
      </c>
      <c r="K82" s="14">
        <v>1075.28</v>
      </c>
    </row>
    <row r="83" spans="1:11" ht="18" customHeight="1">
      <c r="A83" s="9">
        <v>43556</v>
      </c>
      <c r="B83" s="3">
        <v>0.947048</v>
      </c>
      <c r="C83" s="30" t="str">
        <f t="shared" si="5"/>
        <v/>
      </c>
      <c r="D83" s="41" t="str">
        <f t="shared" si="6"/>
        <v/>
      </c>
      <c r="E83" s="41" t="str">
        <f t="shared" si="7"/>
        <v/>
      </c>
      <c r="F83" s="16">
        <v>2203.59</v>
      </c>
      <c r="G83" s="16">
        <v>284.92</v>
      </c>
      <c r="H83" s="16">
        <v>13.28</v>
      </c>
      <c r="I83" s="16">
        <v>1387.11</v>
      </c>
      <c r="J83" s="14">
        <v>754.74</v>
      </c>
      <c r="K83" s="14">
        <v>1207.56</v>
      </c>
    </row>
    <row r="84" spans="1:11" ht="18" customHeight="1">
      <c r="A84" s="9">
        <v>43525</v>
      </c>
      <c r="B84" s="3">
        <v>0.91991199999999995</v>
      </c>
      <c r="C84" s="30" t="str">
        <f t="shared" si="5"/>
        <v/>
      </c>
      <c r="D84" s="41" t="str">
        <f t="shared" si="6"/>
        <v/>
      </c>
      <c r="E84" s="41" t="str">
        <f t="shared" si="7"/>
        <v/>
      </c>
      <c r="F84" s="16">
        <v>2140.67</v>
      </c>
      <c r="G84" s="16">
        <v>276.48</v>
      </c>
      <c r="H84" s="16">
        <v>14.29</v>
      </c>
      <c r="I84" s="16">
        <v>1347.26</v>
      </c>
      <c r="J84" s="14">
        <v>729.31</v>
      </c>
      <c r="K84" s="13">
        <v>1193.9000000000001</v>
      </c>
    </row>
    <row r="85" spans="1:11" ht="18" customHeight="1">
      <c r="A85" s="9">
        <v>43497</v>
      </c>
      <c r="B85" s="3">
        <v>0.94048799999999999</v>
      </c>
      <c r="C85" s="30" t="str">
        <f t="shared" si="5"/>
        <v/>
      </c>
      <c r="D85" s="41" t="str">
        <f t="shared" si="6"/>
        <v/>
      </c>
      <c r="E85" s="41" t="str">
        <f t="shared" si="7"/>
        <v/>
      </c>
      <c r="F85" s="16">
        <v>2195.44</v>
      </c>
      <c r="G85" s="16">
        <v>283.8</v>
      </c>
      <c r="H85" s="16">
        <v>15.49</v>
      </c>
      <c r="I85" s="16">
        <v>1383.39</v>
      </c>
      <c r="J85" s="14">
        <v>731.25</v>
      </c>
      <c r="K85" s="14">
        <v>1235.26</v>
      </c>
    </row>
    <row r="86" spans="1:11" ht="18" customHeight="1">
      <c r="A86" s="9">
        <v>43466</v>
      </c>
      <c r="B86" s="3">
        <v>0.93744499999999997</v>
      </c>
      <c r="C86" s="30" t="str">
        <f t="shared" si="5"/>
        <v/>
      </c>
      <c r="D86" s="41" t="str">
        <f t="shared" si="6"/>
        <v/>
      </c>
      <c r="E86" s="41" t="str">
        <f t="shared" si="7"/>
        <v/>
      </c>
      <c r="F86" s="16">
        <v>2204.85</v>
      </c>
      <c r="G86" s="16">
        <v>285.89</v>
      </c>
      <c r="H86" s="16">
        <v>15.51</v>
      </c>
      <c r="I86" s="16">
        <v>1398.5</v>
      </c>
      <c r="J86" s="14">
        <v>716.86</v>
      </c>
      <c r="K86" s="14">
        <v>1191.47</v>
      </c>
    </row>
    <row r="87" spans="1:11" ht="18" customHeight="1">
      <c r="A87" s="9">
        <v>43435</v>
      </c>
      <c r="B87" s="3">
        <v>0.867363</v>
      </c>
      <c r="C87" s="30" t="str">
        <f t="shared" si="5"/>
        <v/>
      </c>
      <c r="D87" s="41" t="str">
        <f t="shared" si="6"/>
        <v/>
      </c>
      <c r="E87" s="41" t="str">
        <f t="shared" si="7"/>
        <v/>
      </c>
      <c r="F87" s="16">
        <v>2041.04</v>
      </c>
      <c r="G87" s="16">
        <v>261.98</v>
      </c>
      <c r="H87" s="16">
        <v>18.989999999999998</v>
      </c>
      <c r="I87" s="16">
        <v>1276.9000000000001</v>
      </c>
      <c r="J87" s="14">
        <v>675.65</v>
      </c>
      <c r="K87" s="14">
        <v>1166.25</v>
      </c>
    </row>
    <row r="88" spans="1:11" ht="18" customHeight="1">
      <c r="A88" s="9">
        <v>43405</v>
      </c>
      <c r="B88" s="3">
        <v>0.92381400000000002</v>
      </c>
      <c r="C88" s="30" t="str">
        <f t="shared" si="5"/>
        <v/>
      </c>
      <c r="D88" s="41" t="str">
        <f t="shared" si="6"/>
        <v/>
      </c>
      <c r="E88" s="41" t="str">
        <f t="shared" si="7"/>
        <v/>
      </c>
      <c r="F88" s="16">
        <v>2096.86</v>
      </c>
      <c r="G88" s="16">
        <v>271.35000000000002</v>
      </c>
      <c r="H88" s="16">
        <v>18.57</v>
      </c>
      <c r="I88" s="16">
        <v>1309.6300000000001</v>
      </c>
      <c r="J88" s="14">
        <v>695.76</v>
      </c>
      <c r="K88" s="14">
        <v>1186.6300000000001</v>
      </c>
    </row>
    <row r="89" spans="1:11" ht="18" customHeight="1">
      <c r="A89" s="9">
        <v>43374</v>
      </c>
      <c r="B89" s="3">
        <v>0.89380899999999996</v>
      </c>
      <c r="C89" s="30" t="str">
        <f t="shared" si="5"/>
        <v/>
      </c>
      <c r="D89" s="41" t="str">
        <f t="shared" si="6"/>
        <v/>
      </c>
      <c r="E89" s="41" t="str">
        <f t="shared" si="7"/>
        <v/>
      </c>
      <c r="F89" s="16">
        <v>2029.69</v>
      </c>
      <c r="G89" s="16">
        <v>264.01</v>
      </c>
      <c r="H89" s="16">
        <v>20.49</v>
      </c>
      <c r="I89" s="16">
        <v>1273.47</v>
      </c>
      <c r="J89" s="14">
        <v>648.66999999999996</v>
      </c>
      <c r="K89" s="14">
        <v>1124.49</v>
      </c>
    </row>
    <row r="90" spans="1:11" ht="18" customHeight="1">
      <c r="A90" s="9">
        <v>43344</v>
      </c>
      <c r="B90" s="3">
        <v>1.030465</v>
      </c>
      <c r="C90" s="30" t="str">
        <f t="shared" si="5"/>
        <v/>
      </c>
      <c r="D90" s="41" t="str">
        <f t="shared" si="6"/>
        <v/>
      </c>
      <c r="E90" s="41" t="str">
        <f t="shared" si="7"/>
        <v/>
      </c>
      <c r="F90" s="16">
        <v>2343.0700000000002</v>
      </c>
      <c r="G90" s="16">
        <v>300.51</v>
      </c>
      <c r="H90" s="16">
        <v>11.24</v>
      </c>
      <c r="I90" s="16">
        <v>1454.29</v>
      </c>
      <c r="J90" s="14">
        <v>822.27</v>
      </c>
      <c r="K90" s="14">
        <v>1411.73</v>
      </c>
    </row>
    <row r="91" spans="1:11" ht="18" customHeight="1">
      <c r="A91" s="9">
        <v>43313</v>
      </c>
      <c r="B91" s="3">
        <v>1.0442990000000001</v>
      </c>
      <c r="C91" s="30" t="str">
        <f t="shared" si="5"/>
        <v/>
      </c>
      <c r="D91" s="41" t="str">
        <f t="shared" si="6"/>
        <v/>
      </c>
      <c r="E91" s="41" t="str">
        <f t="shared" si="7"/>
        <v/>
      </c>
      <c r="F91" s="16">
        <v>2322.88</v>
      </c>
      <c r="G91" s="16">
        <v>300.07</v>
      </c>
      <c r="H91" s="16">
        <v>11.64</v>
      </c>
      <c r="I91" s="16">
        <v>1445.99</v>
      </c>
      <c r="J91" s="14">
        <v>816.97</v>
      </c>
      <c r="K91" s="14">
        <v>1376.46</v>
      </c>
    </row>
    <row r="92" spans="1:11" ht="18" customHeight="1">
      <c r="A92" s="9">
        <v>43282</v>
      </c>
      <c r="B92" s="3">
        <v>1.0321480000000001</v>
      </c>
      <c r="C92" s="30" t="str">
        <f t="shared" si="5"/>
        <v/>
      </c>
      <c r="D92" s="41" t="str">
        <f t="shared" si="6"/>
        <v/>
      </c>
      <c r="E92" s="41" t="str">
        <f t="shared" si="7"/>
        <v/>
      </c>
      <c r="F92" s="16">
        <v>2295.2600000000002</v>
      </c>
      <c r="G92" s="16">
        <v>297.45</v>
      </c>
      <c r="H92" s="16">
        <v>13.05</v>
      </c>
      <c r="I92" s="16">
        <v>1438.27</v>
      </c>
      <c r="J92" s="14">
        <v>775.52</v>
      </c>
      <c r="K92" s="14">
        <v>1265.58</v>
      </c>
    </row>
    <row r="93" spans="1:11" ht="18" customHeight="1">
      <c r="A93" s="9">
        <v>43252</v>
      </c>
      <c r="B93" s="3">
        <v>1.0479160000000001</v>
      </c>
      <c r="C93" s="30" t="str">
        <f t="shared" si="5"/>
        <v/>
      </c>
      <c r="D93" s="41" t="str">
        <f t="shared" si="6"/>
        <v/>
      </c>
      <c r="E93" s="41" t="str">
        <f t="shared" si="7"/>
        <v/>
      </c>
      <c r="F93" s="16">
        <v>2326.13</v>
      </c>
      <c r="G93" s="16">
        <v>299.66000000000003</v>
      </c>
      <c r="H93" s="16">
        <v>16.04</v>
      </c>
      <c r="I93" s="16">
        <v>1448.16</v>
      </c>
      <c r="J93" s="14">
        <v>818.22</v>
      </c>
      <c r="K93" s="14">
        <v>1391.83</v>
      </c>
    </row>
    <row r="94" spans="1:11" ht="18" customHeight="1">
      <c r="A94" s="9">
        <v>43221</v>
      </c>
      <c r="B94" s="3">
        <v>1.1065240000000001</v>
      </c>
      <c r="C94" s="30" t="str">
        <f t="shared" si="5"/>
        <v/>
      </c>
      <c r="D94" s="41" t="str">
        <f t="shared" si="6"/>
        <v/>
      </c>
      <c r="E94" s="41" t="str">
        <f t="shared" si="7"/>
        <v/>
      </c>
      <c r="F94" s="16">
        <v>2423.0100000000002</v>
      </c>
      <c r="G94" s="16">
        <v>310.92</v>
      </c>
      <c r="H94" s="16">
        <v>14.55</v>
      </c>
      <c r="I94" s="16">
        <v>1498.26</v>
      </c>
      <c r="J94" s="14">
        <v>879.66</v>
      </c>
      <c r="K94" s="13">
        <v>1491.9</v>
      </c>
    </row>
    <row r="95" spans="1:11" ht="18" customHeight="1">
      <c r="A95" s="9">
        <v>43191</v>
      </c>
      <c r="B95" s="3">
        <v>1.1569799999999999</v>
      </c>
      <c r="C95" s="30" t="str">
        <f t="shared" si="5"/>
        <v/>
      </c>
      <c r="D95" s="41" t="str">
        <f t="shared" si="6"/>
        <v/>
      </c>
      <c r="E95" s="41" t="str">
        <f t="shared" si="7"/>
        <v/>
      </c>
      <c r="F95" s="16">
        <v>2515.38</v>
      </c>
      <c r="G95" s="16">
        <v>323.56</v>
      </c>
      <c r="H95" s="16">
        <v>13.59</v>
      </c>
      <c r="I95" s="16">
        <v>1558.62</v>
      </c>
      <c r="J95" s="14">
        <v>875.95</v>
      </c>
      <c r="K95" s="14">
        <v>1495.09</v>
      </c>
    </row>
    <row r="96" spans="1:11" ht="18" customHeight="1">
      <c r="A96" s="9">
        <v>43160</v>
      </c>
      <c r="B96" s="3">
        <v>1.1228480000000001</v>
      </c>
      <c r="C96" s="30" t="str">
        <f t="shared" si="5"/>
        <v/>
      </c>
      <c r="D96" s="41" t="str">
        <f t="shared" si="6"/>
        <v/>
      </c>
      <c r="E96" s="41" t="str">
        <f t="shared" si="7"/>
        <v/>
      </c>
      <c r="F96" s="16">
        <v>2445.85</v>
      </c>
      <c r="G96" s="16">
        <v>314.61</v>
      </c>
      <c r="H96" s="16">
        <v>17.54</v>
      </c>
      <c r="I96" s="16">
        <v>1524.33</v>
      </c>
      <c r="J96" s="14">
        <v>871.09</v>
      </c>
      <c r="K96" s="14">
        <v>1551.48</v>
      </c>
    </row>
    <row r="97" spans="1:11" ht="18" customHeight="1">
      <c r="A97" s="9">
        <v>43132</v>
      </c>
      <c r="B97" s="3">
        <v>1.113524</v>
      </c>
      <c r="C97" s="30" t="str">
        <f t="shared" si="5"/>
        <v/>
      </c>
      <c r="D97" s="41" t="str">
        <f t="shared" si="6"/>
        <v/>
      </c>
      <c r="E97" s="41" t="str">
        <f t="shared" si="7"/>
        <v/>
      </c>
      <c r="F97" s="16">
        <v>2427.36</v>
      </c>
      <c r="G97" s="16">
        <v>312.86</v>
      </c>
      <c r="H97" s="16">
        <v>15.55</v>
      </c>
      <c r="I97" s="16">
        <v>1515.9</v>
      </c>
      <c r="J97" s="14">
        <v>857.06</v>
      </c>
      <c r="K97" s="13">
        <v>1535.3</v>
      </c>
    </row>
    <row r="98" spans="1:11" ht="18" customHeight="1">
      <c r="A98" s="9">
        <v>43101</v>
      </c>
      <c r="B98" s="3">
        <v>1.152892</v>
      </c>
      <c r="C98" s="30" t="str">
        <f t="shared" si="5"/>
        <v/>
      </c>
      <c r="D98" s="41" t="str">
        <f t="shared" si="6"/>
        <v/>
      </c>
      <c r="E98" s="41" t="str">
        <f t="shared" si="7"/>
        <v/>
      </c>
      <c r="F98" s="16">
        <v>2566.46</v>
      </c>
      <c r="G98" s="16">
        <v>333.38</v>
      </c>
      <c r="H98" s="16">
        <v>14.54</v>
      </c>
      <c r="I98" s="16">
        <v>1622.47</v>
      </c>
      <c r="J98" s="14">
        <v>913.57</v>
      </c>
      <c r="K98" s="14">
        <v>1664.36</v>
      </c>
    </row>
    <row r="99" spans="1:11" ht="18" customHeight="1">
      <c r="A99" s="9">
        <v>43070</v>
      </c>
      <c r="B99" s="3">
        <v>1.1098110000000001</v>
      </c>
      <c r="C99" s="30" t="str">
        <f t="shared" si="5"/>
        <v/>
      </c>
      <c r="D99" s="41" t="str">
        <f t="shared" si="6"/>
        <v/>
      </c>
      <c r="E99" s="41" t="str">
        <f t="shared" si="7"/>
        <v/>
      </c>
      <c r="F99" s="16">
        <v>2467.4899999999998</v>
      </c>
      <c r="G99" s="16">
        <v>324.74</v>
      </c>
      <c r="H99" s="16">
        <v>12.06</v>
      </c>
      <c r="I99" s="16">
        <v>1579.84</v>
      </c>
      <c r="J99" s="14">
        <v>798.42</v>
      </c>
      <c r="K99" s="13">
        <v>1413.8</v>
      </c>
    </row>
    <row r="100" spans="1:11" ht="18" customHeight="1">
      <c r="A100" s="9">
        <v>43040</v>
      </c>
      <c r="B100" s="3">
        <v>1.1375059999999999</v>
      </c>
      <c r="C100" s="30" t="str">
        <f t="shared" si="5"/>
        <v/>
      </c>
      <c r="D100" s="41" t="str">
        <f t="shared" si="6"/>
        <v/>
      </c>
      <c r="E100" s="41" t="str">
        <f t="shared" si="7"/>
        <v/>
      </c>
      <c r="F100" s="16">
        <v>2476.37</v>
      </c>
      <c r="G100" s="16">
        <v>325.25</v>
      </c>
      <c r="H100" s="16">
        <v>13.2</v>
      </c>
      <c r="I100" s="16">
        <v>1565.29</v>
      </c>
      <c r="J100" s="14">
        <v>771.42</v>
      </c>
      <c r="K100" s="14">
        <v>1348.84</v>
      </c>
    </row>
    <row r="101" spans="1:11" ht="18" customHeight="1">
      <c r="A101" s="9">
        <v>43009</v>
      </c>
      <c r="B101" s="3">
        <v>1.1598539999999999</v>
      </c>
      <c r="C101" s="30" t="str">
        <f t="shared" si="5"/>
        <v/>
      </c>
      <c r="D101" s="41" t="str">
        <f t="shared" si="6"/>
        <v/>
      </c>
      <c r="E101" s="41" t="str">
        <f t="shared" si="7"/>
        <v/>
      </c>
      <c r="F101" s="16">
        <v>2523.4299999999998</v>
      </c>
      <c r="G101" s="16">
        <v>333.57</v>
      </c>
      <c r="H101" s="16">
        <v>12.06</v>
      </c>
      <c r="I101" s="16">
        <v>1607.59</v>
      </c>
      <c r="J101" s="13">
        <v>694.2</v>
      </c>
      <c r="K101" s="14">
        <v>1196.8599999999999</v>
      </c>
    </row>
    <row r="102" spans="1:11" ht="18" customHeight="1">
      <c r="A102" s="9">
        <v>42979</v>
      </c>
      <c r="B102" s="3">
        <v>1.1000099999999999</v>
      </c>
      <c r="C102" s="30" t="str">
        <f t="shared" si="5"/>
        <v/>
      </c>
      <c r="D102" s="41" t="str">
        <f t="shared" si="6"/>
        <v/>
      </c>
      <c r="E102" s="41" t="str">
        <f t="shared" si="7"/>
        <v/>
      </c>
      <c r="F102" s="16">
        <v>2394.4699999999998</v>
      </c>
      <c r="G102" s="16">
        <v>316.27</v>
      </c>
      <c r="H102" s="16">
        <v>13.41</v>
      </c>
      <c r="I102" s="16">
        <v>1527.07</v>
      </c>
      <c r="J102" s="14">
        <v>652.82000000000005</v>
      </c>
      <c r="K102" s="14">
        <v>1074.79</v>
      </c>
    </row>
    <row r="103" spans="1:11" ht="18" customHeight="1">
      <c r="A103" s="9">
        <v>42948</v>
      </c>
      <c r="B103" s="3">
        <v>1.1288959999999999</v>
      </c>
      <c r="C103" s="30" t="str">
        <f t="shared" si="5"/>
        <v/>
      </c>
      <c r="D103" s="41" t="str">
        <f t="shared" si="6"/>
        <v/>
      </c>
      <c r="E103" s="41" t="str">
        <f t="shared" si="7"/>
        <v/>
      </c>
      <c r="F103" s="16">
        <v>2363.19</v>
      </c>
      <c r="G103" s="16">
        <v>308.27999999999997</v>
      </c>
      <c r="H103" s="16">
        <v>13.64</v>
      </c>
      <c r="I103" s="16">
        <v>1485.29</v>
      </c>
      <c r="J103" s="14">
        <v>657.83</v>
      </c>
      <c r="K103" s="14">
        <v>1034.49</v>
      </c>
    </row>
    <row r="104" spans="1:11" ht="18" customHeight="1">
      <c r="A104" s="9">
        <v>42917</v>
      </c>
      <c r="B104" s="3">
        <v>1.1488400000000001</v>
      </c>
      <c r="C104" s="30" t="str">
        <f t="shared" si="5"/>
        <v/>
      </c>
      <c r="D104" s="41" t="str">
        <f t="shared" si="6"/>
        <v/>
      </c>
      <c r="E104" s="41" t="str">
        <f t="shared" si="7"/>
        <v/>
      </c>
      <c r="F104" s="16">
        <v>2402.71</v>
      </c>
      <c r="G104" s="16">
        <v>314.60000000000002</v>
      </c>
      <c r="H104" s="16">
        <v>12.79</v>
      </c>
      <c r="I104" s="16">
        <v>1518.56</v>
      </c>
      <c r="J104" s="14">
        <v>650.47</v>
      </c>
      <c r="K104" s="14">
        <v>1008.63</v>
      </c>
    </row>
    <row r="105" spans="1:11" ht="18" customHeight="1">
      <c r="A105" s="9">
        <v>42887</v>
      </c>
      <c r="B105" s="3">
        <v>1.144647</v>
      </c>
      <c r="C105" s="30" t="str">
        <f t="shared" si="5"/>
        <v/>
      </c>
      <c r="D105" s="41" t="str">
        <f t="shared" si="6"/>
        <v/>
      </c>
      <c r="E105" s="41" t="str">
        <f t="shared" si="7"/>
        <v/>
      </c>
      <c r="F105" s="16">
        <v>2391.79</v>
      </c>
      <c r="G105" s="16">
        <v>311.76</v>
      </c>
      <c r="H105" s="16">
        <v>12</v>
      </c>
      <c r="I105" s="16">
        <v>1508.92</v>
      </c>
      <c r="J105" s="14">
        <v>669.04</v>
      </c>
      <c r="K105" s="14">
        <v>1031.51</v>
      </c>
    </row>
    <row r="106" spans="1:11" ht="18" customHeight="1">
      <c r="A106" s="9">
        <v>42856</v>
      </c>
      <c r="B106" s="3">
        <v>1.1169709999999999</v>
      </c>
      <c r="C106" s="30" t="str">
        <f t="shared" si="5"/>
        <v/>
      </c>
      <c r="D106" s="41" t="str">
        <f t="shared" si="6"/>
        <v/>
      </c>
      <c r="E106" s="41" t="str">
        <f t="shared" si="7"/>
        <v/>
      </c>
      <c r="F106" s="16">
        <v>2347.38</v>
      </c>
      <c r="G106" s="16">
        <v>304.67</v>
      </c>
      <c r="H106" s="16">
        <v>13.18</v>
      </c>
      <c r="I106" s="16">
        <v>1475.69</v>
      </c>
      <c r="J106" s="14">
        <v>652.04</v>
      </c>
      <c r="K106" s="14">
        <v>988.04</v>
      </c>
    </row>
    <row r="107" spans="1:11" ht="18" customHeight="1">
      <c r="A107" s="9">
        <v>42826</v>
      </c>
      <c r="B107" s="3">
        <v>1.0832040000000001</v>
      </c>
      <c r="C107" s="30" t="str">
        <f t="shared" si="5"/>
        <v/>
      </c>
      <c r="D107" s="41" t="str">
        <f t="shared" si="6"/>
        <v/>
      </c>
      <c r="E107" s="41" t="str">
        <f t="shared" si="7"/>
        <v/>
      </c>
      <c r="F107" s="16">
        <v>2205.44</v>
      </c>
      <c r="G107" s="16">
        <v>287.20999999999998</v>
      </c>
      <c r="H107" s="16">
        <v>12.27</v>
      </c>
      <c r="I107" s="16">
        <v>1392.27</v>
      </c>
      <c r="J107" s="14">
        <v>628.24</v>
      </c>
      <c r="K107" s="14">
        <v>940.33</v>
      </c>
    </row>
    <row r="108" spans="1:11" ht="18" customHeight="1">
      <c r="A108" s="9">
        <v>42795</v>
      </c>
      <c r="B108" s="3">
        <v>1.062262</v>
      </c>
      <c r="C108" s="30" t="str">
        <f t="shared" si="5"/>
        <v/>
      </c>
      <c r="D108" s="41" t="str">
        <f t="shared" si="6"/>
        <v/>
      </c>
      <c r="E108" s="41" t="str">
        <f t="shared" si="7"/>
        <v/>
      </c>
      <c r="F108" s="16">
        <v>2160.23</v>
      </c>
      <c r="G108" s="16">
        <v>280.64</v>
      </c>
      <c r="H108" s="16">
        <v>11.06</v>
      </c>
      <c r="I108" s="16">
        <v>1362.28</v>
      </c>
      <c r="J108" s="14">
        <v>619.28</v>
      </c>
      <c r="K108" s="14">
        <v>921.26</v>
      </c>
    </row>
    <row r="109" spans="1:11" ht="18" customHeight="1">
      <c r="A109" s="9">
        <v>42767</v>
      </c>
      <c r="B109" s="3">
        <v>1.0296369999999999</v>
      </c>
      <c r="C109" s="30" t="str">
        <f t="shared" si="5"/>
        <v/>
      </c>
      <c r="D109" s="41" t="str">
        <f t="shared" si="6"/>
        <v/>
      </c>
      <c r="E109" s="41" t="str">
        <f t="shared" si="7"/>
        <v/>
      </c>
      <c r="F109" s="16">
        <v>2091.64</v>
      </c>
      <c r="G109" s="16">
        <v>270.06</v>
      </c>
      <c r="H109" s="16">
        <v>10.64</v>
      </c>
      <c r="I109" s="16">
        <v>1307.68</v>
      </c>
      <c r="J109" s="13">
        <v>612.20000000000005</v>
      </c>
      <c r="K109" s="14">
        <v>916.75</v>
      </c>
    </row>
    <row r="110" spans="1:11" ht="18" customHeight="1">
      <c r="A110" s="9">
        <v>42736</v>
      </c>
      <c r="B110" s="3">
        <v>1.0175460000000001</v>
      </c>
      <c r="C110" s="30" t="str">
        <f t="shared" si="5"/>
        <v/>
      </c>
      <c r="D110" s="41" t="str">
        <f t="shared" si="6"/>
        <v/>
      </c>
      <c r="E110" s="41" t="str">
        <f t="shared" si="7"/>
        <v/>
      </c>
      <c r="F110" s="16">
        <v>2067.5700000000002</v>
      </c>
      <c r="G110" s="16">
        <v>268.08999999999997</v>
      </c>
      <c r="H110" s="16">
        <v>12.53</v>
      </c>
      <c r="I110" s="16">
        <v>1305.02</v>
      </c>
      <c r="J110" s="14">
        <v>616.13</v>
      </c>
      <c r="K110" s="14">
        <v>904.84</v>
      </c>
    </row>
    <row r="111" spans="1:11" ht="18" customHeight="1">
      <c r="A111" s="9">
        <v>42705</v>
      </c>
      <c r="B111" s="3">
        <v>0.99650899999999998</v>
      </c>
      <c r="C111" s="30" t="str">
        <f t="shared" si="5"/>
        <v/>
      </c>
      <c r="D111" s="41" t="str">
        <f t="shared" si="6"/>
        <v/>
      </c>
      <c r="E111" s="41" t="str">
        <f t="shared" si="7"/>
        <v/>
      </c>
      <c r="F111" s="16">
        <v>2026.46</v>
      </c>
      <c r="G111" s="16">
        <v>260.01</v>
      </c>
      <c r="H111" s="16">
        <v>11.51</v>
      </c>
      <c r="I111" s="16">
        <v>1260.6600000000001</v>
      </c>
      <c r="J111" s="14">
        <v>631.44000000000005</v>
      </c>
      <c r="K111" s="14">
        <v>936.09</v>
      </c>
    </row>
    <row r="112" spans="1:11" ht="18" customHeight="1">
      <c r="A112" s="9">
        <v>42675</v>
      </c>
      <c r="B112" s="3">
        <v>0.98469499999999999</v>
      </c>
      <c r="C112" s="30" t="str">
        <f t="shared" si="5"/>
        <v/>
      </c>
      <c r="D112" s="41" t="str">
        <f t="shared" si="6"/>
        <v/>
      </c>
      <c r="E112" s="41" t="str">
        <f t="shared" si="7"/>
        <v/>
      </c>
      <c r="F112" s="16">
        <v>1983.48</v>
      </c>
      <c r="G112" s="16">
        <v>254.26</v>
      </c>
      <c r="H112" s="16">
        <v>12.8</v>
      </c>
      <c r="I112" s="16">
        <v>1218.23</v>
      </c>
      <c r="J112" s="14">
        <v>596.11</v>
      </c>
      <c r="K112" s="14">
        <v>892.08</v>
      </c>
    </row>
    <row r="113" spans="1:11" ht="18" customHeight="1">
      <c r="A113" s="9">
        <v>42644</v>
      </c>
      <c r="B113" s="3">
        <v>0.99016099999999996</v>
      </c>
      <c r="C113" s="30" t="str">
        <f t="shared" si="5"/>
        <v/>
      </c>
      <c r="D113" s="41" t="str">
        <f t="shared" si="6"/>
        <v/>
      </c>
      <c r="E113" s="41" t="str">
        <f t="shared" si="7"/>
        <v/>
      </c>
      <c r="F113" s="16">
        <v>2008.19</v>
      </c>
      <c r="G113" s="16">
        <v>255.93</v>
      </c>
      <c r="H113" s="16">
        <v>14.61</v>
      </c>
      <c r="I113" s="16">
        <v>1229.5</v>
      </c>
      <c r="J113" s="14">
        <v>624.67999999999995</v>
      </c>
      <c r="K113" s="14">
        <v>939.76</v>
      </c>
    </row>
    <row r="114" spans="1:11" ht="18" customHeight="1">
      <c r="A114" s="9">
        <v>42614</v>
      </c>
      <c r="B114" s="3">
        <v>1.081105</v>
      </c>
      <c r="C114" s="30" t="str">
        <f t="shared" si="5"/>
        <v/>
      </c>
      <c r="D114" s="41" t="str">
        <f t="shared" si="6"/>
        <v/>
      </c>
      <c r="E114" s="41" t="str">
        <f t="shared" si="7"/>
        <v/>
      </c>
      <c r="F114" s="16">
        <v>2043.63</v>
      </c>
      <c r="G114" s="16">
        <v>257.49</v>
      </c>
      <c r="H114" s="16">
        <v>14.11</v>
      </c>
      <c r="I114" s="16">
        <v>1237.6400000000001</v>
      </c>
      <c r="J114" s="14">
        <v>681.21</v>
      </c>
      <c r="K114" s="14">
        <v>1010.18</v>
      </c>
    </row>
    <row r="115" spans="1:11" ht="18" customHeight="1">
      <c r="A115" s="9">
        <v>42583</v>
      </c>
      <c r="B115" s="3">
        <v>1.076362</v>
      </c>
      <c r="C115" s="30" t="str">
        <f t="shared" si="5"/>
        <v/>
      </c>
      <c r="D115" s="41" t="str">
        <f t="shared" si="6"/>
        <v/>
      </c>
      <c r="E115" s="41" t="str">
        <f t="shared" si="7"/>
        <v/>
      </c>
      <c r="F115" s="16">
        <v>2034.65</v>
      </c>
      <c r="G115" s="16">
        <v>256.87</v>
      </c>
      <c r="H115" s="16">
        <v>11.56</v>
      </c>
      <c r="I115" s="16">
        <v>1234.47</v>
      </c>
      <c r="J115" s="14">
        <v>663.69</v>
      </c>
      <c r="K115" s="13">
        <v>997.9</v>
      </c>
    </row>
    <row r="116" spans="1:11" ht="18" customHeight="1">
      <c r="A116" s="9">
        <v>42552</v>
      </c>
      <c r="B116" s="3">
        <v>1.0668260000000001</v>
      </c>
      <c r="C116" s="30" t="str">
        <f t="shared" si="5"/>
        <v/>
      </c>
      <c r="D116" s="41" t="str">
        <f t="shared" si="6"/>
        <v/>
      </c>
      <c r="E116" s="41" t="str">
        <f t="shared" si="7"/>
        <v/>
      </c>
      <c r="F116" s="16">
        <v>2016.19</v>
      </c>
      <c r="G116" s="16">
        <v>251.48</v>
      </c>
      <c r="H116" s="16">
        <v>12.6</v>
      </c>
      <c r="I116" s="16">
        <v>1214.74</v>
      </c>
      <c r="J116" s="14">
        <v>706.24</v>
      </c>
      <c r="K116" s="15">
        <v>1058</v>
      </c>
    </row>
    <row r="117" spans="1:11" ht="18" customHeight="1">
      <c r="A117" s="9">
        <v>42522</v>
      </c>
      <c r="B117" s="3">
        <v>1.0395460000000001</v>
      </c>
      <c r="C117" s="30" t="str">
        <f t="shared" si="5"/>
        <v/>
      </c>
      <c r="D117" s="41" t="str">
        <f t="shared" si="6"/>
        <v/>
      </c>
      <c r="E117" s="41" t="str">
        <f t="shared" si="7"/>
        <v/>
      </c>
      <c r="F117" s="16">
        <v>1970.35</v>
      </c>
      <c r="G117" s="16">
        <v>244.14</v>
      </c>
      <c r="H117" s="16">
        <v>13.9</v>
      </c>
      <c r="I117" s="16">
        <v>1175.52</v>
      </c>
      <c r="J117" s="14">
        <v>675.09</v>
      </c>
      <c r="K117" s="14">
        <v>1032.75</v>
      </c>
    </row>
    <row r="118" spans="1:11" ht="18" customHeight="1">
      <c r="A118" s="9">
        <v>42491</v>
      </c>
      <c r="B118" s="3">
        <v>1.0459909999999999</v>
      </c>
      <c r="C118" s="30" t="str">
        <f t="shared" si="5"/>
        <v/>
      </c>
      <c r="D118" s="41" t="str">
        <f t="shared" si="6"/>
        <v/>
      </c>
      <c r="E118" s="41" t="str">
        <f t="shared" si="7"/>
        <v/>
      </c>
      <c r="F118" s="16">
        <v>1983.4</v>
      </c>
      <c r="G118" s="16">
        <v>243.63</v>
      </c>
      <c r="H118" s="16">
        <v>11.81</v>
      </c>
      <c r="I118" s="16">
        <v>1175.94</v>
      </c>
      <c r="J118" s="14">
        <v>698.45</v>
      </c>
      <c r="K118" s="14">
        <v>1068.73</v>
      </c>
    </row>
    <row r="119" spans="1:11" ht="18" customHeight="1">
      <c r="A119" s="9">
        <v>42461</v>
      </c>
      <c r="B119" s="3">
        <v>1.123364</v>
      </c>
      <c r="C119" s="30" t="str">
        <f t="shared" si="5"/>
        <v/>
      </c>
      <c r="D119" s="41" t="str">
        <f t="shared" si="6"/>
        <v/>
      </c>
      <c r="E119" s="41" t="str">
        <f t="shared" si="7"/>
        <v/>
      </c>
      <c r="F119" s="16">
        <v>1994.15</v>
      </c>
      <c r="G119" s="16">
        <v>245.2</v>
      </c>
      <c r="H119" s="16">
        <v>12.42</v>
      </c>
      <c r="I119" s="16">
        <v>1185.6099999999999</v>
      </c>
      <c r="J119" s="14">
        <v>699.77</v>
      </c>
      <c r="K119" s="14">
        <v>1065.27</v>
      </c>
    </row>
    <row r="120" spans="1:11" ht="18" customHeight="1">
      <c r="A120" s="9">
        <v>42430</v>
      </c>
      <c r="B120" s="3">
        <v>1.1237200000000001</v>
      </c>
      <c r="C120" s="30" t="str">
        <f t="shared" si="5"/>
        <v/>
      </c>
      <c r="D120" s="41" t="str">
        <f t="shared" si="6"/>
        <v/>
      </c>
      <c r="E120" s="41" t="str">
        <f t="shared" si="7"/>
        <v/>
      </c>
      <c r="F120" s="16">
        <v>1995.85</v>
      </c>
      <c r="G120" s="16">
        <v>245.86</v>
      </c>
      <c r="H120" s="16">
        <v>12.33</v>
      </c>
      <c r="I120" s="16">
        <v>1190.68</v>
      </c>
      <c r="J120" s="14">
        <v>688.38</v>
      </c>
      <c r="K120" s="14">
        <v>1073.68</v>
      </c>
    </row>
    <row r="121" spans="1:11" ht="18" customHeight="1">
      <c r="A121" s="9">
        <v>42401</v>
      </c>
      <c r="B121" s="3">
        <v>1.0790029999999999</v>
      </c>
      <c r="C121" s="30" t="str">
        <f t="shared" si="5"/>
        <v/>
      </c>
      <c r="D121" s="41" t="str">
        <f t="shared" si="6"/>
        <v/>
      </c>
      <c r="E121" s="41" t="str">
        <f t="shared" si="7"/>
        <v/>
      </c>
      <c r="F121" s="16">
        <v>1916.66</v>
      </c>
      <c r="G121" s="16">
        <v>234.63</v>
      </c>
      <c r="H121" s="16">
        <v>17.559999999999999</v>
      </c>
      <c r="I121" s="16">
        <v>1142.04</v>
      </c>
      <c r="J121" s="14">
        <v>651.62</v>
      </c>
      <c r="K121" s="14">
        <v>1045.53</v>
      </c>
    </row>
    <row r="122" spans="1:11" ht="18" customHeight="1">
      <c r="A122" s="9">
        <v>42370</v>
      </c>
      <c r="B122" s="3">
        <v>1.0715060000000001</v>
      </c>
      <c r="C122" s="30" t="str">
        <f t="shared" si="5"/>
        <v/>
      </c>
      <c r="D122" s="41" t="str">
        <f t="shared" si="6"/>
        <v/>
      </c>
      <c r="E122" s="41" t="str">
        <f t="shared" si="7"/>
        <v/>
      </c>
      <c r="F122" s="16">
        <v>1912.06</v>
      </c>
      <c r="G122" s="16">
        <v>232.1</v>
      </c>
      <c r="H122" s="16">
        <v>17.93</v>
      </c>
      <c r="I122" s="16">
        <v>1127.96</v>
      </c>
      <c r="J122" s="13">
        <v>682.8</v>
      </c>
      <c r="K122" s="14">
        <v>1128.24</v>
      </c>
    </row>
    <row r="123" spans="1:11" ht="18" customHeight="1">
      <c r="A123" s="9">
        <v>42339</v>
      </c>
      <c r="B123" s="3">
        <v>1.1016900000000001</v>
      </c>
      <c r="C123" s="30" t="str">
        <f t="shared" si="5"/>
        <v/>
      </c>
      <c r="D123" s="41" t="str">
        <f t="shared" si="6"/>
        <v/>
      </c>
      <c r="E123" s="41" t="str">
        <f t="shared" si="7"/>
        <v/>
      </c>
      <c r="F123" s="16">
        <v>1961.31</v>
      </c>
      <c r="G123" s="16">
        <v>240.38</v>
      </c>
      <c r="H123" s="16">
        <v>14.18</v>
      </c>
      <c r="I123" s="16">
        <v>1167.53</v>
      </c>
      <c r="J123" s="14">
        <v>682.35</v>
      </c>
      <c r="K123" s="14">
        <v>1095.46</v>
      </c>
    </row>
    <row r="124" spans="1:11" ht="18" customHeight="1">
      <c r="A124" s="9">
        <v>42309</v>
      </c>
      <c r="B124" s="3">
        <v>1.1182080000000001</v>
      </c>
      <c r="C124" s="30" t="str">
        <f t="shared" si="5"/>
        <v/>
      </c>
      <c r="D124" s="41" t="str">
        <f t="shared" si="6"/>
        <v/>
      </c>
      <c r="E124" s="41" t="str">
        <f t="shared" si="7"/>
        <v/>
      </c>
      <c r="F124" s="16">
        <v>1991.97</v>
      </c>
      <c r="G124" s="16">
        <v>244.24</v>
      </c>
      <c r="H124" s="16">
        <v>14.37</v>
      </c>
      <c r="I124" s="16">
        <v>1176.8</v>
      </c>
      <c r="J124" s="14">
        <v>688.38</v>
      </c>
      <c r="K124" s="14">
        <v>1102.28</v>
      </c>
    </row>
    <row r="125" spans="1:11" ht="18" customHeight="1">
      <c r="A125" s="9">
        <v>42278</v>
      </c>
      <c r="B125" s="3">
        <v>1.1388529999999999</v>
      </c>
      <c r="C125" s="30" t="str">
        <f t="shared" si="5"/>
        <v/>
      </c>
      <c r="D125" s="41" t="str">
        <f t="shared" si="6"/>
        <v/>
      </c>
      <c r="E125" s="41" t="str">
        <f t="shared" si="7"/>
        <v/>
      </c>
      <c r="F125" s="16">
        <v>2029.47</v>
      </c>
      <c r="G125" s="16">
        <v>249.41</v>
      </c>
      <c r="H125" s="16">
        <v>14.22</v>
      </c>
      <c r="I125" s="16">
        <v>1207.32</v>
      </c>
      <c r="J125" s="14">
        <v>683.63</v>
      </c>
      <c r="K125" s="14">
        <v>1069.95</v>
      </c>
    </row>
    <row r="126" spans="1:11" ht="18" customHeight="1">
      <c r="A126" s="9">
        <v>42248</v>
      </c>
      <c r="B126" s="3">
        <v>1.100371</v>
      </c>
      <c r="C126" s="30" t="str">
        <f t="shared" si="5"/>
        <v/>
      </c>
      <c r="D126" s="41" t="str">
        <f t="shared" si="6"/>
        <v/>
      </c>
      <c r="E126" s="41" t="str">
        <f t="shared" si="7"/>
        <v/>
      </c>
      <c r="F126" s="16">
        <v>1962.81</v>
      </c>
      <c r="G126" s="16">
        <v>236.71</v>
      </c>
      <c r="H126" s="16">
        <v>20.48</v>
      </c>
      <c r="I126" s="16">
        <v>1136.19</v>
      </c>
      <c r="J126" s="14">
        <v>678.48</v>
      </c>
      <c r="K126" s="14">
        <v>1068.3499999999999</v>
      </c>
    </row>
    <row r="127" spans="1:11" ht="18" customHeight="1">
      <c r="A127" s="9">
        <v>42217</v>
      </c>
      <c r="B127" s="3">
        <v>1.076578</v>
      </c>
      <c r="C127" s="30" t="str">
        <f t="shared" si="5"/>
        <v/>
      </c>
      <c r="D127" s="41" t="str">
        <f t="shared" si="6"/>
        <v/>
      </c>
      <c r="E127" s="41" t="str">
        <f t="shared" si="7"/>
        <v/>
      </c>
      <c r="F127" s="16">
        <v>1941.49</v>
      </c>
      <c r="G127" s="16">
        <v>232.8</v>
      </c>
      <c r="H127" s="16">
        <v>19.75</v>
      </c>
      <c r="I127" s="16">
        <v>1113.48</v>
      </c>
      <c r="J127" s="14">
        <v>687.11</v>
      </c>
      <c r="K127" s="14">
        <v>1115.31</v>
      </c>
    </row>
    <row r="128" spans="1:11" ht="18" customHeight="1">
      <c r="A128" s="9">
        <v>42186</v>
      </c>
      <c r="B128" s="3">
        <v>1.118217</v>
      </c>
      <c r="C128" s="30" t="str">
        <f t="shared" si="5"/>
        <v/>
      </c>
      <c r="D128" s="41" t="str">
        <f t="shared" si="6"/>
        <v/>
      </c>
      <c r="E128" s="41" t="str">
        <f t="shared" si="7"/>
        <v/>
      </c>
      <c r="F128" s="16">
        <v>2030.16</v>
      </c>
      <c r="G128" s="16">
        <v>244.3</v>
      </c>
      <c r="H128" s="16">
        <v>13.54</v>
      </c>
      <c r="I128" s="16">
        <v>1173</v>
      </c>
      <c r="J128" s="14">
        <v>725.06</v>
      </c>
      <c r="K128" s="14">
        <v>1163.3599999999999</v>
      </c>
    </row>
    <row r="129" spans="1:11" ht="18" customHeight="1">
      <c r="A129" s="9">
        <v>42156</v>
      </c>
      <c r="B129" s="3">
        <v>1.1449069999999999</v>
      </c>
      <c r="C129" s="30" t="str">
        <f t="shared" si="5"/>
        <v/>
      </c>
      <c r="D129" s="41" t="str">
        <f t="shared" si="6"/>
        <v/>
      </c>
      <c r="E129" s="41" t="str">
        <f t="shared" si="7"/>
        <v/>
      </c>
      <c r="F129" s="16">
        <v>2074.1999999999998</v>
      </c>
      <c r="G129" s="16">
        <v>252.27</v>
      </c>
      <c r="H129" s="16">
        <v>14.45</v>
      </c>
      <c r="I129" s="16">
        <v>1215.6500000000001</v>
      </c>
      <c r="J129" s="14">
        <v>742.27</v>
      </c>
      <c r="K129" s="14">
        <v>1139.1500000000001</v>
      </c>
    </row>
    <row r="130" spans="1:11" ht="18" customHeight="1">
      <c r="A130" s="9">
        <v>42125</v>
      </c>
      <c r="B130" s="3">
        <v>1.1653309999999999</v>
      </c>
      <c r="C130" s="30" t="str">
        <f t="shared" si="5"/>
        <v/>
      </c>
      <c r="D130" s="41" t="str">
        <f t="shared" si="6"/>
        <v/>
      </c>
      <c r="E130" s="41" t="str">
        <f t="shared" si="7"/>
        <v/>
      </c>
      <c r="F130" s="16">
        <v>2114.8000000000002</v>
      </c>
      <c r="G130" s="16">
        <v>260.39</v>
      </c>
      <c r="H130" s="16">
        <v>12.59</v>
      </c>
      <c r="I130" s="16">
        <v>1262.31</v>
      </c>
      <c r="J130" s="14">
        <v>711.39</v>
      </c>
      <c r="K130" s="14">
        <v>1129.76</v>
      </c>
    </row>
    <row r="131" spans="1:11" ht="18" customHeight="1">
      <c r="A131" s="9">
        <v>42095</v>
      </c>
      <c r="B131" s="3">
        <v>1.2403200000000001</v>
      </c>
      <c r="C131" s="30" t="str">
        <f t="shared" si="5"/>
        <v/>
      </c>
      <c r="D131" s="41" t="str">
        <f t="shared" si="6"/>
        <v/>
      </c>
      <c r="E131" s="41" t="str">
        <f t="shared" si="7"/>
        <v/>
      </c>
      <c r="F131" s="16">
        <v>2127.17</v>
      </c>
      <c r="G131" s="16">
        <v>266.42</v>
      </c>
      <c r="H131" s="16">
        <v>11.76</v>
      </c>
      <c r="I131" s="16">
        <v>1295.9000000000001</v>
      </c>
      <c r="J131" s="14">
        <v>689.01</v>
      </c>
      <c r="K131" s="13">
        <v>1104.2</v>
      </c>
    </row>
    <row r="132" spans="1:11" ht="18" customHeight="1">
      <c r="A132" s="9">
        <v>42064</v>
      </c>
      <c r="B132" s="3">
        <v>1.1897869999999999</v>
      </c>
      <c r="C132" s="30" t="str">
        <f t="shared" ref="C132:C195" si="9">IF(B132&lt;=C$1, "Risk", "")</f>
        <v/>
      </c>
      <c r="D132" s="41" t="str">
        <f t="shared" si="6"/>
        <v/>
      </c>
      <c r="E132" s="41" t="str">
        <f t="shared" si="7"/>
        <v/>
      </c>
      <c r="F132" s="16">
        <v>2041.03</v>
      </c>
      <c r="G132" s="16">
        <v>257.27999999999997</v>
      </c>
      <c r="H132" s="16">
        <v>11.09</v>
      </c>
      <c r="I132" s="16">
        <v>1244.9100000000001</v>
      </c>
      <c r="J132" s="14">
        <v>650.49</v>
      </c>
      <c r="K132" s="14">
        <v>1050.1199999999999</v>
      </c>
    </row>
    <row r="133" spans="1:11" ht="18" customHeight="1">
      <c r="A133" s="9">
        <v>42036</v>
      </c>
      <c r="B133" s="3">
        <v>1.1522790000000001</v>
      </c>
      <c r="C133" s="30" t="str">
        <f t="shared" si="9"/>
        <v/>
      </c>
      <c r="D133" s="41" t="str">
        <f t="shared" ref="D133:D196" si="10">IF(B133&lt;=D$1, "Risk", "")</f>
        <v/>
      </c>
      <c r="E133" s="41" t="str">
        <f t="shared" ref="E133:E196" si="11">IF(B133&lt;=E$1, "Risk", "")</f>
        <v/>
      </c>
      <c r="F133" s="16">
        <v>1985.8</v>
      </c>
      <c r="G133" s="16">
        <v>251.46</v>
      </c>
      <c r="H133" s="16">
        <v>11.11</v>
      </c>
      <c r="I133" s="16">
        <v>1223.93</v>
      </c>
      <c r="J133" s="14">
        <v>624.55999999999995</v>
      </c>
      <c r="K133" s="13">
        <v>1021.6</v>
      </c>
    </row>
    <row r="134" spans="1:11" ht="18" customHeight="1">
      <c r="A134" s="9">
        <v>42005</v>
      </c>
      <c r="B134" s="3">
        <v>1.1316949999999999</v>
      </c>
      <c r="C134" s="30" t="str">
        <f t="shared" si="9"/>
        <v/>
      </c>
      <c r="D134" s="41" t="str">
        <f t="shared" si="10"/>
        <v/>
      </c>
      <c r="E134" s="41" t="str">
        <f t="shared" si="11"/>
        <v/>
      </c>
      <c r="F134" s="16">
        <v>1949.26</v>
      </c>
      <c r="G134" s="16">
        <v>249.88</v>
      </c>
      <c r="H134" s="16">
        <v>13.67</v>
      </c>
      <c r="I134" s="16">
        <v>1219.56</v>
      </c>
      <c r="J134" s="14">
        <v>591.58000000000004</v>
      </c>
      <c r="K134" s="14">
        <v>965.87</v>
      </c>
    </row>
    <row r="135" spans="1:11" ht="18" customHeight="1">
      <c r="A135" s="9">
        <v>41974</v>
      </c>
      <c r="B135" s="3">
        <v>1.1122719999999999</v>
      </c>
      <c r="C135" s="30" t="str">
        <f t="shared" si="9"/>
        <v/>
      </c>
      <c r="D135" s="41" t="str">
        <f t="shared" si="10"/>
        <v/>
      </c>
      <c r="E135" s="41" t="str">
        <f t="shared" si="11"/>
        <v/>
      </c>
      <c r="F135" s="16">
        <v>1915.59</v>
      </c>
      <c r="G135" s="16">
        <v>244.05</v>
      </c>
      <c r="H135" s="16">
        <v>12.97</v>
      </c>
      <c r="I135" s="16">
        <v>1184.5999999999999</v>
      </c>
      <c r="J135" s="14">
        <v>542.97</v>
      </c>
      <c r="K135" s="14">
        <v>894.44</v>
      </c>
    </row>
    <row r="136" spans="1:11" ht="18" customHeight="1">
      <c r="A136" s="9">
        <v>41944</v>
      </c>
      <c r="B136" s="3">
        <v>1.139229</v>
      </c>
      <c r="C136" s="30" t="str">
        <f t="shared" si="9"/>
        <v/>
      </c>
      <c r="D136" s="41" t="str">
        <f t="shared" si="10"/>
        <v/>
      </c>
      <c r="E136" s="41" t="str">
        <f t="shared" si="11"/>
        <v/>
      </c>
      <c r="F136" s="16">
        <v>1980.78</v>
      </c>
      <c r="G136" s="16">
        <v>253.7</v>
      </c>
      <c r="H136" s="16">
        <v>11.59</v>
      </c>
      <c r="I136" s="16">
        <v>1226.24</v>
      </c>
      <c r="J136" s="14">
        <v>545.08000000000004</v>
      </c>
      <c r="K136" s="14">
        <v>896.82</v>
      </c>
    </row>
    <row r="137" spans="1:11" ht="18" customHeight="1">
      <c r="A137" s="9">
        <v>41913</v>
      </c>
      <c r="B137" s="3">
        <v>1.113874</v>
      </c>
      <c r="C137" s="30" t="str">
        <f t="shared" si="9"/>
        <v/>
      </c>
      <c r="D137" s="41" t="str">
        <f t="shared" si="10"/>
        <v/>
      </c>
      <c r="E137" s="41" t="str">
        <f t="shared" si="11"/>
        <v/>
      </c>
      <c r="F137" s="16">
        <v>1964.43</v>
      </c>
      <c r="G137" s="16">
        <v>250.45</v>
      </c>
      <c r="H137" s="16">
        <v>13.99</v>
      </c>
      <c r="I137" s="16">
        <v>1207.9000000000001</v>
      </c>
      <c r="J137" s="13">
        <v>558.70000000000005</v>
      </c>
      <c r="K137" s="14">
        <v>920.41</v>
      </c>
    </row>
    <row r="138" spans="1:11" ht="18" customHeight="1">
      <c r="A138" s="9">
        <v>41883</v>
      </c>
      <c r="B138" s="3">
        <v>1.145802</v>
      </c>
      <c r="C138" s="30" t="str">
        <f t="shared" si="9"/>
        <v/>
      </c>
      <c r="D138" s="41" t="str">
        <f t="shared" si="10"/>
        <v/>
      </c>
      <c r="E138" s="41" t="str">
        <f t="shared" si="11"/>
        <v/>
      </c>
      <c r="F138" s="16">
        <v>2020.09</v>
      </c>
      <c r="G138" s="16">
        <v>256.77</v>
      </c>
      <c r="H138" s="16">
        <v>12.69</v>
      </c>
      <c r="I138" s="16">
        <v>1240.73</v>
      </c>
      <c r="J138" s="14">
        <v>573.22</v>
      </c>
      <c r="K138" s="14">
        <v>954.34</v>
      </c>
    </row>
    <row r="139" spans="1:11" ht="18" customHeight="1">
      <c r="A139" s="9">
        <v>41852</v>
      </c>
      <c r="B139" s="3">
        <v>1.1735180000000001</v>
      </c>
      <c r="C139" s="30" t="str">
        <f t="shared" si="9"/>
        <v/>
      </c>
      <c r="D139" s="41" t="str">
        <f t="shared" si="10"/>
        <v/>
      </c>
      <c r="E139" s="41" t="str">
        <f t="shared" si="11"/>
        <v/>
      </c>
      <c r="F139" s="16">
        <v>2068.54</v>
      </c>
      <c r="G139" s="16">
        <v>265.41000000000003</v>
      </c>
      <c r="H139" s="16">
        <v>10.86</v>
      </c>
      <c r="I139" s="16">
        <v>1288.7</v>
      </c>
      <c r="J139" s="13">
        <v>570.20000000000005</v>
      </c>
      <c r="K139" s="14">
        <v>944.48</v>
      </c>
    </row>
    <row r="140" spans="1:11" ht="18" customHeight="1">
      <c r="A140" s="9">
        <v>41821</v>
      </c>
      <c r="B140" s="3">
        <v>1.176464</v>
      </c>
      <c r="C140" s="30" t="str">
        <f t="shared" si="9"/>
        <v/>
      </c>
      <c r="D140" s="41" t="str">
        <f t="shared" si="10"/>
        <v/>
      </c>
      <c r="E140" s="41" t="str">
        <f t="shared" si="11"/>
        <v/>
      </c>
      <c r="F140" s="16">
        <v>2076.12</v>
      </c>
      <c r="G140" s="16">
        <v>269.68</v>
      </c>
      <c r="H140" s="16">
        <v>12.69</v>
      </c>
      <c r="I140" s="16">
        <v>1318.05</v>
      </c>
      <c r="J140" s="14">
        <v>536.32000000000005</v>
      </c>
      <c r="K140" s="14">
        <v>877.17</v>
      </c>
    </row>
    <row r="141" spans="1:11" ht="18" customHeight="1">
      <c r="A141" s="9">
        <v>41791</v>
      </c>
      <c r="B141" s="3">
        <v>1.14174</v>
      </c>
      <c r="C141" s="30" t="str">
        <f t="shared" si="9"/>
        <v/>
      </c>
      <c r="D141" s="41" t="str">
        <f t="shared" si="10"/>
        <v/>
      </c>
      <c r="E141" s="41" t="str">
        <f t="shared" si="11"/>
        <v/>
      </c>
      <c r="F141" s="16">
        <v>2002.21</v>
      </c>
      <c r="G141" s="16">
        <v>260.56</v>
      </c>
      <c r="H141" s="16">
        <v>11.48</v>
      </c>
      <c r="I141" s="16">
        <v>1264.44</v>
      </c>
      <c r="J141" s="14">
        <v>537.05999999999995</v>
      </c>
      <c r="K141" s="14">
        <v>885.49</v>
      </c>
    </row>
    <row r="142" spans="1:11" ht="18" customHeight="1">
      <c r="A142" s="9">
        <v>41760</v>
      </c>
      <c r="B142" s="3">
        <v>1.137718</v>
      </c>
      <c r="C142" s="30" t="str">
        <f t="shared" si="9"/>
        <v/>
      </c>
      <c r="D142" s="41" t="str">
        <f t="shared" si="10"/>
        <v/>
      </c>
      <c r="E142" s="41" t="str">
        <f t="shared" si="11"/>
        <v/>
      </c>
      <c r="F142" s="16">
        <v>1994.96</v>
      </c>
      <c r="G142" s="16">
        <v>259.94</v>
      </c>
      <c r="H142" s="16">
        <v>10.86</v>
      </c>
      <c r="I142" s="16">
        <v>1273.0899999999999</v>
      </c>
      <c r="J142" s="14">
        <v>546.53</v>
      </c>
      <c r="K142" s="14">
        <v>900.98</v>
      </c>
    </row>
    <row r="143" spans="1:11" ht="18" customHeight="1">
      <c r="A143" s="9">
        <v>41730</v>
      </c>
      <c r="B143" s="3">
        <v>1.091137</v>
      </c>
      <c r="C143" s="30" t="str">
        <f t="shared" si="9"/>
        <v/>
      </c>
      <c r="D143" s="41" t="str">
        <f t="shared" si="10"/>
        <v/>
      </c>
      <c r="E143" s="41" t="str">
        <f t="shared" si="11"/>
        <v/>
      </c>
      <c r="F143" s="16">
        <v>1961.79</v>
      </c>
      <c r="G143" s="16">
        <v>255.33</v>
      </c>
      <c r="H143" s="16">
        <v>11.6</v>
      </c>
      <c r="I143" s="16">
        <v>1246.49</v>
      </c>
      <c r="J143" s="14">
        <v>559.34</v>
      </c>
      <c r="K143" s="14">
        <v>933.77</v>
      </c>
    </row>
    <row r="144" spans="1:11" ht="18" customHeight="1">
      <c r="A144" s="9">
        <v>41699</v>
      </c>
      <c r="B144" s="3">
        <v>1.179996</v>
      </c>
      <c r="C144" s="30" t="str">
        <f t="shared" si="9"/>
        <v/>
      </c>
      <c r="D144" s="41" t="str">
        <f t="shared" si="10"/>
        <v/>
      </c>
      <c r="E144" s="41" t="str">
        <f t="shared" si="11"/>
        <v/>
      </c>
      <c r="F144" s="16">
        <v>1985.61</v>
      </c>
      <c r="G144" s="16">
        <v>258.11</v>
      </c>
      <c r="H144" s="16">
        <v>13.82</v>
      </c>
      <c r="I144" s="16">
        <v>1261.1300000000001</v>
      </c>
      <c r="J144" s="14">
        <v>541.58000000000004</v>
      </c>
      <c r="K144" s="14">
        <v>903.93</v>
      </c>
    </row>
    <row r="145" spans="1:11" ht="18" customHeight="1">
      <c r="A145" s="9">
        <v>41671</v>
      </c>
      <c r="B145" s="3">
        <v>1.172771</v>
      </c>
      <c r="C145" s="30" t="str">
        <f t="shared" si="9"/>
        <v/>
      </c>
      <c r="D145" s="41" t="str">
        <f t="shared" si="10"/>
        <v/>
      </c>
      <c r="E145" s="41" t="str">
        <f t="shared" si="11"/>
        <v/>
      </c>
      <c r="F145" s="16">
        <v>1979.99</v>
      </c>
      <c r="G145" s="16">
        <v>258.41000000000003</v>
      </c>
      <c r="H145" s="16">
        <v>13.49</v>
      </c>
      <c r="I145" s="16">
        <v>1263.67</v>
      </c>
      <c r="J145" s="14">
        <v>528.96</v>
      </c>
      <c r="K145" s="14">
        <v>896.99</v>
      </c>
    </row>
    <row r="146" spans="1:11" ht="18" customHeight="1">
      <c r="A146" s="9">
        <v>41640</v>
      </c>
      <c r="B146" s="3">
        <v>1.150638</v>
      </c>
      <c r="C146" s="30" t="str">
        <f t="shared" si="9"/>
        <v/>
      </c>
      <c r="D146" s="41" t="str">
        <f t="shared" si="10"/>
        <v/>
      </c>
      <c r="E146" s="41" t="str">
        <f t="shared" si="11"/>
        <v/>
      </c>
      <c r="F146" s="16">
        <v>1941.15</v>
      </c>
      <c r="G146" s="16">
        <v>252.89</v>
      </c>
      <c r="H146" s="16">
        <v>14.43</v>
      </c>
      <c r="I146" s="16">
        <v>1248.94</v>
      </c>
      <c r="J146" s="13">
        <v>515.20000000000005</v>
      </c>
      <c r="K146" s="14">
        <v>884.82</v>
      </c>
    </row>
    <row r="147" spans="1:11" ht="18" customHeight="1">
      <c r="A147" s="9">
        <v>41609</v>
      </c>
      <c r="B147" s="3">
        <v>1.1950190000000001</v>
      </c>
      <c r="C147" s="30" t="str">
        <f t="shared" si="9"/>
        <v/>
      </c>
      <c r="D147" s="41" t="str">
        <f t="shared" si="10"/>
        <v/>
      </c>
      <c r="E147" s="41" t="str">
        <f t="shared" si="11"/>
        <v/>
      </c>
      <c r="F147" s="16">
        <v>2011.34</v>
      </c>
      <c r="G147" s="16">
        <v>264.24</v>
      </c>
      <c r="H147" s="16">
        <v>12.84</v>
      </c>
      <c r="I147" s="16">
        <v>1303.6600000000001</v>
      </c>
      <c r="J147" s="14">
        <v>499.99</v>
      </c>
      <c r="K147" s="14">
        <v>855.88</v>
      </c>
    </row>
    <row r="148" spans="1:11" ht="18" customHeight="1">
      <c r="A148" s="9">
        <v>41579</v>
      </c>
      <c r="B148" s="3">
        <v>1.2160010000000001</v>
      </c>
      <c r="C148" s="30" t="str">
        <f t="shared" si="9"/>
        <v/>
      </c>
      <c r="D148" s="41" t="str">
        <f t="shared" si="10"/>
        <v/>
      </c>
      <c r="E148" s="41" t="str">
        <f t="shared" si="11"/>
        <v/>
      </c>
      <c r="F148" s="16">
        <v>2044.87</v>
      </c>
      <c r="G148" s="16">
        <v>269.57</v>
      </c>
      <c r="H148" s="16">
        <v>14.42</v>
      </c>
      <c r="I148" s="16">
        <v>1322.13</v>
      </c>
      <c r="J148" s="14">
        <v>517.05999999999995</v>
      </c>
      <c r="K148" s="14">
        <v>885.35</v>
      </c>
    </row>
    <row r="149" spans="1:11" ht="18" customHeight="1">
      <c r="A149" s="9">
        <v>41548</v>
      </c>
      <c r="B149" s="3">
        <v>1.201624</v>
      </c>
      <c r="C149" s="30" t="str">
        <f t="shared" si="9"/>
        <v/>
      </c>
      <c r="D149" s="41" t="str">
        <f t="shared" si="10"/>
        <v/>
      </c>
      <c r="E149" s="41" t="str">
        <f t="shared" si="11"/>
        <v/>
      </c>
      <c r="F149" s="16">
        <v>2030.09</v>
      </c>
      <c r="G149" s="16">
        <v>266.91000000000003</v>
      </c>
      <c r="H149" s="16">
        <v>14.41</v>
      </c>
      <c r="I149" s="16">
        <v>1315.77</v>
      </c>
      <c r="J149" s="14">
        <v>532.44000000000005</v>
      </c>
      <c r="K149" s="14">
        <v>910.62</v>
      </c>
    </row>
    <row r="150" spans="1:11" ht="18" customHeight="1">
      <c r="A150" s="9">
        <v>41518</v>
      </c>
      <c r="B150" s="3">
        <v>1.1809989999999999</v>
      </c>
      <c r="C150" s="30" t="str">
        <f t="shared" si="9"/>
        <v/>
      </c>
      <c r="D150" s="41" t="str">
        <f t="shared" si="10"/>
        <v/>
      </c>
      <c r="E150" s="41" t="str">
        <f t="shared" si="11"/>
        <v/>
      </c>
      <c r="F150" s="16">
        <v>1996.96</v>
      </c>
      <c r="G150" s="16">
        <v>260.91000000000003</v>
      </c>
      <c r="H150" s="16">
        <v>15.38</v>
      </c>
      <c r="I150" s="16">
        <v>1287.3800000000001</v>
      </c>
      <c r="J150" s="14">
        <v>534.89</v>
      </c>
      <c r="K150" s="14">
        <v>917.72</v>
      </c>
    </row>
    <row r="151" spans="1:11" ht="18" customHeight="1">
      <c r="A151" s="9">
        <v>41487</v>
      </c>
      <c r="B151" s="3">
        <v>1.140471</v>
      </c>
      <c r="C151" s="30" t="str">
        <f t="shared" si="9"/>
        <v/>
      </c>
      <c r="D151" s="41" t="str">
        <f t="shared" si="10"/>
        <v/>
      </c>
      <c r="E151" s="41" t="str">
        <f t="shared" si="11"/>
        <v/>
      </c>
      <c r="F151" s="16">
        <v>1926.36</v>
      </c>
      <c r="G151" s="16">
        <v>251.74</v>
      </c>
      <c r="H151" s="16">
        <v>15.73</v>
      </c>
      <c r="I151" s="16">
        <v>1237.3499999999999</v>
      </c>
      <c r="J151" s="14">
        <v>516.74</v>
      </c>
      <c r="K151" s="13">
        <v>874.7</v>
      </c>
    </row>
    <row r="152" spans="1:11" ht="18" customHeight="1">
      <c r="A152" s="9">
        <v>41456</v>
      </c>
      <c r="B152" s="3">
        <v>1.1277759999999999</v>
      </c>
      <c r="C152" s="30" t="str">
        <f t="shared" si="9"/>
        <v/>
      </c>
      <c r="D152" s="41" t="str">
        <f t="shared" si="10"/>
        <v/>
      </c>
      <c r="E152" s="41" t="str">
        <f t="shared" si="11"/>
        <v/>
      </c>
      <c r="F152" s="16">
        <v>1914.03</v>
      </c>
      <c r="G152" s="16">
        <v>247.99</v>
      </c>
      <c r="H152" s="16">
        <v>16.260000000000002</v>
      </c>
      <c r="I152" s="16">
        <v>1224.78</v>
      </c>
      <c r="J152" s="14">
        <v>554.30999999999995</v>
      </c>
      <c r="K152" s="14">
        <v>961.94</v>
      </c>
    </row>
    <row r="153" spans="1:11" ht="18" customHeight="1">
      <c r="A153" s="9">
        <v>41426</v>
      </c>
      <c r="B153" s="3">
        <v>1.1070580000000001</v>
      </c>
      <c r="C153" s="30" t="str">
        <f t="shared" si="9"/>
        <v/>
      </c>
      <c r="D153" s="41" t="str">
        <f t="shared" si="10"/>
        <v/>
      </c>
      <c r="E153" s="41" t="str">
        <f t="shared" si="11"/>
        <v/>
      </c>
      <c r="F153" s="16">
        <v>1863.32</v>
      </c>
      <c r="G153" s="16">
        <v>242.27</v>
      </c>
      <c r="H153" s="16">
        <v>17.11</v>
      </c>
      <c r="I153" s="16">
        <v>1193.22</v>
      </c>
      <c r="J153" s="14">
        <v>519.05999999999995</v>
      </c>
      <c r="K153" s="14">
        <v>886.36</v>
      </c>
    </row>
    <row r="154" spans="1:11" ht="18" customHeight="1">
      <c r="A154" s="9">
        <v>41395</v>
      </c>
      <c r="B154" s="3">
        <v>1.186987</v>
      </c>
      <c r="C154" s="30" t="str">
        <f t="shared" si="9"/>
        <v/>
      </c>
      <c r="D154" s="41" t="str">
        <f t="shared" si="10"/>
        <v/>
      </c>
      <c r="E154" s="41" t="str">
        <f t="shared" si="11"/>
        <v/>
      </c>
      <c r="F154" s="16">
        <v>2001.05</v>
      </c>
      <c r="G154" s="16">
        <v>261.47000000000003</v>
      </c>
      <c r="H154" s="16">
        <v>14.16</v>
      </c>
      <c r="I154" s="16">
        <v>1300.8900000000001</v>
      </c>
      <c r="J154" s="14">
        <v>577.87</v>
      </c>
      <c r="K154" s="14">
        <v>980.29</v>
      </c>
    </row>
    <row r="155" spans="1:11" ht="18" customHeight="1">
      <c r="A155" s="9">
        <v>41365</v>
      </c>
      <c r="B155" s="3">
        <v>1.1660159999999999</v>
      </c>
      <c r="C155" s="30" t="str">
        <f t="shared" si="9"/>
        <v/>
      </c>
      <c r="D155" s="41" t="str">
        <f t="shared" si="10"/>
        <v/>
      </c>
      <c r="E155" s="41" t="str">
        <f t="shared" si="11"/>
        <v/>
      </c>
      <c r="F155" s="16">
        <v>1963.95</v>
      </c>
      <c r="G155" s="16">
        <v>255.72</v>
      </c>
      <c r="H155" s="16">
        <v>14.74</v>
      </c>
      <c r="I155" s="16">
        <v>1275.3499999999999</v>
      </c>
      <c r="J155" s="14">
        <v>563.87</v>
      </c>
      <c r="K155" s="14">
        <v>962.25</v>
      </c>
    </row>
    <row r="156" spans="1:11" ht="18" customHeight="1">
      <c r="A156" s="9">
        <v>41334</v>
      </c>
      <c r="B156" s="3">
        <v>1.2511699999999999</v>
      </c>
      <c r="C156" s="30" t="str">
        <f t="shared" si="9"/>
        <v/>
      </c>
      <c r="D156" s="41" t="str">
        <f t="shared" si="10"/>
        <v/>
      </c>
      <c r="E156" s="41" t="str">
        <f t="shared" si="11"/>
        <v/>
      </c>
      <c r="F156" s="16">
        <v>2004.89</v>
      </c>
      <c r="G156" s="16">
        <v>263.39</v>
      </c>
      <c r="H156" s="16">
        <v>14.34</v>
      </c>
      <c r="I156" s="16">
        <v>1313.78</v>
      </c>
      <c r="J156" s="14">
        <v>555.02</v>
      </c>
      <c r="K156" s="14">
        <v>973.03</v>
      </c>
    </row>
    <row r="157" spans="1:11" ht="18" customHeight="1">
      <c r="A157" s="9">
        <v>41306</v>
      </c>
      <c r="B157" s="3">
        <v>1.2645219999999999</v>
      </c>
      <c r="C157" s="30" t="str">
        <f t="shared" si="9"/>
        <v/>
      </c>
      <c r="D157" s="41" t="str">
        <f t="shared" si="10"/>
        <v/>
      </c>
      <c r="E157" s="41" t="str">
        <f t="shared" si="11"/>
        <v/>
      </c>
      <c r="F157" s="16">
        <v>2026.49</v>
      </c>
      <c r="G157" s="16">
        <v>268.01</v>
      </c>
      <c r="H157" s="16">
        <v>15.19</v>
      </c>
      <c r="I157" s="16">
        <v>1344.57</v>
      </c>
      <c r="J157" s="14">
        <v>535.87</v>
      </c>
      <c r="K157" s="14">
        <v>944.37</v>
      </c>
    </row>
    <row r="158" spans="1:11" ht="18" customHeight="1">
      <c r="A158" s="9">
        <v>41275</v>
      </c>
      <c r="B158" s="3">
        <v>1.22597</v>
      </c>
      <c r="C158" s="30" t="str">
        <f t="shared" si="9"/>
        <v/>
      </c>
      <c r="D158" s="41" t="str">
        <f t="shared" si="10"/>
        <v/>
      </c>
      <c r="E158" s="41" t="str">
        <f t="shared" si="11"/>
        <v/>
      </c>
      <c r="F158" s="16">
        <v>1961.94</v>
      </c>
      <c r="G158" s="16">
        <v>258.07</v>
      </c>
      <c r="H158" s="16">
        <v>15.18</v>
      </c>
      <c r="I158" s="16">
        <v>1290.6099999999999</v>
      </c>
      <c r="J158" s="14">
        <v>503.67</v>
      </c>
      <c r="K158" s="14">
        <v>883.56</v>
      </c>
    </row>
    <row r="159" spans="1:11" ht="18" customHeight="1">
      <c r="A159" s="9">
        <v>41244</v>
      </c>
      <c r="B159" s="3">
        <v>1.248632</v>
      </c>
      <c r="C159" s="30" t="str">
        <f t="shared" si="9"/>
        <v/>
      </c>
      <c r="D159" s="41" t="str">
        <f t="shared" si="10"/>
        <v/>
      </c>
      <c r="E159" s="41" t="str">
        <f t="shared" si="11"/>
        <v/>
      </c>
      <c r="F159" s="16">
        <v>1997.05</v>
      </c>
      <c r="G159" s="16">
        <v>263.92</v>
      </c>
      <c r="H159" s="16">
        <v>15.89</v>
      </c>
      <c r="I159" s="16">
        <v>1329.58</v>
      </c>
      <c r="J159" s="14">
        <v>496.32</v>
      </c>
      <c r="K159" s="13">
        <v>880.2</v>
      </c>
    </row>
    <row r="160" spans="1:11" ht="18" customHeight="1">
      <c r="A160" s="9">
        <v>41214</v>
      </c>
      <c r="B160" s="3">
        <v>1.2084109999999999</v>
      </c>
      <c r="C160" s="30" t="str">
        <f t="shared" si="9"/>
        <v/>
      </c>
      <c r="D160" s="41" t="str">
        <f t="shared" si="10"/>
        <v/>
      </c>
      <c r="E160" s="41" t="str">
        <f t="shared" si="11"/>
        <v/>
      </c>
      <c r="F160" s="16">
        <v>1932.9</v>
      </c>
      <c r="G160" s="16">
        <v>254.25</v>
      </c>
      <c r="H160" s="16">
        <v>14.87</v>
      </c>
      <c r="I160" s="16">
        <v>1273.51</v>
      </c>
      <c r="J160" s="14">
        <v>499.37</v>
      </c>
      <c r="K160" s="14">
        <v>876.85</v>
      </c>
    </row>
    <row r="161" spans="1:11" ht="18" customHeight="1">
      <c r="A161" s="9">
        <v>41183</v>
      </c>
      <c r="B161" s="3">
        <v>1.194307</v>
      </c>
      <c r="C161" s="30" t="str">
        <f t="shared" si="9"/>
        <v/>
      </c>
      <c r="D161" s="41" t="str">
        <f t="shared" si="10"/>
        <v/>
      </c>
      <c r="E161" s="41" t="str">
        <f t="shared" si="11"/>
        <v/>
      </c>
      <c r="F161" s="16">
        <v>1912.06</v>
      </c>
      <c r="G161" s="16">
        <v>250.18</v>
      </c>
      <c r="H161" s="16">
        <v>18.37</v>
      </c>
      <c r="I161" s="16">
        <v>1249.08</v>
      </c>
      <c r="J161" s="14">
        <v>508.31</v>
      </c>
      <c r="K161" s="14">
        <v>893.42</v>
      </c>
    </row>
    <row r="162" spans="1:11" ht="18" customHeight="1">
      <c r="A162" s="9">
        <v>41153</v>
      </c>
      <c r="B162" s="3">
        <v>1.2496210000000001</v>
      </c>
      <c r="C162" s="30" t="str">
        <f t="shared" si="9"/>
        <v/>
      </c>
      <c r="D162" s="41" t="str">
        <f t="shared" si="10"/>
        <v/>
      </c>
      <c r="E162" s="41" t="str">
        <f t="shared" si="11"/>
        <v/>
      </c>
      <c r="F162" s="16">
        <v>1996.21</v>
      </c>
      <c r="G162" s="16">
        <v>262.49</v>
      </c>
      <c r="H162" s="16">
        <v>17.23</v>
      </c>
      <c r="I162" s="16">
        <v>1317.13</v>
      </c>
      <c r="J162" s="14">
        <v>523.78</v>
      </c>
      <c r="K162" s="14">
        <v>925.14</v>
      </c>
    </row>
    <row r="163" spans="1:11" ht="18" customHeight="1">
      <c r="A163" s="9">
        <v>41122</v>
      </c>
      <c r="B163" s="3">
        <v>1.1915880000000001</v>
      </c>
      <c r="C163" s="30" t="str">
        <f t="shared" si="9"/>
        <v/>
      </c>
      <c r="D163" s="41" t="str">
        <f t="shared" si="10"/>
        <v/>
      </c>
      <c r="E163" s="41" t="str">
        <f t="shared" si="11"/>
        <v/>
      </c>
      <c r="F163" s="16">
        <v>1905.12</v>
      </c>
      <c r="G163" s="16">
        <v>250.56</v>
      </c>
      <c r="H163" s="16">
        <v>20.350000000000001</v>
      </c>
      <c r="I163" s="16">
        <v>1254.68</v>
      </c>
      <c r="J163" s="14">
        <v>508.35</v>
      </c>
      <c r="K163" s="14">
        <v>922.68</v>
      </c>
    </row>
    <row r="164" spans="1:11" ht="18" customHeight="1">
      <c r="A164" s="9">
        <v>41091</v>
      </c>
      <c r="B164" s="3">
        <v>1.1835039999999999</v>
      </c>
      <c r="C164" s="30" t="str">
        <f t="shared" si="9"/>
        <v/>
      </c>
      <c r="D164" s="41" t="str">
        <f t="shared" si="10"/>
        <v/>
      </c>
      <c r="E164" s="41" t="str">
        <f t="shared" si="11"/>
        <v/>
      </c>
      <c r="F164" s="16">
        <v>1881.99</v>
      </c>
      <c r="G164" s="16">
        <v>250.08</v>
      </c>
      <c r="H164" s="16">
        <v>20.32</v>
      </c>
      <c r="I164" s="16">
        <v>1256.44</v>
      </c>
      <c r="J164" s="14">
        <v>467.61</v>
      </c>
      <c r="K164" s="14">
        <v>841.13</v>
      </c>
    </row>
    <row r="165" spans="1:11" ht="18" customHeight="1">
      <c r="A165" s="9">
        <v>41061</v>
      </c>
      <c r="B165" s="3">
        <v>1.165116</v>
      </c>
      <c r="C165" s="30" t="str">
        <f t="shared" si="9"/>
        <v/>
      </c>
      <c r="D165" s="41" t="str">
        <f t="shared" si="10"/>
        <v/>
      </c>
      <c r="E165" s="41" t="str">
        <f t="shared" si="11"/>
        <v/>
      </c>
      <c r="F165" s="16">
        <v>1854.01</v>
      </c>
      <c r="G165" s="16">
        <v>244.9</v>
      </c>
      <c r="H165" s="16">
        <v>20.03</v>
      </c>
      <c r="I165" s="16">
        <v>1232.6099999999999</v>
      </c>
      <c r="J165" s="14">
        <v>489.16</v>
      </c>
      <c r="K165" s="13">
        <v>882.8</v>
      </c>
    </row>
    <row r="166" spans="1:11" ht="18" customHeight="1">
      <c r="A166" s="9">
        <v>41030</v>
      </c>
      <c r="B166" s="3">
        <v>1.158393</v>
      </c>
      <c r="C166" s="30" t="str">
        <f t="shared" si="9"/>
        <v/>
      </c>
      <c r="D166" s="41" t="str">
        <f t="shared" si="10"/>
        <v/>
      </c>
      <c r="E166" s="41" t="str">
        <f t="shared" si="11"/>
        <v/>
      </c>
      <c r="F166" s="16">
        <v>1843.47</v>
      </c>
      <c r="G166" s="16">
        <v>244.05</v>
      </c>
      <c r="H166" s="16">
        <v>22.69</v>
      </c>
      <c r="I166" s="16">
        <v>1228.04</v>
      </c>
      <c r="J166" s="14">
        <v>471.94</v>
      </c>
      <c r="K166" s="14">
        <v>873.73</v>
      </c>
    </row>
    <row r="167" spans="1:11" ht="18" customHeight="1">
      <c r="A167" s="9">
        <v>41000</v>
      </c>
      <c r="B167" s="3">
        <v>1.2452559999999999</v>
      </c>
      <c r="C167" s="30" t="str">
        <f t="shared" si="9"/>
        <v/>
      </c>
      <c r="D167" s="41" t="str">
        <f t="shared" si="10"/>
        <v/>
      </c>
      <c r="E167" s="41" t="str">
        <f t="shared" si="11"/>
        <v/>
      </c>
      <c r="F167" s="16">
        <v>1981.99</v>
      </c>
      <c r="G167" s="16">
        <v>264.35000000000002</v>
      </c>
      <c r="H167" s="16">
        <v>17.309999999999999</v>
      </c>
      <c r="I167" s="16">
        <v>1339.72</v>
      </c>
      <c r="J167" s="14">
        <v>478.89</v>
      </c>
      <c r="K167" s="14">
        <v>864.72</v>
      </c>
    </row>
    <row r="168" spans="1:11" ht="18" customHeight="1">
      <c r="A168" s="9">
        <v>40969</v>
      </c>
      <c r="B168" s="3">
        <v>1.3139989999999999</v>
      </c>
      <c r="C168" s="30" t="str">
        <f t="shared" si="9"/>
        <v/>
      </c>
      <c r="D168" s="41" t="str">
        <f t="shared" si="10"/>
        <v/>
      </c>
      <c r="E168" s="41" t="str">
        <f t="shared" si="11"/>
        <v/>
      </c>
      <c r="F168" s="16">
        <v>2014.04</v>
      </c>
      <c r="G168" s="16">
        <v>266.58</v>
      </c>
      <c r="H168" s="16">
        <v>17.559999999999999</v>
      </c>
      <c r="I168" s="16">
        <v>1353.11</v>
      </c>
      <c r="J168" s="14">
        <v>519.55999999999995</v>
      </c>
      <c r="K168" s="14">
        <v>943.42</v>
      </c>
    </row>
    <row r="169" spans="1:11" ht="18" customHeight="1">
      <c r="A169" s="9">
        <v>40940</v>
      </c>
      <c r="B169" s="3">
        <v>1.3252440000000001</v>
      </c>
      <c r="C169" s="30" t="str">
        <f t="shared" si="9"/>
        <v/>
      </c>
      <c r="D169" s="41" t="str">
        <f t="shared" si="10"/>
        <v/>
      </c>
      <c r="E169" s="41" t="str">
        <f t="shared" si="11"/>
        <v/>
      </c>
      <c r="F169" s="16">
        <v>2030.25</v>
      </c>
      <c r="G169" s="16">
        <v>267.13</v>
      </c>
      <c r="H169" s="16">
        <v>19.399999999999999</v>
      </c>
      <c r="I169" s="16">
        <v>1361.87</v>
      </c>
      <c r="J169" s="13">
        <v>542.29999999999995</v>
      </c>
      <c r="K169" s="14">
        <v>988.15</v>
      </c>
    </row>
    <row r="170" spans="1:11" ht="18" customHeight="1">
      <c r="A170" s="9">
        <v>40909</v>
      </c>
      <c r="B170" s="3">
        <v>1.2748459999999999</v>
      </c>
      <c r="C170" s="30" t="str">
        <f t="shared" si="9"/>
        <v/>
      </c>
      <c r="D170" s="41" t="str">
        <f t="shared" si="10"/>
        <v/>
      </c>
      <c r="E170" s="41" t="str">
        <f t="shared" si="11"/>
        <v/>
      </c>
      <c r="F170" s="16">
        <v>1955.79</v>
      </c>
      <c r="G170" s="16">
        <v>256.89999999999998</v>
      </c>
      <c r="H170" s="16">
        <v>23.36</v>
      </c>
      <c r="I170" s="16">
        <v>1316.01</v>
      </c>
      <c r="J170" s="14">
        <v>513.99</v>
      </c>
      <c r="K170" s="14">
        <v>966.47</v>
      </c>
    </row>
    <row r="171" spans="1:11" ht="18" customHeight="1">
      <c r="A171" s="9">
        <v>40878</v>
      </c>
      <c r="B171" s="3">
        <v>1.1906669999999999</v>
      </c>
      <c r="C171" s="30" t="str">
        <f t="shared" si="9"/>
        <v/>
      </c>
      <c r="D171" s="41" t="str">
        <f t="shared" si="10"/>
        <v/>
      </c>
      <c r="E171" s="41" t="str">
        <f t="shared" si="11"/>
        <v/>
      </c>
      <c r="F171" s="16">
        <v>1825.74</v>
      </c>
      <c r="G171" s="16">
        <v>238.08</v>
      </c>
      <c r="H171" s="16">
        <v>26.4</v>
      </c>
      <c r="I171" s="16">
        <v>1215.8800000000001</v>
      </c>
      <c r="J171" s="14">
        <v>500.18</v>
      </c>
      <c r="K171" s="14">
        <v>965.62</v>
      </c>
    </row>
    <row r="172" spans="1:11" ht="18" customHeight="1">
      <c r="A172" s="9">
        <v>40848</v>
      </c>
      <c r="B172" s="3">
        <v>1.2039150000000001</v>
      </c>
      <c r="C172" s="30" t="str">
        <f t="shared" si="9"/>
        <v/>
      </c>
      <c r="D172" s="41" t="str">
        <f t="shared" si="10"/>
        <v/>
      </c>
      <c r="E172" s="41" t="str">
        <f t="shared" si="11"/>
        <v/>
      </c>
      <c r="F172" s="16">
        <v>1847.51</v>
      </c>
      <c r="G172" s="16">
        <v>241.19</v>
      </c>
      <c r="H172" s="16">
        <v>29.04</v>
      </c>
      <c r="I172" s="16">
        <v>1223.58</v>
      </c>
      <c r="J172" s="14">
        <v>492.81</v>
      </c>
      <c r="K172" s="14">
        <v>973.91</v>
      </c>
    </row>
    <row r="173" spans="1:11" ht="18" customHeight="1">
      <c r="A173" s="9">
        <v>40817</v>
      </c>
      <c r="B173" s="3">
        <v>1.2442869999999999</v>
      </c>
      <c r="C173" s="30" t="str">
        <f t="shared" si="9"/>
        <v/>
      </c>
      <c r="D173" s="41" t="str">
        <f t="shared" si="10"/>
        <v/>
      </c>
      <c r="E173" s="41" t="str">
        <f t="shared" si="11"/>
        <v/>
      </c>
      <c r="F173" s="16">
        <v>1909.03</v>
      </c>
      <c r="G173" s="16">
        <v>249.88</v>
      </c>
      <c r="H173" s="16">
        <v>31.02</v>
      </c>
      <c r="I173" s="16">
        <v>1276.67</v>
      </c>
      <c r="J173" s="14">
        <v>490.69</v>
      </c>
      <c r="K173" s="13">
        <v>983.8</v>
      </c>
    </row>
    <row r="174" spans="1:11" ht="18" customHeight="1">
      <c r="A174" s="9">
        <v>40787</v>
      </c>
      <c r="B174" s="3">
        <v>1.151486</v>
      </c>
      <c r="C174" s="30" t="str">
        <f t="shared" si="9"/>
        <v/>
      </c>
      <c r="D174" s="41" t="str">
        <f t="shared" si="10"/>
        <v/>
      </c>
      <c r="E174" s="41" t="str">
        <f t="shared" si="11"/>
        <v/>
      </c>
      <c r="F174" s="16">
        <v>1769.65</v>
      </c>
      <c r="G174" s="16">
        <v>230.41</v>
      </c>
      <c r="H174" s="16">
        <v>40.56</v>
      </c>
      <c r="I174" s="16">
        <v>1162.3599999999999</v>
      </c>
      <c r="J174" s="14">
        <v>449.66</v>
      </c>
      <c r="K174" s="14">
        <v>916.17</v>
      </c>
    </row>
    <row r="175" spans="1:11" ht="18" customHeight="1">
      <c r="A175" s="9">
        <v>40756</v>
      </c>
      <c r="B175" s="3">
        <v>1.224227</v>
      </c>
      <c r="C175" s="30" t="str">
        <f t="shared" si="9"/>
        <v/>
      </c>
      <c r="D175" s="41" t="str">
        <f t="shared" si="10"/>
        <v/>
      </c>
      <c r="E175" s="41" t="str">
        <f t="shared" si="11"/>
        <v/>
      </c>
      <c r="F175" s="16">
        <v>1880.11</v>
      </c>
      <c r="G175" s="16">
        <v>242.16</v>
      </c>
      <c r="H175" s="16">
        <v>28.05</v>
      </c>
      <c r="I175" s="16">
        <v>1216.98</v>
      </c>
      <c r="J175" s="14">
        <v>493.44</v>
      </c>
      <c r="K175" s="13">
        <v>987.9</v>
      </c>
    </row>
    <row r="176" spans="1:11" ht="18" customHeight="1">
      <c r="A176" s="9">
        <v>40725</v>
      </c>
      <c r="B176" s="3">
        <v>1.3914200000000001</v>
      </c>
      <c r="C176" s="30" t="str">
        <f t="shared" si="9"/>
        <v/>
      </c>
      <c r="D176" s="41" t="str">
        <f t="shared" si="10"/>
        <v/>
      </c>
      <c r="E176" s="41" t="str">
        <f t="shared" si="11"/>
        <v/>
      </c>
      <c r="F176" s="16">
        <v>2133.21</v>
      </c>
      <c r="G176" s="16">
        <v>277.11</v>
      </c>
      <c r="H176" s="16">
        <v>21</v>
      </c>
      <c r="I176" s="16">
        <v>1401.67</v>
      </c>
      <c r="J176" s="14">
        <v>536.04999999999995</v>
      </c>
      <c r="K176" s="14">
        <v>1070.3900000000001</v>
      </c>
    </row>
    <row r="177" spans="1:11" ht="18" customHeight="1">
      <c r="A177" s="9">
        <v>40695</v>
      </c>
      <c r="B177" s="3">
        <v>1.3809899999999999</v>
      </c>
      <c r="C177" s="30" t="str">
        <f t="shared" si="9"/>
        <v/>
      </c>
      <c r="D177" s="41" t="str">
        <f t="shared" si="10"/>
        <v/>
      </c>
      <c r="E177" s="41" t="str">
        <f t="shared" si="11"/>
        <v/>
      </c>
      <c r="F177" s="16">
        <v>2100.69</v>
      </c>
      <c r="G177" s="16">
        <v>275.17</v>
      </c>
      <c r="H177" s="16">
        <v>19.239999999999998</v>
      </c>
      <c r="I177" s="16">
        <v>1393.86</v>
      </c>
      <c r="J177" s="14">
        <v>479.55</v>
      </c>
      <c r="K177" s="14">
        <v>952.97</v>
      </c>
    </row>
    <row r="178" spans="1:11" ht="18" customHeight="1">
      <c r="A178" s="9">
        <v>40664</v>
      </c>
      <c r="B178" s="3">
        <v>1.4063650000000001</v>
      </c>
      <c r="C178" s="30" t="str">
        <f t="shared" si="9"/>
        <v/>
      </c>
      <c r="D178" s="41" t="str">
        <f t="shared" si="10"/>
        <v/>
      </c>
      <c r="E178" s="41" t="str">
        <f t="shared" si="11"/>
        <v/>
      </c>
      <c r="F178" s="16">
        <v>2142.4699999999998</v>
      </c>
      <c r="G178" s="16">
        <v>282.76</v>
      </c>
      <c r="H178" s="16">
        <v>18.559999999999999</v>
      </c>
      <c r="I178" s="16">
        <v>1429.99</v>
      </c>
      <c r="J178" s="14">
        <v>484.54</v>
      </c>
      <c r="K178" s="14">
        <v>948.75</v>
      </c>
    </row>
    <row r="179" spans="1:11" ht="18" customHeight="1">
      <c r="A179" s="9">
        <v>40634</v>
      </c>
      <c r="B179" s="3">
        <v>1.4379519999999999</v>
      </c>
      <c r="C179" s="30" t="str">
        <f t="shared" si="9"/>
        <v/>
      </c>
      <c r="D179" s="41" t="str">
        <f t="shared" si="10"/>
        <v/>
      </c>
      <c r="E179" s="41" t="str">
        <f t="shared" si="11"/>
        <v/>
      </c>
      <c r="F179" s="16">
        <v>2192.36</v>
      </c>
      <c r="G179" s="16">
        <v>290.39</v>
      </c>
      <c r="H179" s="16">
        <v>18.36</v>
      </c>
      <c r="I179" s="16">
        <v>1470.69</v>
      </c>
      <c r="J179" s="15">
        <v>511</v>
      </c>
      <c r="K179" s="14">
        <v>994.75</v>
      </c>
    </row>
    <row r="180" spans="1:11" ht="18" customHeight="1">
      <c r="A180" s="9">
        <v>40603</v>
      </c>
      <c r="B180" s="3">
        <v>1.549609</v>
      </c>
      <c r="C180" s="30" t="str">
        <f t="shared" si="9"/>
        <v/>
      </c>
      <c r="D180" s="41" t="str">
        <f t="shared" si="10"/>
        <v/>
      </c>
      <c r="E180" s="41" t="str">
        <f t="shared" si="11"/>
        <v/>
      </c>
      <c r="F180" s="16">
        <v>2106.6999999999998</v>
      </c>
      <c r="G180" s="16">
        <v>278.87</v>
      </c>
      <c r="H180" s="16">
        <v>16.57</v>
      </c>
      <c r="I180" s="16">
        <v>1419.37</v>
      </c>
      <c r="J180" s="14">
        <v>525.41999999999996</v>
      </c>
      <c r="K180" s="14">
        <v>1033.07</v>
      </c>
    </row>
    <row r="181" spans="1:11" ht="18" customHeight="1">
      <c r="A181" s="9">
        <v>40575</v>
      </c>
      <c r="B181" s="3">
        <v>1.4250750000000001</v>
      </c>
      <c r="C181" s="30" t="str">
        <f t="shared" si="9"/>
        <v/>
      </c>
      <c r="D181" s="41" t="str">
        <f t="shared" si="10"/>
        <v/>
      </c>
      <c r="E181" s="41" t="str">
        <f t="shared" si="11"/>
        <v/>
      </c>
      <c r="F181" s="16">
        <v>1939.3</v>
      </c>
      <c r="G181" s="16">
        <v>256.36</v>
      </c>
      <c r="H181" s="16">
        <v>20.059999999999999</v>
      </c>
      <c r="I181" s="16">
        <v>1298.24</v>
      </c>
      <c r="J181" s="14">
        <v>504.46</v>
      </c>
      <c r="K181" s="14">
        <v>999.69</v>
      </c>
    </row>
    <row r="182" spans="1:11" ht="18" customHeight="1">
      <c r="A182" s="9">
        <v>40544</v>
      </c>
      <c r="B182" s="3">
        <v>1.521261</v>
      </c>
      <c r="C182" s="30" t="str">
        <f t="shared" si="9"/>
        <v/>
      </c>
      <c r="D182" s="41" t="str">
        <f t="shared" si="10"/>
        <v/>
      </c>
      <c r="E182" s="41" t="str">
        <f t="shared" si="11"/>
        <v/>
      </c>
      <c r="F182" s="16">
        <v>2069.73</v>
      </c>
      <c r="G182" s="16">
        <v>273.12</v>
      </c>
      <c r="H182" s="16">
        <v>16.3</v>
      </c>
      <c r="I182" s="16">
        <v>1392.19</v>
      </c>
      <c r="J182" s="14">
        <v>521.38</v>
      </c>
      <c r="K182" s="14">
        <v>1037.72</v>
      </c>
    </row>
    <row r="183" spans="1:11" ht="18" customHeight="1">
      <c r="A183" s="9">
        <v>40513</v>
      </c>
      <c r="B183" s="3">
        <v>1.5031829999999999</v>
      </c>
      <c r="C183" s="30" t="str">
        <f t="shared" si="9"/>
        <v/>
      </c>
      <c r="D183" s="41" t="str">
        <f t="shared" si="10"/>
        <v/>
      </c>
      <c r="E183" s="41" t="str">
        <f t="shared" si="11"/>
        <v/>
      </c>
      <c r="F183" s="16">
        <v>2051</v>
      </c>
      <c r="G183" s="16">
        <v>271.19</v>
      </c>
      <c r="H183" s="16">
        <v>15.83</v>
      </c>
      <c r="I183" s="16">
        <v>1391.42</v>
      </c>
      <c r="J183" s="14">
        <v>510.69</v>
      </c>
      <c r="K183" s="13">
        <v>997.9</v>
      </c>
    </row>
    <row r="184" spans="1:11" ht="18" customHeight="1">
      <c r="A184" s="9">
        <v>40483</v>
      </c>
      <c r="B184" s="3">
        <v>1.3943779999999999</v>
      </c>
      <c r="C184" s="30" t="str">
        <f t="shared" si="9"/>
        <v/>
      </c>
      <c r="D184" s="41" t="str">
        <f t="shared" si="10"/>
        <v/>
      </c>
      <c r="E184" s="41" t="str">
        <f t="shared" si="11"/>
        <v/>
      </c>
      <c r="F184" s="16">
        <v>1904.63</v>
      </c>
      <c r="G184" s="16">
        <v>249.64</v>
      </c>
      <c r="H184" s="16">
        <v>22.76</v>
      </c>
      <c r="I184" s="16">
        <v>1269.1500000000001</v>
      </c>
      <c r="J184" s="14">
        <v>498.39</v>
      </c>
      <c r="K184" s="14">
        <v>971.73</v>
      </c>
    </row>
    <row r="185" spans="1:11" ht="18" customHeight="1">
      <c r="A185" s="9">
        <v>40452</v>
      </c>
      <c r="B185" s="3">
        <v>1.3795040000000001</v>
      </c>
      <c r="C185" s="30" t="str">
        <f t="shared" si="9"/>
        <v/>
      </c>
      <c r="D185" s="41" t="str">
        <f t="shared" si="10"/>
        <v/>
      </c>
      <c r="E185" s="41" t="str">
        <f t="shared" si="11"/>
        <v/>
      </c>
      <c r="F185" s="16">
        <v>1882.95</v>
      </c>
      <c r="G185" s="16">
        <v>242.98</v>
      </c>
      <c r="H185" s="16">
        <v>18.600000000000001</v>
      </c>
      <c r="I185" s="16">
        <v>1226.1099999999999</v>
      </c>
      <c r="J185" s="14">
        <v>526.45000000000005</v>
      </c>
      <c r="K185" s="14">
        <v>1019.44</v>
      </c>
    </row>
    <row r="186" spans="1:11" ht="18" customHeight="1">
      <c r="A186" s="9">
        <v>40422</v>
      </c>
      <c r="B186" s="3">
        <v>1.371021</v>
      </c>
      <c r="C186" s="30" t="str">
        <f t="shared" si="9"/>
        <v/>
      </c>
      <c r="D186" s="41" t="str">
        <f t="shared" si="10"/>
        <v/>
      </c>
      <c r="E186" s="41" t="str">
        <f t="shared" si="11"/>
        <v/>
      </c>
      <c r="F186" s="16">
        <v>1872.81</v>
      </c>
      <c r="G186" s="16">
        <v>242.95</v>
      </c>
      <c r="H186" s="16">
        <v>16.77</v>
      </c>
      <c r="I186" s="16">
        <v>1234.21</v>
      </c>
      <c r="J186" s="14">
        <v>492.75</v>
      </c>
      <c r="K186" s="14">
        <v>963.37</v>
      </c>
    </row>
    <row r="187" spans="1:11" ht="18" customHeight="1">
      <c r="A187" s="9">
        <v>40391</v>
      </c>
      <c r="B187" s="3">
        <v>1.2758419999999999</v>
      </c>
      <c r="C187" s="30" t="str">
        <f t="shared" si="9"/>
        <v/>
      </c>
      <c r="D187" s="41" t="str">
        <f t="shared" si="10"/>
        <v/>
      </c>
      <c r="E187" s="41" t="str">
        <f t="shared" si="11"/>
        <v/>
      </c>
      <c r="F187" s="16">
        <v>1742.75</v>
      </c>
      <c r="G187" s="16">
        <v>226.81</v>
      </c>
      <c r="H187" s="16">
        <v>18.79</v>
      </c>
      <c r="I187" s="16">
        <v>1149.3499999999999</v>
      </c>
      <c r="J187" s="14">
        <v>464.71</v>
      </c>
      <c r="K187" s="14">
        <v>889.81</v>
      </c>
    </row>
    <row r="188" spans="1:11" ht="18" customHeight="1">
      <c r="A188" s="9">
        <v>40360</v>
      </c>
      <c r="B188" s="3">
        <v>1.286538</v>
      </c>
      <c r="C188" s="30" t="str">
        <f t="shared" si="9"/>
        <v/>
      </c>
      <c r="D188" s="41" t="str">
        <f t="shared" si="10"/>
        <v/>
      </c>
      <c r="E188" s="41" t="str">
        <f t="shared" si="11"/>
        <v/>
      </c>
      <c r="F188" s="16">
        <v>1759.33</v>
      </c>
      <c r="G188" s="16">
        <v>229.25</v>
      </c>
      <c r="H188" s="16">
        <v>19.260000000000002</v>
      </c>
      <c r="I188" s="16">
        <v>1167.8699999999999</v>
      </c>
      <c r="J188" s="14">
        <v>481.45</v>
      </c>
      <c r="K188" s="14">
        <v>918.99</v>
      </c>
    </row>
    <row r="189" spans="1:11" ht="18" customHeight="1">
      <c r="A189" s="9">
        <v>40330</v>
      </c>
      <c r="B189" s="3">
        <v>1.260346</v>
      </c>
      <c r="C189" s="30" t="str">
        <f t="shared" si="9"/>
        <v/>
      </c>
      <c r="D189" s="41" t="str">
        <f t="shared" si="10"/>
        <v/>
      </c>
      <c r="E189" s="41" t="str">
        <f t="shared" si="11"/>
        <v/>
      </c>
      <c r="F189" s="16">
        <v>1698.29</v>
      </c>
      <c r="G189" s="16">
        <v>220.85</v>
      </c>
      <c r="H189" s="16">
        <v>21.9</v>
      </c>
      <c r="I189" s="16">
        <v>1119.93</v>
      </c>
      <c r="J189" s="14">
        <v>489.98</v>
      </c>
      <c r="K189" s="14">
        <v>943.44</v>
      </c>
    </row>
    <row r="190" spans="1:11" ht="18" customHeight="1">
      <c r="A190" s="9">
        <v>40299</v>
      </c>
      <c r="B190" s="3">
        <v>1.2201850000000001</v>
      </c>
      <c r="C190" s="30" t="str">
        <f t="shared" si="9"/>
        <v/>
      </c>
      <c r="D190" s="41" t="str">
        <f t="shared" si="10"/>
        <v/>
      </c>
      <c r="E190" s="41" t="str">
        <f t="shared" si="11"/>
        <v/>
      </c>
      <c r="F190" s="16">
        <v>1641.25</v>
      </c>
      <c r="G190" s="16">
        <v>214.34</v>
      </c>
      <c r="H190" s="16">
        <v>24.01</v>
      </c>
      <c r="I190" s="16">
        <v>1079.8599999999999</v>
      </c>
      <c r="J190" s="14">
        <v>489.42</v>
      </c>
      <c r="K190" s="14">
        <v>939.54</v>
      </c>
    </row>
    <row r="191" spans="1:11" ht="18" customHeight="1">
      <c r="A191" s="9">
        <v>40269</v>
      </c>
      <c r="B191" s="3">
        <v>1.273026</v>
      </c>
      <c r="C191" s="30" t="str">
        <f t="shared" si="9"/>
        <v/>
      </c>
      <c r="D191" s="41" t="str">
        <f t="shared" si="10"/>
        <v/>
      </c>
      <c r="E191" s="41" t="str">
        <f t="shared" si="11"/>
        <v/>
      </c>
      <c r="F191" s="16">
        <v>1741.56</v>
      </c>
      <c r="G191" s="16">
        <v>227.95</v>
      </c>
      <c r="H191" s="16">
        <v>18.27</v>
      </c>
      <c r="I191" s="16">
        <v>1159.4100000000001</v>
      </c>
      <c r="J191" s="14">
        <v>523.75</v>
      </c>
      <c r="K191" s="14">
        <v>985.47</v>
      </c>
    </row>
    <row r="192" spans="1:11" ht="18" customHeight="1">
      <c r="A192" s="9">
        <v>40238</v>
      </c>
      <c r="B192" s="3">
        <v>1.3561719999999999</v>
      </c>
      <c r="C192" s="30" t="str">
        <f t="shared" si="9"/>
        <v/>
      </c>
      <c r="D192" s="41" t="str">
        <f t="shared" si="10"/>
        <v/>
      </c>
      <c r="E192" s="41" t="str">
        <f t="shared" si="11"/>
        <v/>
      </c>
      <c r="F192" s="16">
        <v>1692.85</v>
      </c>
      <c r="G192" s="16">
        <v>221.58</v>
      </c>
      <c r="H192" s="16">
        <v>17.68</v>
      </c>
      <c r="I192" s="16">
        <v>1128.25</v>
      </c>
      <c r="J192" s="14">
        <v>515.74</v>
      </c>
      <c r="K192" s="37">
        <v>957.81</v>
      </c>
    </row>
    <row r="193" spans="1:20" ht="18" customHeight="1">
      <c r="A193" s="9">
        <v>40210</v>
      </c>
      <c r="B193" s="3">
        <v>1.2761750000000001</v>
      </c>
      <c r="C193" s="30" t="str">
        <f t="shared" si="9"/>
        <v/>
      </c>
      <c r="D193" s="41" t="str">
        <f t="shared" si="10"/>
        <v/>
      </c>
      <c r="E193" s="41" t="str">
        <f t="shared" si="11"/>
        <v/>
      </c>
      <c r="F193" s="16">
        <v>1594.58</v>
      </c>
      <c r="G193" s="16">
        <v>208.36</v>
      </c>
      <c r="H193" s="16">
        <v>20.59</v>
      </c>
      <c r="I193" s="16">
        <v>1054.43</v>
      </c>
      <c r="J193" s="14">
        <v>507.03</v>
      </c>
      <c r="K193" s="37">
        <v>928.29</v>
      </c>
    </row>
    <row r="194" spans="1:20" ht="18" customHeight="1">
      <c r="A194" s="9">
        <v>40179</v>
      </c>
      <c r="B194" s="3">
        <v>1.2835559999999999</v>
      </c>
      <c r="C194" s="30" t="str">
        <f t="shared" si="9"/>
        <v/>
      </c>
      <c r="D194" s="41" t="str">
        <f t="shared" si="10"/>
        <v/>
      </c>
      <c r="E194" s="41" t="str">
        <f t="shared" si="11"/>
        <v/>
      </c>
      <c r="F194" s="16">
        <v>1602.43</v>
      </c>
      <c r="G194" s="16">
        <v>210.34</v>
      </c>
      <c r="H194" s="16">
        <v>23.29</v>
      </c>
      <c r="I194" s="16">
        <v>1062.81</v>
      </c>
      <c r="J194" s="14">
        <v>496.57</v>
      </c>
      <c r="K194" s="37">
        <v>922.07</v>
      </c>
    </row>
    <row r="195" spans="1:20" ht="18" customHeight="1">
      <c r="A195" s="9">
        <v>40148</v>
      </c>
      <c r="B195" s="3">
        <v>1.3417349999999999</v>
      </c>
      <c r="C195" s="30" t="str">
        <f t="shared" si="9"/>
        <v/>
      </c>
      <c r="D195" s="41" t="str">
        <f t="shared" si="10"/>
        <v/>
      </c>
      <c r="E195" s="41" t="str">
        <f t="shared" si="11"/>
        <v/>
      </c>
      <c r="F195" s="16">
        <v>1682.77</v>
      </c>
      <c r="G195" s="16">
        <v>221.86</v>
      </c>
      <c r="H195" s="16">
        <v>20.350000000000001</v>
      </c>
      <c r="I195" s="16">
        <v>1129.3</v>
      </c>
      <c r="J195" s="14">
        <v>513.57000000000005</v>
      </c>
      <c r="K195" s="38">
        <f>(J195/J194)*K194</f>
        <v>953.63692913385842</v>
      </c>
    </row>
    <row r="196" spans="1:20" ht="18" customHeight="1">
      <c r="A196" s="9">
        <v>40118</v>
      </c>
      <c r="B196" s="3">
        <v>1.2312620000000001</v>
      </c>
      <c r="C196" s="30" t="str">
        <f t="shared" ref="C196:C259" si="12">IF(B196&lt;=C$1, "Risk", "")</f>
        <v/>
      </c>
      <c r="D196" s="41" t="str">
        <f t="shared" si="10"/>
        <v/>
      </c>
      <c r="E196" s="41" t="str">
        <f t="shared" si="11"/>
        <v/>
      </c>
      <c r="F196" s="16">
        <v>1555.6</v>
      </c>
      <c r="G196" s="16">
        <v>204.75</v>
      </c>
      <c r="H196" s="16">
        <v>21.94</v>
      </c>
      <c r="I196" s="16">
        <v>1025.05</v>
      </c>
      <c r="J196" s="14">
        <v>464.32</v>
      </c>
      <c r="K196" s="38">
        <f t="shared" ref="K196:K259" si="13">(J196/J195)*K195</f>
        <v>862.18567855488652</v>
      </c>
    </row>
    <row r="197" spans="1:20" ht="18" customHeight="1">
      <c r="A197" s="9">
        <v>40087</v>
      </c>
      <c r="B197" s="3">
        <v>1.2495289999999999</v>
      </c>
      <c r="C197" s="30" t="str">
        <f t="shared" si="12"/>
        <v/>
      </c>
      <c r="D197" s="41" t="str">
        <f t="shared" ref="D197:D260" si="14">IF(B197&lt;=D$1, "Risk", "")</f>
        <v/>
      </c>
      <c r="E197" s="41" t="str">
        <f t="shared" ref="E197:E260" si="15">IF(B197&lt;=E$1, "Risk", "")</f>
        <v/>
      </c>
      <c r="F197" s="16">
        <v>1580.69</v>
      </c>
      <c r="G197" s="16">
        <v>206.81</v>
      </c>
      <c r="H197" s="16">
        <v>25.41</v>
      </c>
      <c r="I197" s="16">
        <v>1032.8399999999999</v>
      </c>
      <c r="J197" s="14">
        <v>486.46</v>
      </c>
      <c r="K197" s="38">
        <f t="shared" si="13"/>
        <v>903.29696155627596</v>
      </c>
    </row>
    <row r="198" spans="1:20" ht="18" customHeight="1">
      <c r="A198" s="9">
        <v>40057</v>
      </c>
      <c r="B198" s="3">
        <v>1.3212820000000001</v>
      </c>
      <c r="C198" s="30" t="str">
        <f t="shared" si="12"/>
        <v/>
      </c>
      <c r="D198" s="41" t="str">
        <f t="shared" si="14"/>
        <v/>
      </c>
      <c r="E198" s="41" t="str">
        <f t="shared" si="15"/>
        <v/>
      </c>
      <c r="F198" s="16">
        <v>1673.14</v>
      </c>
      <c r="G198" s="16">
        <v>219.75</v>
      </c>
      <c r="H198" s="16">
        <v>22.85</v>
      </c>
      <c r="I198" s="16">
        <v>1112.79</v>
      </c>
      <c r="J198" s="14">
        <v>505.94</v>
      </c>
      <c r="K198" s="38">
        <f t="shared" si="13"/>
        <v>939.468948587309</v>
      </c>
    </row>
    <row r="199" spans="1:20" ht="18" customHeight="1">
      <c r="A199" s="9">
        <v>40026</v>
      </c>
      <c r="B199" s="11">
        <v>1.2603839999999999</v>
      </c>
      <c r="C199" s="30" t="str">
        <f t="shared" si="12"/>
        <v/>
      </c>
      <c r="D199" s="41" t="str">
        <f t="shared" si="14"/>
        <v/>
      </c>
      <c r="E199" s="41" t="str">
        <f t="shared" si="15"/>
        <v/>
      </c>
      <c r="F199" s="16">
        <v>1591.85</v>
      </c>
      <c r="G199" s="16">
        <v>207.44</v>
      </c>
      <c r="H199" s="16">
        <v>23.97</v>
      </c>
      <c r="I199" s="16">
        <v>1041.1099999999999</v>
      </c>
      <c r="J199" s="13">
        <v>514.70000000000005</v>
      </c>
      <c r="K199" s="38">
        <f t="shared" si="13"/>
        <v>955.73520148216789</v>
      </c>
    </row>
    <row r="200" spans="1:20" ht="18" customHeight="1">
      <c r="A200" s="9">
        <v>39995</v>
      </c>
      <c r="B200" s="11">
        <v>1.2340770000000001</v>
      </c>
      <c r="C200" s="30" t="str">
        <f t="shared" si="12"/>
        <v/>
      </c>
      <c r="D200" s="41" t="str">
        <f t="shared" si="14"/>
        <v/>
      </c>
      <c r="E200" s="41" t="str">
        <f t="shared" si="15"/>
        <v/>
      </c>
      <c r="F200" s="16">
        <v>1557.29</v>
      </c>
      <c r="G200" s="16">
        <v>202.96</v>
      </c>
      <c r="H200" s="16">
        <v>25.62</v>
      </c>
      <c r="I200" s="16">
        <v>1023.23</v>
      </c>
      <c r="J200" s="14">
        <v>504.35</v>
      </c>
      <c r="K200" s="38">
        <f t="shared" si="13"/>
        <v>936.5165122742012</v>
      </c>
    </row>
    <row r="201" spans="1:20" ht="18" customHeight="1">
      <c r="A201" s="9">
        <v>39965</v>
      </c>
      <c r="B201" s="11">
        <v>1.103451</v>
      </c>
      <c r="C201" s="30" t="str">
        <f t="shared" si="12"/>
        <v/>
      </c>
      <c r="D201" s="41" t="str">
        <f t="shared" si="14"/>
        <v/>
      </c>
      <c r="E201" s="41" t="str">
        <f t="shared" si="15"/>
        <v/>
      </c>
      <c r="F201" s="16">
        <v>1390.07</v>
      </c>
      <c r="G201" s="16">
        <v>178.99</v>
      </c>
      <c r="H201" s="16">
        <v>27.26</v>
      </c>
      <c r="I201" s="16">
        <v>899.36</v>
      </c>
      <c r="J201" s="14">
        <v>485.15</v>
      </c>
      <c r="K201" s="38">
        <f t="shared" si="13"/>
        <v>900.86445113478464</v>
      </c>
    </row>
    <row r="202" spans="1:20" ht="18" customHeight="1">
      <c r="A202" s="9">
        <v>39934</v>
      </c>
      <c r="B202" s="11">
        <v>1.108449</v>
      </c>
      <c r="C202" s="30" t="str">
        <f t="shared" si="12"/>
        <v/>
      </c>
      <c r="D202" s="41" t="str">
        <f t="shared" si="14"/>
        <v/>
      </c>
      <c r="E202" s="41" t="str">
        <f t="shared" si="15"/>
        <v/>
      </c>
      <c r="F202" s="16">
        <v>1395.89</v>
      </c>
      <c r="G202" s="16">
        <v>178.7</v>
      </c>
      <c r="H202" s="16">
        <v>33.42</v>
      </c>
      <c r="I202" s="16">
        <v>895.72</v>
      </c>
      <c r="J202" s="13">
        <v>528.79999999999995</v>
      </c>
      <c r="K202" s="38">
        <f t="shared" si="13"/>
        <v>981.91718388142658</v>
      </c>
    </row>
    <row r="203" spans="1:20" ht="18" customHeight="1">
      <c r="A203" s="9">
        <v>39904</v>
      </c>
      <c r="B203" s="11">
        <v>1.148882</v>
      </c>
      <c r="C203" s="30" t="str">
        <f t="shared" si="12"/>
        <v/>
      </c>
      <c r="D203" s="41" t="str">
        <f t="shared" si="14"/>
        <v/>
      </c>
      <c r="E203" s="41" t="str">
        <f t="shared" si="15"/>
        <v/>
      </c>
      <c r="F203" s="16">
        <v>1369.36</v>
      </c>
      <c r="G203" s="16">
        <v>176</v>
      </c>
      <c r="H203" s="16">
        <v>34.57</v>
      </c>
      <c r="I203" s="16">
        <v>891.93</v>
      </c>
      <c r="J203" s="14">
        <v>500.98</v>
      </c>
      <c r="K203" s="38">
        <f t="shared" si="13"/>
        <v>930.25883279295988</v>
      </c>
    </row>
    <row r="204" spans="1:20" ht="18" customHeight="1">
      <c r="A204" s="9">
        <v>39873</v>
      </c>
      <c r="B204" s="11">
        <v>1.0096160000000001</v>
      </c>
      <c r="C204" s="30" t="str">
        <f t="shared" si="12"/>
        <v/>
      </c>
      <c r="D204" s="41" t="str">
        <f t="shared" si="14"/>
        <v/>
      </c>
      <c r="E204" s="41" t="str">
        <f t="shared" si="15"/>
        <v/>
      </c>
      <c r="F204" s="16">
        <v>1206.26</v>
      </c>
      <c r="G204" s="16">
        <v>157.01</v>
      </c>
      <c r="H204" s="16">
        <v>39.56</v>
      </c>
      <c r="I204" s="16">
        <v>798.32</v>
      </c>
      <c r="J204" s="14">
        <v>421.44</v>
      </c>
      <c r="K204" s="38">
        <f t="shared" si="13"/>
        <v>782.56274201019005</v>
      </c>
      <c r="L204" s="39"/>
      <c r="M204" s="39"/>
      <c r="N204" s="39"/>
      <c r="O204" s="39"/>
      <c r="P204" s="39"/>
      <c r="Q204" s="39"/>
      <c r="R204" s="39"/>
      <c r="S204" s="39"/>
      <c r="T204" s="39"/>
    </row>
    <row r="205" spans="1:20" ht="18" customHeight="1">
      <c r="A205" s="9">
        <v>39845</v>
      </c>
      <c r="B205" s="3">
        <v>0.89</v>
      </c>
      <c r="C205" s="30" t="str">
        <f t="shared" si="12"/>
        <v/>
      </c>
      <c r="D205" s="41" t="str">
        <f t="shared" si="14"/>
        <v/>
      </c>
      <c r="E205" s="41" t="str">
        <f t="shared" si="15"/>
        <v/>
      </c>
      <c r="F205" s="16">
        <v>1063.03</v>
      </c>
      <c r="G205" s="16">
        <v>138.07</v>
      </c>
      <c r="H205" s="16">
        <v>47.36</v>
      </c>
      <c r="I205" s="16">
        <v>694.11</v>
      </c>
      <c r="J205" s="14">
        <v>363.21</v>
      </c>
      <c r="K205" s="38">
        <f t="shared" si="13"/>
        <v>674.43672533580377</v>
      </c>
    </row>
    <row r="206" spans="1:20" ht="18" customHeight="1">
      <c r="A206" s="9">
        <v>39814</v>
      </c>
      <c r="B206" s="3">
        <v>0.97</v>
      </c>
      <c r="C206" s="30" t="str">
        <f t="shared" si="12"/>
        <v/>
      </c>
      <c r="D206" s="41" t="str">
        <f t="shared" si="14"/>
        <v/>
      </c>
      <c r="E206" s="41" t="str">
        <f t="shared" si="15"/>
        <v/>
      </c>
      <c r="F206" s="16">
        <v>1162.1099999999999</v>
      </c>
      <c r="G206" s="16">
        <v>151.33000000000001</v>
      </c>
      <c r="H206" s="16">
        <v>48.21</v>
      </c>
      <c r="I206" s="16">
        <v>768.59</v>
      </c>
      <c r="J206" s="13">
        <v>364.9</v>
      </c>
      <c r="K206" s="28">
        <f t="shared" si="13"/>
        <v>677.5748494673461</v>
      </c>
    </row>
    <row r="207" spans="1:20" ht="18" customHeight="1">
      <c r="A207" s="9">
        <v>39783</v>
      </c>
      <c r="B207" s="3">
        <v>0.94</v>
      </c>
      <c r="C207" s="30" t="str">
        <f t="shared" si="12"/>
        <v/>
      </c>
      <c r="D207" s="41" t="str">
        <f t="shared" si="14"/>
        <v/>
      </c>
      <c r="E207" s="41" t="str">
        <f t="shared" si="15"/>
        <v/>
      </c>
      <c r="F207" s="16">
        <v>1124.47</v>
      </c>
      <c r="G207" s="16">
        <v>146.35</v>
      </c>
      <c r="H207" s="16">
        <v>48.61</v>
      </c>
      <c r="I207" s="16">
        <v>744.27</v>
      </c>
      <c r="J207" s="14">
        <v>332.05</v>
      </c>
      <c r="K207" s="28">
        <f t="shared" si="13"/>
        <v>616.57640111162596</v>
      </c>
    </row>
    <row r="208" spans="1:20" ht="18" customHeight="1">
      <c r="A208" s="9">
        <v>39753</v>
      </c>
      <c r="B208" s="3">
        <v>0.9</v>
      </c>
      <c r="C208" s="30" t="str">
        <f t="shared" si="12"/>
        <v/>
      </c>
      <c r="D208" s="41" t="str">
        <f t="shared" si="14"/>
        <v/>
      </c>
      <c r="E208" s="41" t="str">
        <f t="shared" si="15"/>
        <v/>
      </c>
      <c r="F208" s="16">
        <v>1076.07</v>
      </c>
      <c r="G208" s="16">
        <v>140.66</v>
      </c>
      <c r="H208" s="16">
        <v>57.79</v>
      </c>
      <c r="I208" s="16">
        <v>706.45</v>
      </c>
      <c r="J208" s="14">
        <v>307.48</v>
      </c>
      <c r="K208" s="28">
        <f t="shared" si="13"/>
        <v>570.95290412227905</v>
      </c>
    </row>
    <row r="209" spans="1:11" ht="18" customHeight="1">
      <c r="A209" s="9">
        <v>39722</v>
      </c>
      <c r="B209" s="3">
        <v>0.93</v>
      </c>
      <c r="C209" s="30" t="str">
        <f t="shared" si="12"/>
        <v/>
      </c>
      <c r="D209" s="41" t="str">
        <f t="shared" si="14"/>
        <v/>
      </c>
      <c r="E209" s="41" t="str">
        <f t="shared" si="15"/>
        <v/>
      </c>
      <c r="F209" s="16">
        <v>1113.06</v>
      </c>
      <c r="G209" s="16">
        <v>147.5</v>
      </c>
      <c r="H209" s="16">
        <v>81.27</v>
      </c>
      <c r="I209" s="16">
        <v>740.18</v>
      </c>
      <c r="J209" s="14">
        <v>308.02999999999997</v>
      </c>
      <c r="K209" s="28">
        <f t="shared" si="13"/>
        <v>571.97418712366857</v>
      </c>
    </row>
    <row r="210" spans="1:11" ht="18" customHeight="1">
      <c r="A210" s="9">
        <v>39692</v>
      </c>
      <c r="B210" s="3">
        <v>1.2</v>
      </c>
      <c r="C210" s="30" t="str">
        <f t="shared" si="12"/>
        <v/>
      </c>
      <c r="D210" s="41" t="str">
        <f t="shared" si="14"/>
        <v/>
      </c>
      <c r="E210" s="41" t="str">
        <f t="shared" si="15"/>
        <v/>
      </c>
      <c r="F210" s="16">
        <v>1448.06</v>
      </c>
      <c r="G210" s="16">
        <v>186.62</v>
      </c>
      <c r="H210" s="16">
        <v>36.78</v>
      </c>
      <c r="I210" s="16">
        <v>936.31</v>
      </c>
      <c r="J210" s="14">
        <v>440.77</v>
      </c>
      <c r="K210" s="28">
        <f t="shared" si="13"/>
        <v>818.45619731357147</v>
      </c>
    </row>
    <row r="211" spans="1:11" ht="18" customHeight="1">
      <c r="A211" s="9">
        <v>39661</v>
      </c>
      <c r="B211" s="3">
        <v>1.22</v>
      </c>
      <c r="C211" s="30" t="str">
        <f t="shared" si="12"/>
        <v/>
      </c>
      <c r="D211" s="41" t="str">
        <f t="shared" si="14"/>
        <v/>
      </c>
      <c r="E211" s="41" t="str">
        <f t="shared" si="15"/>
        <v/>
      </c>
      <c r="F211" s="16">
        <v>1474.24</v>
      </c>
      <c r="G211" s="16">
        <v>188.96</v>
      </c>
      <c r="H211" s="16">
        <v>25.66</v>
      </c>
      <c r="I211" s="16">
        <v>967.11</v>
      </c>
      <c r="J211" s="14">
        <v>470.28</v>
      </c>
      <c r="K211" s="28">
        <f t="shared" si="13"/>
        <v>873.25267253358072</v>
      </c>
    </row>
    <row r="212" spans="1:11" ht="18" customHeight="1">
      <c r="A212" s="9">
        <v>39630</v>
      </c>
      <c r="B212" s="3">
        <v>1.33</v>
      </c>
      <c r="C212" s="30" t="str">
        <f t="shared" si="12"/>
        <v/>
      </c>
      <c r="D212" s="41" t="str">
        <f t="shared" si="14"/>
        <v/>
      </c>
      <c r="E212" s="41" t="str">
        <f t="shared" si="15"/>
        <v/>
      </c>
      <c r="F212" s="16">
        <v>1594.67</v>
      </c>
      <c r="G212" s="16">
        <v>204.12</v>
      </c>
      <c r="H212" s="16">
        <v>23.82</v>
      </c>
      <c r="I212" s="16">
        <v>1048.68</v>
      </c>
      <c r="J212" s="14">
        <v>539.44000000000005</v>
      </c>
      <c r="K212" s="28">
        <f t="shared" si="13"/>
        <v>1001.6743677628539</v>
      </c>
    </row>
    <row r="213" spans="1:11" ht="18" customHeight="1">
      <c r="A213" s="9">
        <v>39600</v>
      </c>
      <c r="B213" s="3">
        <v>1.4</v>
      </c>
      <c r="C213" s="30" t="str">
        <f t="shared" si="12"/>
        <v/>
      </c>
      <c r="D213" s="41" t="str">
        <f t="shared" si="14"/>
        <v/>
      </c>
      <c r="E213" s="41" t="str">
        <f t="shared" si="15"/>
        <v/>
      </c>
      <c r="F213" s="16">
        <v>1674.92</v>
      </c>
      <c r="G213" s="16">
        <v>213.52</v>
      </c>
      <c r="H213" s="16">
        <v>25.15</v>
      </c>
      <c r="I213" s="16">
        <v>1099.31</v>
      </c>
      <c r="J213" s="14">
        <v>590.19000000000005</v>
      </c>
      <c r="K213" s="28">
        <f t="shared" si="13"/>
        <v>1095.9109356183426</v>
      </c>
    </row>
    <row r="214" spans="1:11" ht="18" customHeight="1">
      <c r="A214" s="9">
        <v>39569</v>
      </c>
      <c r="B214" s="3">
        <v>1.54</v>
      </c>
      <c r="C214" s="30" t="str">
        <f t="shared" si="12"/>
        <v/>
      </c>
      <c r="D214" s="41" t="str">
        <f t="shared" si="14"/>
        <v/>
      </c>
      <c r="E214" s="41" t="str">
        <f t="shared" si="15"/>
        <v/>
      </c>
      <c r="F214" s="16">
        <v>1852.02</v>
      </c>
      <c r="G214" s="16">
        <v>237.46</v>
      </c>
      <c r="H214" s="16">
        <v>23.06</v>
      </c>
      <c r="I214" s="16">
        <v>1222.8699999999999</v>
      </c>
      <c r="J214" s="14">
        <v>652.15</v>
      </c>
      <c r="K214" s="28">
        <f t="shared" si="13"/>
        <v>1210.9631079203341</v>
      </c>
    </row>
    <row r="215" spans="1:11" ht="18" customHeight="1">
      <c r="A215" s="9">
        <v>39539</v>
      </c>
      <c r="B215" s="3">
        <v>1.52</v>
      </c>
      <c r="C215" s="30" t="str">
        <f t="shared" si="12"/>
        <v/>
      </c>
      <c r="D215" s="41" t="str">
        <f t="shared" si="14"/>
        <v/>
      </c>
      <c r="E215" s="41" t="str">
        <f t="shared" si="15"/>
        <v/>
      </c>
      <c r="F215" s="16">
        <v>1825.47</v>
      </c>
      <c r="G215" s="16">
        <v>235</v>
      </c>
      <c r="H215" s="16">
        <v>22.04</v>
      </c>
      <c r="I215" s="16">
        <v>1221.06</v>
      </c>
      <c r="J215" s="14">
        <v>647.02</v>
      </c>
      <c r="K215" s="28">
        <f t="shared" si="13"/>
        <v>1201.4373228346462</v>
      </c>
    </row>
    <row r="216" spans="1:11" ht="18" customHeight="1">
      <c r="A216" s="9">
        <v>39508</v>
      </c>
      <c r="B216" s="3">
        <v>1.59</v>
      </c>
      <c r="C216" s="30" t="str">
        <f t="shared" si="12"/>
        <v/>
      </c>
      <c r="D216" s="41" t="str">
        <f t="shared" si="14"/>
        <v/>
      </c>
      <c r="E216" s="41" t="str">
        <f t="shared" si="15"/>
        <v/>
      </c>
      <c r="F216" s="16">
        <v>1703.99</v>
      </c>
      <c r="G216" s="16">
        <v>217.65</v>
      </c>
      <c r="H216" s="16">
        <v>27.05</v>
      </c>
      <c r="I216" s="16">
        <v>1121.1099999999999</v>
      </c>
      <c r="J216" s="14">
        <v>644.45000000000005</v>
      </c>
      <c r="K216" s="28">
        <f t="shared" si="13"/>
        <v>1196.6651459008808</v>
      </c>
    </row>
    <row r="217" spans="1:11" ht="18" customHeight="1">
      <c r="A217" s="9">
        <v>39479</v>
      </c>
      <c r="B217" s="3">
        <v>1.58</v>
      </c>
      <c r="C217" s="30" t="str">
        <f t="shared" si="12"/>
        <v/>
      </c>
      <c r="D217" s="41" t="str">
        <f t="shared" si="14"/>
        <v/>
      </c>
      <c r="E217" s="41" t="str">
        <f t="shared" si="15"/>
        <v/>
      </c>
      <c r="F217" s="16">
        <v>1711.62</v>
      </c>
      <c r="G217" s="16">
        <v>216.85</v>
      </c>
      <c r="H217" s="16">
        <v>29.21</v>
      </c>
      <c r="I217" s="16">
        <v>1122.94</v>
      </c>
      <c r="J217" s="14">
        <v>655.94</v>
      </c>
      <c r="K217" s="28">
        <f t="shared" si="13"/>
        <v>1218.0006762390003</v>
      </c>
    </row>
    <row r="218" spans="1:11" ht="18" customHeight="1">
      <c r="A218" s="9">
        <v>39448</v>
      </c>
      <c r="B218" s="3">
        <v>1.51</v>
      </c>
      <c r="C218" s="30" t="str">
        <f t="shared" si="12"/>
        <v/>
      </c>
      <c r="D218" s="41" t="str">
        <f t="shared" si="14"/>
        <v/>
      </c>
      <c r="E218" s="41" t="str">
        <f t="shared" si="15"/>
        <v/>
      </c>
      <c r="F218" s="16">
        <v>1624.68</v>
      </c>
      <c r="G218" s="16">
        <v>207.77</v>
      </c>
      <c r="H218" s="16">
        <v>31.39</v>
      </c>
      <c r="I218" s="16">
        <v>1076.3499999999999</v>
      </c>
      <c r="J218" s="14">
        <v>608.84</v>
      </c>
      <c r="K218" s="28">
        <f t="shared" si="13"/>
        <v>1130.5417137563693</v>
      </c>
    </row>
    <row r="219" spans="1:11" ht="18" customHeight="1">
      <c r="A219" s="9">
        <v>39417</v>
      </c>
      <c r="B219" s="3">
        <v>1.75</v>
      </c>
      <c r="C219" s="30" t="str">
        <f t="shared" si="12"/>
        <v/>
      </c>
      <c r="D219" s="41" t="str">
        <f t="shared" si="14"/>
        <v/>
      </c>
      <c r="E219" s="41" t="str">
        <f t="shared" si="15"/>
        <v/>
      </c>
      <c r="F219" s="16">
        <v>1897.13</v>
      </c>
      <c r="G219" s="16">
        <v>241.27</v>
      </c>
      <c r="H219" s="16">
        <v>25.13</v>
      </c>
      <c r="I219" s="16">
        <v>1252.6300000000001</v>
      </c>
      <c r="J219" s="14">
        <v>704.23</v>
      </c>
      <c r="K219" s="28">
        <f t="shared" si="13"/>
        <v>1307.6693237610011</v>
      </c>
    </row>
    <row r="220" spans="1:11" ht="18" customHeight="1">
      <c r="A220" s="9">
        <v>39387</v>
      </c>
      <c r="B220" s="3">
        <v>1.76</v>
      </c>
      <c r="C220" s="30" t="str">
        <f t="shared" si="12"/>
        <v/>
      </c>
      <c r="D220" s="41" t="str">
        <f t="shared" si="14"/>
        <v/>
      </c>
      <c r="E220" s="41" t="str">
        <f t="shared" si="15"/>
        <v/>
      </c>
      <c r="F220" s="16">
        <v>1906</v>
      </c>
      <c r="G220" s="16">
        <v>241.91</v>
      </c>
      <c r="H220" s="16">
        <v>32.76</v>
      </c>
      <c r="I220" s="16">
        <v>1254.6099999999999</v>
      </c>
      <c r="J220" s="14">
        <v>741.84</v>
      </c>
      <c r="K220" s="28">
        <f t="shared" si="13"/>
        <v>1377.5065122742017</v>
      </c>
    </row>
    <row r="221" spans="1:11" ht="18" customHeight="1">
      <c r="A221" s="9">
        <v>39356</v>
      </c>
      <c r="B221" s="3">
        <v>1.9</v>
      </c>
      <c r="C221" s="30" t="str">
        <f t="shared" si="12"/>
        <v/>
      </c>
      <c r="D221" s="41" t="str">
        <f t="shared" si="14"/>
        <v/>
      </c>
      <c r="E221" s="41" t="str">
        <f t="shared" si="15"/>
        <v/>
      </c>
      <c r="F221" s="16">
        <v>2064.85</v>
      </c>
      <c r="G221" s="16">
        <v>260.42</v>
      </c>
      <c r="H221" s="16">
        <v>34.049999999999997</v>
      </c>
      <c r="I221" s="16">
        <v>1353.07</v>
      </c>
      <c r="J221" s="14">
        <v>810.07</v>
      </c>
      <c r="K221" s="28">
        <f t="shared" si="13"/>
        <v>1504.2013107920341</v>
      </c>
    </row>
    <row r="222" spans="1:11" ht="18" customHeight="1">
      <c r="A222" s="9">
        <v>39326</v>
      </c>
      <c r="B222" s="3">
        <v>1.8</v>
      </c>
      <c r="C222" s="30" t="str">
        <f t="shared" si="12"/>
        <v/>
      </c>
      <c r="D222" s="41" t="str">
        <f t="shared" si="14"/>
        <v/>
      </c>
      <c r="E222" s="41" t="str">
        <f t="shared" si="15"/>
        <v/>
      </c>
      <c r="F222" s="16">
        <v>1946.48</v>
      </c>
      <c r="G222" s="16">
        <v>247.2</v>
      </c>
      <c r="H222" s="16">
        <v>25.78</v>
      </c>
      <c r="I222" s="16">
        <v>1290.02</v>
      </c>
      <c r="J222" s="14">
        <v>794.56</v>
      </c>
      <c r="K222" s="28">
        <f t="shared" si="13"/>
        <v>1475.401130152849</v>
      </c>
    </row>
    <row r="223" spans="1:11" ht="18" customHeight="1">
      <c r="A223" s="9">
        <v>39295</v>
      </c>
      <c r="B223" s="3">
        <v>1.73</v>
      </c>
      <c r="C223" s="30" t="str">
        <f t="shared" si="12"/>
        <v/>
      </c>
      <c r="D223" s="41" t="str">
        <f t="shared" si="14"/>
        <v/>
      </c>
      <c r="E223" s="41" t="str">
        <f t="shared" si="15"/>
        <v/>
      </c>
      <c r="F223" s="16">
        <v>1873.24</v>
      </c>
      <c r="G223" s="16">
        <v>238.28</v>
      </c>
      <c r="H223" s="16">
        <v>32.33</v>
      </c>
      <c r="I223" s="16">
        <v>1244.42</v>
      </c>
      <c r="J223" s="14">
        <v>775.13</v>
      </c>
      <c r="K223" s="28">
        <f t="shared" si="13"/>
        <v>1439.3219870310334</v>
      </c>
    </row>
    <row r="224" spans="1:11" ht="18" customHeight="1">
      <c r="A224" s="9">
        <v>39264</v>
      </c>
      <c r="B224" s="3">
        <v>1.79</v>
      </c>
      <c r="C224" s="30" t="str">
        <f t="shared" si="12"/>
        <v/>
      </c>
      <c r="D224" s="41" t="str">
        <f t="shared" si="14"/>
        <v/>
      </c>
      <c r="E224" s="41" t="str">
        <f t="shared" si="15"/>
        <v/>
      </c>
      <c r="F224" s="16">
        <v>1933.27</v>
      </c>
      <c r="G224" s="16">
        <v>244.32</v>
      </c>
      <c r="H224" s="16">
        <v>27.71</v>
      </c>
      <c r="I224" s="16">
        <v>1277.22</v>
      </c>
      <c r="J224" s="14">
        <v>811.52</v>
      </c>
      <c r="K224" s="28">
        <f t="shared" si="13"/>
        <v>1506.8937841593336</v>
      </c>
    </row>
    <row r="225" spans="1:11" ht="18" customHeight="1">
      <c r="A225" s="9">
        <v>39234</v>
      </c>
      <c r="B225" s="3">
        <v>1.61</v>
      </c>
      <c r="C225" s="30" t="str">
        <f t="shared" si="12"/>
        <v/>
      </c>
      <c r="D225" s="41" t="str">
        <f t="shared" si="14"/>
        <v/>
      </c>
      <c r="E225" s="41" t="str">
        <f t="shared" si="15"/>
        <v/>
      </c>
      <c r="F225" s="16">
        <v>1743.6</v>
      </c>
      <c r="G225" s="16">
        <v>221.31</v>
      </c>
      <c r="H225" s="16">
        <v>19.95</v>
      </c>
      <c r="I225" s="16">
        <v>1154.8599999999999</v>
      </c>
      <c r="J225" s="14">
        <v>778.69</v>
      </c>
      <c r="K225" s="28">
        <f t="shared" si="13"/>
        <v>1445.9324733673004</v>
      </c>
    </row>
    <row r="226" spans="1:11" ht="18" customHeight="1">
      <c r="A226" s="9">
        <v>39203</v>
      </c>
      <c r="B226" s="3">
        <v>1.57</v>
      </c>
      <c r="C226" s="30" t="str">
        <f t="shared" si="12"/>
        <v/>
      </c>
      <c r="D226" s="41" t="str">
        <f t="shared" si="14"/>
        <v/>
      </c>
      <c r="E226" s="41" t="str">
        <f t="shared" si="15"/>
        <v/>
      </c>
      <c r="F226" s="16">
        <v>1700.91</v>
      </c>
      <c r="G226" s="16">
        <v>216.45</v>
      </c>
      <c r="H226" s="16">
        <v>18.59</v>
      </c>
      <c r="I226" s="16">
        <v>1144.5999999999999</v>
      </c>
      <c r="J226" s="14">
        <v>747.87</v>
      </c>
      <c r="K226" s="28">
        <f t="shared" si="13"/>
        <v>1388.7034877257995</v>
      </c>
    </row>
    <row r="227" spans="1:11" ht="18" customHeight="1">
      <c r="A227" s="9">
        <v>39173</v>
      </c>
      <c r="B227" s="3">
        <v>1.42</v>
      </c>
      <c r="C227" s="30" t="str">
        <f t="shared" si="12"/>
        <v/>
      </c>
      <c r="D227" s="41" t="str">
        <f t="shared" si="14"/>
        <v/>
      </c>
      <c r="E227" s="41" t="str">
        <f t="shared" si="15"/>
        <v/>
      </c>
      <c r="F227" s="16">
        <v>1542.24</v>
      </c>
      <c r="G227" s="16">
        <v>198.55</v>
      </c>
      <c r="H227" s="16">
        <v>18.989999999999998</v>
      </c>
      <c r="I227" s="16">
        <v>1053.69</v>
      </c>
      <c r="J227" s="14">
        <v>675.88</v>
      </c>
      <c r="K227" s="28">
        <f t="shared" si="13"/>
        <v>1255.0268272348314</v>
      </c>
    </row>
    <row r="228" spans="1:11" ht="18" customHeight="1">
      <c r="A228" s="9">
        <v>39142</v>
      </c>
      <c r="B228" s="3">
        <v>1.48</v>
      </c>
      <c r="C228" s="30" t="str">
        <f t="shared" si="12"/>
        <v/>
      </c>
      <c r="D228" s="41" t="str">
        <f t="shared" si="14"/>
        <v/>
      </c>
      <c r="E228" s="41" t="str">
        <f t="shared" si="15"/>
        <v/>
      </c>
      <c r="F228" s="16">
        <v>1452.55</v>
      </c>
      <c r="G228" s="16">
        <v>187.6</v>
      </c>
      <c r="H228" s="16">
        <v>19.64</v>
      </c>
      <c r="I228" s="16">
        <v>994.41</v>
      </c>
      <c r="J228" s="14">
        <v>648.99</v>
      </c>
      <c r="K228" s="28">
        <f t="shared" si="13"/>
        <v>1205.0953728578049</v>
      </c>
    </row>
    <row r="229" spans="1:11" ht="18" customHeight="1">
      <c r="A229" s="9">
        <v>39114</v>
      </c>
      <c r="B229" s="3">
        <v>1.45</v>
      </c>
      <c r="C229" s="30" t="str">
        <f t="shared" si="12"/>
        <v/>
      </c>
      <c r="D229" s="41" t="str">
        <f t="shared" si="14"/>
        <v/>
      </c>
      <c r="E229" s="41" t="str">
        <f t="shared" si="15"/>
        <v/>
      </c>
      <c r="F229" s="16">
        <v>1417.34</v>
      </c>
      <c r="G229" s="16">
        <v>183.2</v>
      </c>
      <c r="H229" s="16">
        <v>20.38</v>
      </c>
      <c r="I229" s="16">
        <v>979.68</v>
      </c>
      <c r="J229" s="14">
        <v>600.92999999999995</v>
      </c>
      <c r="K229" s="28">
        <f t="shared" si="13"/>
        <v>1115.8538073182031</v>
      </c>
    </row>
    <row r="230" spans="1:11" ht="18" customHeight="1">
      <c r="A230" s="9">
        <v>39083</v>
      </c>
      <c r="B230" s="3">
        <v>1.39</v>
      </c>
      <c r="C230" s="30" t="str">
        <f t="shared" si="12"/>
        <v/>
      </c>
      <c r="D230" s="41" t="str">
        <f t="shared" si="14"/>
        <v/>
      </c>
      <c r="E230" s="41" t="str">
        <f t="shared" si="15"/>
        <v/>
      </c>
      <c r="F230" s="16">
        <v>1360.23</v>
      </c>
      <c r="G230" s="16">
        <v>175.99</v>
      </c>
      <c r="H230" s="16">
        <v>17.989999999999998</v>
      </c>
      <c r="I230" s="16">
        <v>947.06</v>
      </c>
      <c r="J230" s="14">
        <v>576.37</v>
      </c>
      <c r="K230" s="28">
        <f t="shared" si="13"/>
        <v>1070.2488791106998</v>
      </c>
    </row>
    <row r="231" spans="1:11" ht="18" customHeight="1">
      <c r="A231" s="9">
        <v>39052</v>
      </c>
      <c r="B231" s="3">
        <v>1.46</v>
      </c>
      <c r="C231" s="30" t="str">
        <f t="shared" si="12"/>
        <v/>
      </c>
      <c r="D231" s="41" t="str">
        <f t="shared" si="14"/>
        <v/>
      </c>
      <c r="E231" s="41" t="str">
        <f t="shared" si="15"/>
        <v/>
      </c>
      <c r="F231" s="16">
        <v>1434.46</v>
      </c>
      <c r="G231" s="16">
        <v>185.39</v>
      </c>
      <c r="H231" s="16">
        <v>15.4</v>
      </c>
      <c r="I231" s="16">
        <v>1000</v>
      </c>
      <c r="J231" s="14">
        <v>606.15</v>
      </c>
      <c r="K231" s="28">
        <f t="shared" si="13"/>
        <v>1125.5467114404821</v>
      </c>
    </row>
    <row r="232" spans="1:11" ht="18" customHeight="1">
      <c r="A232" s="9">
        <v>39022</v>
      </c>
      <c r="B232" s="3">
        <v>1.46</v>
      </c>
      <c r="C232" s="30" t="str">
        <f t="shared" si="12"/>
        <v/>
      </c>
      <c r="D232" s="41" t="str">
        <f t="shared" si="14"/>
        <v/>
      </c>
      <c r="E232" s="41" t="str">
        <f t="shared" si="15"/>
        <v/>
      </c>
      <c r="F232" s="16">
        <v>1432.21</v>
      </c>
      <c r="G232" s="16">
        <v>184.96</v>
      </c>
      <c r="H232" s="16">
        <v>14.68</v>
      </c>
      <c r="I232" s="28">
        <f>(G232/G231)*I231</f>
        <v>997.68056529478406</v>
      </c>
      <c r="J232" s="14">
        <v>622.16999999999996</v>
      </c>
      <c r="K232" s="28">
        <f t="shared" si="13"/>
        <v>1155.2938999536825</v>
      </c>
    </row>
    <row r="233" spans="1:11" ht="18" customHeight="1">
      <c r="A233" s="9">
        <v>38991</v>
      </c>
      <c r="B233" s="3">
        <v>1.4</v>
      </c>
      <c r="C233" s="30" t="str">
        <f t="shared" si="12"/>
        <v/>
      </c>
      <c r="D233" s="41" t="str">
        <f t="shared" si="14"/>
        <v/>
      </c>
      <c r="E233" s="41" t="str">
        <f t="shared" si="15"/>
        <v/>
      </c>
      <c r="F233" s="16">
        <v>1364.55</v>
      </c>
      <c r="G233" s="16">
        <v>176.84</v>
      </c>
      <c r="H233" s="16">
        <v>16.84</v>
      </c>
      <c r="I233" s="28">
        <f t="shared" ref="I233:I271" si="16">(G233/G232)*I232</f>
        <v>953.88100760558825</v>
      </c>
      <c r="J233" s="13">
        <v>586.1</v>
      </c>
      <c r="K233" s="28">
        <f t="shared" si="13"/>
        <v>1088.3163038443729</v>
      </c>
    </row>
    <row r="234" spans="1:11" ht="18" customHeight="1">
      <c r="A234" s="9">
        <v>38961</v>
      </c>
      <c r="B234" s="3">
        <v>1.4</v>
      </c>
      <c r="C234" s="30" t="str">
        <f t="shared" si="12"/>
        <v/>
      </c>
      <c r="D234" s="41" t="str">
        <f t="shared" si="14"/>
        <v/>
      </c>
      <c r="E234" s="41" t="str">
        <f t="shared" si="15"/>
        <v/>
      </c>
      <c r="F234" s="16">
        <v>1371.41</v>
      </c>
      <c r="G234" s="16">
        <v>178.05</v>
      </c>
      <c r="H234" s="16">
        <v>16.71</v>
      </c>
      <c r="I234" s="28">
        <f t="shared" si="16"/>
        <v>960.40778898538224</v>
      </c>
      <c r="J234" s="14">
        <v>600.41999999999996</v>
      </c>
      <c r="K234" s="28">
        <f t="shared" si="13"/>
        <v>1114.9067994441875</v>
      </c>
    </row>
    <row r="235" spans="1:11" ht="18" customHeight="1">
      <c r="A235" s="9">
        <v>38930</v>
      </c>
      <c r="B235" s="3">
        <v>1.38</v>
      </c>
      <c r="C235" s="30" t="str">
        <f t="shared" si="12"/>
        <v/>
      </c>
      <c r="D235" s="41" t="str">
        <f t="shared" si="14"/>
        <v/>
      </c>
      <c r="E235" s="41" t="str">
        <f t="shared" si="15"/>
        <v/>
      </c>
      <c r="F235" s="16">
        <v>1352.74</v>
      </c>
      <c r="G235" s="16">
        <v>175.44</v>
      </c>
      <c r="H235" s="16">
        <v>17.899999999999999</v>
      </c>
      <c r="I235" s="28">
        <f t="shared" si="16"/>
        <v>946.32935972814062</v>
      </c>
      <c r="J235" s="14">
        <v>572.83000000000004</v>
      </c>
      <c r="K235" s="28">
        <f t="shared" si="13"/>
        <v>1063.6755303381201</v>
      </c>
    </row>
    <row r="236" spans="1:11" ht="18" customHeight="1">
      <c r="A236" s="9">
        <v>38899</v>
      </c>
      <c r="B236" s="3">
        <v>1.33</v>
      </c>
      <c r="C236" s="30" t="str">
        <f t="shared" si="12"/>
        <v/>
      </c>
      <c r="D236" s="41" t="str">
        <f t="shared" si="14"/>
        <v/>
      </c>
      <c r="E236" s="41" t="str">
        <f t="shared" si="15"/>
        <v/>
      </c>
      <c r="F236" s="16">
        <v>1297.82</v>
      </c>
      <c r="G236" s="16">
        <v>168.51</v>
      </c>
      <c r="H236" s="16">
        <v>23.75</v>
      </c>
      <c r="I236" s="28">
        <f t="shared" si="16"/>
        <v>908.94870273477522</v>
      </c>
      <c r="J236" s="14">
        <v>557.66</v>
      </c>
      <c r="K236" s="28">
        <f t="shared" si="13"/>
        <v>1035.5066882816122</v>
      </c>
    </row>
    <row r="237" spans="1:11" ht="18" customHeight="1">
      <c r="A237" s="9">
        <v>38869</v>
      </c>
      <c r="B237" s="3">
        <v>1.33</v>
      </c>
      <c r="C237" s="30" t="str">
        <f t="shared" si="12"/>
        <v/>
      </c>
      <c r="D237" s="41" t="str">
        <f t="shared" si="14"/>
        <v/>
      </c>
      <c r="E237" s="41" t="str">
        <f t="shared" si="15"/>
        <v/>
      </c>
      <c r="F237" s="16">
        <v>1295.1500000000001</v>
      </c>
      <c r="G237" s="16">
        <v>167.45</v>
      </c>
      <c r="H237" s="16">
        <v>22.72</v>
      </c>
      <c r="I237" s="28">
        <f t="shared" si="16"/>
        <v>903.23102648470774</v>
      </c>
      <c r="J237" s="14">
        <v>590.67999999999995</v>
      </c>
      <c r="K237" s="28">
        <f t="shared" si="13"/>
        <v>1096.8208059286712</v>
      </c>
    </row>
    <row r="238" spans="1:11" ht="18" customHeight="1">
      <c r="A238" s="9">
        <v>38838</v>
      </c>
      <c r="B238" s="3">
        <v>1.36</v>
      </c>
      <c r="C238" s="30" t="str">
        <f t="shared" si="12"/>
        <v/>
      </c>
      <c r="D238" s="41" t="str">
        <f t="shared" si="14"/>
        <v/>
      </c>
      <c r="E238" s="41" t="str">
        <f t="shared" si="15"/>
        <v/>
      </c>
      <c r="F238" s="16">
        <v>1317.7</v>
      </c>
      <c r="G238" s="16">
        <v>171.01</v>
      </c>
      <c r="H238" s="16">
        <v>21.21</v>
      </c>
      <c r="I238" s="28">
        <f t="shared" si="16"/>
        <v>922.43378823021726</v>
      </c>
      <c r="J238" s="13">
        <v>630.5</v>
      </c>
      <c r="K238" s="28">
        <f t="shared" si="13"/>
        <v>1170.7616952292733</v>
      </c>
    </row>
    <row r="239" spans="1:11" ht="18" customHeight="1">
      <c r="A239" s="9">
        <v>38808</v>
      </c>
      <c r="B239" s="3">
        <v>1.46</v>
      </c>
      <c r="C239" s="30" t="str">
        <f t="shared" si="12"/>
        <v/>
      </c>
      <c r="D239" s="41" t="str">
        <f t="shared" si="14"/>
        <v/>
      </c>
      <c r="E239" s="41" t="str">
        <f t="shared" si="15"/>
        <v/>
      </c>
      <c r="F239" s="16">
        <v>1419.73</v>
      </c>
      <c r="G239" s="16">
        <v>184.1</v>
      </c>
      <c r="H239" s="16">
        <v>17.98</v>
      </c>
      <c r="I239" s="28">
        <f t="shared" si="16"/>
        <v>993.04169588435184</v>
      </c>
      <c r="J239" s="14">
        <v>685.44</v>
      </c>
      <c r="K239" s="28">
        <f t="shared" si="13"/>
        <v>1272.778582677166</v>
      </c>
    </row>
    <row r="240" spans="1:11" ht="18" customHeight="1">
      <c r="A240" s="9">
        <v>38777</v>
      </c>
      <c r="B240" s="3">
        <v>1.63</v>
      </c>
      <c r="C240" s="30" t="str">
        <f t="shared" si="12"/>
        <v/>
      </c>
      <c r="D240" s="41" t="str">
        <f t="shared" si="14"/>
        <v/>
      </c>
      <c r="E240" s="41" t="str">
        <f t="shared" si="15"/>
        <v/>
      </c>
      <c r="F240" s="16">
        <v>1359.6</v>
      </c>
      <c r="G240" s="16">
        <v>176.21</v>
      </c>
      <c r="H240" s="16">
        <v>18.190000000000001</v>
      </c>
      <c r="I240" s="28">
        <f t="shared" si="16"/>
        <v>950.48276606073682</v>
      </c>
      <c r="J240" s="14">
        <v>665.21</v>
      </c>
      <c r="K240" s="28">
        <f t="shared" si="13"/>
        <v>1235.2139370078746</v>
      </c>
    </row>
    <row r="241" spans="1:11" ht="18" customHeight="1">
      <c r="A241" s="9">
        <v>38749</v>
      </c>
      <c r="B241" s="3">
        <v>1.64</v>
      </c>
      <c r="C241" s="30" t="str">
        <f t="shared" si="12"/>
        <v/>
      </c>
      <c r="D241" s="41" t="str">
        <f t="shared" si="14"/>
        <v/>
      </c>
      <c r="E241" s="41" t="str">
        <f t="shared" si="15"/>
        <v/>
      </c>
      <c r="F241" s="16">
        <v>1371.59</v>
      </c>
      <c r="G241" s="16">
        <v>177.45</v>
      </c>
      <c r="H241" s="16">
        <v>19.899999999999999</v>
      </c>
      <c r="I241" s="28">
        <f t="shared" si="16"/>
        <v>957.171368466476</v>
      </c>
      <c r="J241" s="14">
        <v>682.36</v>
      </c>
      <c r="K241" s="28">
        <f t="shared" si="13"/>
        <v>1267.0593978693844</v>
      </c>
    </row>
    <row r="242" spans="1:11" ht="18" customHeight="1">
      <c r="A242" s="9">
        <v>38718</v>
      </c>
      <c r="B242" s="3">
        <v>1.65</v>
      </c>
      <c r="C242" s="30" t="str">
        <f t="shared" si="12"/>
        <v/>
      </c>
      <c r="D242" s="41" t="str">
        <f t="shared" si="14"/>
        <v/>
      </c>
      <c r="E242" s="41" t="str">
        <f t="shared" si="15"/>
        <v/>
      </c>
      <c r="F242" s="16">
        <v>1399.83</v>
      </c>
      <c r="G242" s="16">
        <v>180.65</v>
      </c>
      <c r="H242" s="16">
        <v>21.57</v>
      </c>
      <c r="I242" s="28">
        <f t="shared" si="16"/>
        <v>974.43227790064191</v>
      </c>
      <c r="J242" s="14">
        <v>690.24</v>
      </c>
      <c r="K242" s="28">
        <f t="shared" si="13"/>
        <v>1281.6915979620198</v>
      </c>
    </row>
    <row r="243" spans="1:11" ht="18" customHeight="1">
      <c r="A243" s="9">
        <v>38687</v>
      </c>
      <c r="B243" s="3">
        <v>1.63</v>
      </c>
      <c r="C243" s="30" t="str">
        <f t="shared" si="12"/>
        <v/>
      </c>
      <c r="D243" s="41" t="str">
        <f t="shared" si="14"/>
        <v/>
      </c>
      <c r="E243" s="41" t="str">
        <f t="shared" si="15"/>
        <v/>
      </c>
      <c r="F243" s="16">
        <v>1379.37</v>
      </c>
      <c r="G243" s="16">
        <v>177.43</v>
      </c>
      <c r="H243" s="16">
        <v>19.440000000000001</v>
      </c>
      <c r="I243" s="28">
        <f t="shared" si="16"/>
        <v>957.06348778251254</v>
      </c>
      <c r="J243" s="14">
        <v>701.79</v>
      </c>
      <c r="K243" s="28">
        <f t="shared" si="13"/>
        <v>1303.1385409912</v>
      </c>
    </row>
    <row r="244" spans="1:11" ht="18" customHeight="1">
      <c r="A244" s="9">
        <v>38657</v>
      </c>
      <c r="B244" s="3">
        <v>1.53</v>
      </c>
      <c r="C244" s="30" t="str">
        <f t="shared" si="12"/>
        <v/>
      </c>
      <c r="D244" s="41" t="str">
        <f t="shared" si="14"/>
        <v/>
      </c>
      <c r="E244" s="41" t="str">
        <f t="shared" si="15"/>
        <v/>
      </c>
      <c r="F244" s="16">
        <v>1297.44</v>
      </c>
      <c r="G244" s="16">
        <v>165.95</v>
      </c>
      <c r="H244" s="16">
        <v>23.38</v>
      </c>
      <c r="I244" s="28">
        <f t="shared" si="16"/>
        <v>895.13997518744259</v>
      </c>
      <c r="J244" s="14">
        <v>712.39</v>
      </c>
      <c r="K244" s="28">
        <f t="shared" si="13"/>
        <v>1322.8214497452527</v>
      </c>
    </row>
    <row r="245" spans="1:11" ht="18" customHeight="1">
      <c r="A245" s="9">
        <v>38626</v>
      </c>
      <c r="B245" s="3">
        <v>1.35</v>
      </c>
      <c r="C245" s="30" t="str">
        <f t="shared" si="12"/>
        <v/>
      </c>
      <c r="D245" s="41" t="str">
        <f t="shared" si="14"/>
        <v/>
      </c>
      <c r="E245" s="41" t="str">
        <f t="shared" si="15"/>
        <v/>
      </c>
      <c r="F245" s="16">
        <v>1158.1099999999999</v>
      </c>
      <c r="G245" s="16">
        <v>148.84</v>
      </c>
      <c r="H245" s="16">
        <v>25.85</v>
      </c>
      <c r="I245" s="28">
        <f t="shared" si="16"/>
        <v>802.84805005663725</v>
      </c>
      <c r="J245" s="14">
        <v>587.46</v>
      </c>
      <c r="K245" s="28">
        <f t="shared" si="13"/>
        <v>1090.8416581750814</v>
      </c>
    </row>
    <row r="246" spans="1:11" ht="18" customHeight="1">
      <c r="A246" s="9">
        <v>38596</v>
      </c>
      <c r="B246" s="3">
        <v>1.43</v>
      </c>
      <c r="C246" s="30" t="str">
        <f t="shared" si="12"/>
        <v/>
      </c>
      <c r="D246" s="41" t="str">
        <f t="shared" si="14"/>
        <v/>
      </c>
      <c r="E246" s="41" t="str">
        <f t="shared" si="15"/>
        <v/>
      </c>
      <c r="F246" s="16">
        <v>1221.01</v>
      </c>
      <c r="G246" s="16">
        <v>157.55000000000001</v>
      </c>
      <c r="H246" s="16">
        <v>23.82</v>
      </c>
      <c r="I246" s="28">
        <f t="shared" si="16"/>
        <v>849.83008792275734</v>
      </c>
      <c r="J246" s="14">
        <v>571.95000000000005</v>
      </c>
      <c r="K246" s="28">
        <f t="shared" si="13"/>
        <v>1062.0414775358968</v>
      </c>
    </row>
    <row r="247" spans="1:11" ht="18" customHeight="1">
      <c r="A247" s="9">
        <v>38565</v>
      </c>
      <c r="B247" s="3">
        <v>1.27</v>
      </c>
      <c r="C247" s="30" t="str">
        <f t="shared" si="12"/>
        <v/>
      </c>
      <c r="D247" s="41" t="str">
        <f t="shared" si="14"/>
        <v/>
      </c>
      <c r="E247" s="41" t="str">
        <f t="shared" si="15"/>
        <v/>
      </c>
      <c r="F247" s="16">
        <v>1083.33</v>
      </c>
      <c r="G247" s="16">
        <v>140.09</v>
      </c>
      <c r="H247" s="16">
        <v>21.12</v>
      </c>
      <c r="I247" s="28">
        <f t="shared" si="16"/>
        <v>755.65025082259012</v>
      </c>
      <c r="J247" s="14">
        <v>503.95</v>
      </c>
      <c r="K247" s="28">
        <f t="shared" si="13"/>
        <v>935.77376100046365</v>
      </c>
    </row>
    <row r="248" spans="1:11" ht="18" customHeight="1">
      <c r="A248" s="9">
        <v>38534</v>
      </c>
      <c r="B248" s="3">
        <v>1.3</v>
      </c>
      <c r="C248" s="30" t="str">
        <f t="shared" si="12"/>
        <v/>
      </c>
      <c r="D248" s="41" t="str">
        <f t="shared" si="14"/>
        <v/>
      </c>
      <c r="E248" s="41" t="str">
        <f t="shared" si="15"/>
        <v/>
      </c>
      <c r="F248" s="16">
        <v>1111.29</v>
      </c>
      <c r="G248" s="16">
        <v>143.32</v>
      </c>
      <c r="H248" s="16">
        <v>16.88</v>
      </c>
      <c r="I248" s="28">
        <f t="shared" si="16"/>
        <v>773.07298128270122</v>
      </c>
      <c r="J248" s="14">
        <v>546.67999999999995</v>
      </c>
      <c r="K248" s="28">
        <f t="shared" si="13"/>
        <v>1015.1181658175085</v>
      </c>
    </row>
    <row r="249" spans="1:11" ht="18" customHeight="1">
      <c r="A249" s="9">
        <v>38504</v>
      </c>
      <c r="B249" s="3">
        <v>1.18</v>
      </c>
      <c r="C249" s="30" t="str">
        <f t="shared" si="12"/>
        <v/>
      </c>
      <c r="D249" s="41" t="str">
        <f t="shared" si="14"/>
        <v/>
      </c>
      <c r="E249" s="41" t="str">
        <f t="shared" si="15"/>
        <v/>
      </c>
      <c r="F249" s="16">
        <v>1008.16</v>
      </c>
      <c r="G249" s="16">
        <v>129.43</v>
      </c>
      <c r="H249" s="16">
        <v>15.76</v>
      </c>
      <c r="I249" s="28">
        <f t="shared" si="16"/>
        <v>698.14984627002536</v>
      </c>
      <c r="J249" s="14">
        <v>503.21</v>
      </c>
      <c r="K249" s="28">
        <f t="shared" si="13"/>
        <v>934.39967114404863</v>
      </c>
    </row>
    <row r="250" spans="1:11" ht="18" customHeight="1">
      <c r="A250" s="9">
        <v>38473</v>
      </c>
      <c r="B250" s="3">
        <v>1.1399999999999999</v>
      </c>
      <c r="C250" s="30" t="str">
        <f t="shared" si="12"/>
        <v/>
      </c>
      <c r="D250" s="41" t="str">
        <f t="shared" si="14"/>
        <v/>
      </c>
      <c r="E250" s="41" t="str">
        <f t="shared" si="15"/>
        <v/>
      </c>
      <c r="F250" s="16">
        <v>970.21</v>
      </c>
      <c r="G250" s="16">
        <v>124.84</v>
      </c>
      <c r="H250" s="16">
        <v>16.350000000000001</v>
      </c>
      <c r="I250" s="28">
        <f t="shared" si="16"/>
        <v>673.39122930039377</v>
      </c>
      <c r="J250" s="14">
        <v>471.48</v>
      </c>
      <c r="K250" s="28">
        <f t="shared" si="13"/>
        <v>875.48092635479441</v>
      </c>
    </row>
    <row r="251" spans="1:11" ht="18" customHeight="1">
      <c r="A251" s="9">
        <v>38443</v>
      </c>
      <c r="B251" s="3">
        <v>1.07</v>
      </c>
      <c r="C251" s="30" t="str">
        <f t="shared" si="12"/>
        <v/>
      </c>
      <c r="D251" s="41" t="str">
        <f t="shared" si="14"/>
        <v/>
      </c>
      <c r="E251" s="41" t="str">
        <f t="shared" si="15"/>
        <v/>
      </c>
      <c r="F251" s="16">
        <v>911.3</v>
      </c>
      <c r="G251" s="16">
        <v>117.58</v>
      </c>
      <c r="H251" s="16">
        <v>22.48</v>
      </c>
      <c r="I251" s="28">
        <f t="shared" si="16"/>
        <v>634.23054102163007</v>
      </c>
      <c r="J251" s="13">
        <v>424.4</v>
      </c>
      <c r="K251" s="28">
        <f t="shared" si="13"/>
        <v>788.05910143585038</v>
      </c>
    </row>
    <row r="252" spans="1:11" ht="18" customHeight="1">
      <c r="A252" s="9">
        <v>38412</v>
      </c>
      <c r="B252" s="3">
        <v>1.27</v>
      </c>
      <c r="C252" s="30" t="str">
        <f t="shared" si="12"/>
        <v/>
      </c>
      <c r="D252" s="41" t="str">
        <f t="shared" si="14"/>
        <v/>
      </c>
      <c r="E252" s="41" t="str">
        <f t="shared" si="15"/>
        <v/>
      </c>
      <c r="F252" s="16">
        <v>965.68</v>
      </c>
      <c r="G252" s="16">
        <v>124.78</v>
      </c>
      <c r="H252" s="16">
        <v>19.690000000000001</v>
      </c>
      <c r="I252" s="28">
        <f t="shared" si="16"/>
        <v>673.06758724850317</v>
      </c>
      <c r="J252" s="14">
        <v>455.03</v>
      </c>
      <c r="K252" s="28">
        <f t="shared" si="13"/>
        <v>844.93528022232556</v>
      </c>
    </row>
    <row r="253" spans="1:11" ht="18" customHeight="1">
      <c r="A253" s="9">
        <v>38384</v>
      </c>
      <c r="B253" s="3">
        <v>1.33</v>
      </c>
      <c r="C253" s="30" t="str">
        <f t="shared" si="12"/>
        <v/>
      </c>
      <c r="D253" s="41" t="str">
        <f t="shared" si="14"/>
        <v/>
      </c>
      <c r="E253" s="41" t="str">
        <f t="shared" si="15"/>
        <v/>
      </c>
      <c r="F253" s="16">
        <v>1011.36</v>
      </c>
      <c r="G253" s="16">
        <v>130.85</v>
      </c>
      <c r="H253" s="16">
        <v>16.670000000000002</v>
      </c>
      <c r="I253" s="28">
        <f t="shared" si="16"/>
        <v>705.80937483143634</v>
      </c>
      <c r="J253" s="14">
        <v>498.38</v>
      </c>
      <c r="K253" s="28">
        <f t="shared" si="13"/>
        <v>925.43094951366425</v>
      </c>
    </row>
    <row r="254" spans="1:11" ht="18" customHeight="1">
      <c r="A254" s="9">
        <v>38353</v>
      </c>
      <c r="B254" s="3">
        <v>1.23</v>
      </c>
      <c r="C254" s="30" t="str">
        <f t="shared" si="12"/>
        <v/>
      </c>
      <c r="D254" s="41" t="str">
        <f t="shared" si="14"/>
        <v/>
      </c>
      <c r="E254" s="41" t="str">
        <f t="shared" si="15"/>
        <v/>
      </c>
      <c r="F254" s="16">
        <v>932.7</v>
      </c>
      <c r="G254" s="16">
        <v>121.06</v>
      </c>
      <c r="H254" s="16">
        <v>18.12</v>
      </c>
      <c r="I254" s="28">
        <f t="shared" si="16"/>
        <v>653.00178003128542</v>
      </c>
      <c r="J254" s="14">
        <v>472.95</v>
      </c>
      <c r="K254" s="28">
        <f t="shared" si="13"/>
        <v>878.2105372857809</v>
      </c>
    </row>
    <row r="255" spans="1:11" ht="18" customHeight="1">
      <c r="A255" s="9">
        <v>38322</v>
      </c>
      <c r="B255" s="3">
        <v>1.1599999999999999</v>
      </c>
      <c r="C255" s="30" t="str">
        <f t="shared" si="12"/>
        <v/>
      </c>
      <c r="D255" s="41" t="str">
        <f t="shared" si="14"/>
        <v/>
      </c>
      <c r="E255" s="41" t="str">
        <f t="shared" si="15"/>
        <v/>
      </c>
      <c r="F255" s="16">
        <v>895.92</v>
      </c>
      <c r="G255" s="16">
        <v>115.25</v>
      </c>
      <c r="H255" s="16">
        <v>21.29</v>
      </c>
      <c r="I255" s="28">
        <f t="shared" si="16"/>
        <v>621.66244133987811</v>
      </c>
      <c r="J255" s="14">
        <v>380.33</v>
      </c>
      <c r="K255" s="28">
        <f t="shared" si="13"/>
        <v>706.22647985178367</v>
      </c>
    </row>
    <row r="256" spans="1:11" ht="18" customHeight="1">
      <c r="A256" s="9">
        <v>38292</v>
      </c>
      <c r="B256" s="3">
        <v>1.1299999999999999</v>
      </c>
      <c r="C256" s="30" t="str">
        <f t="shared" si="12"/>
        <v/>
      </c>
      <c r="D256" s="41" t="str">
        <f t="shared" si="14"/>
        <v/>
      </c>
      <c r="E256" s="41" t="str">
        <f t="shared" si="15"/>
        <v/>
      </c>
      <c r="F256" s="16">
        <v>878.06</v>
      </c>
      <c r="G256" s="16">
        <v>113.4</v>
      </c>
      <c r="H256" s="16">
        <v>25.05</v>
      </c>
      <c r="I256" s="28">
        <f t="shared" si="16"/>
        <v>611.68347807325108</v>
      </c>
      <c r="J256" s="14">
        <v>373.43</v>
      </c>
      <c r="K256" s="28">
        <f t="shared" si="13"/>
        <v>693.41402037980595</v>
      </c>
    </row>
    <row r="257" spans="1:20" ht="18" customHeight="1">
      <c r="A257" s="9">
        <v>38261</v>
      </c>
      <c r="B257" s="3">
        <v>1.08</v>
      </c>
      <c r="C257" s="30" t="str">
        <f t="shared" si="12"/>
        <v/>
      </c>
      <c r="D257" s="41" t="str">
        <f t="shared" si="14"/>
        <v/>
      </c>
      <c r="E257" s="41" t="str">
        <f t="shared" si="15"/>
        <v/>
      </c>
      <c r="F257" s="16">
        <v>834.84</v>
      </c>
      <c r="G257" s="16">
        <v>107.99</v>
      </c>
      <c r="H257" s="16">
        <v>27.17</v>
      </c>
      <c r="I257" s="28">
        <f t="shared" si="16"/>
        <v>582.50175306111441</v>
      </c>
      <c r="J257" s="14">
        <v>357.04</v>
      </c>
      <c r="K257" s="28">
        <f t="shared" si="13"/>
        <v>662.97978693839787</v>
      </c>
    </row>
    <row r="258" spans="1:20" ht="18" customHeight="1">
      <c r="A258" s="9">
        <v>38231</v>
      </c>
      <c r="B258" s="3">
        <v>1.08</v>
      </c>
      <c r="C258" s="30" t="str">
        <f t="shared" si="12"/>
        <v/>
      </c>
      <c r="D258" s="41" t="str">
        <f t="shared" si="14"/>
        <v/>
      </c>
      <c r="E258" s="41" t="str">
        <f t="shared" si="15"/>
        <v/>
      </c>
      <c r="F258" s="16">
        <v>835.09</v>
      </c>
      <c r="G258" s="16">
        <v>107.69</v>
      </c>
      <c r="H258" s="21">
        <v>23.73</v>
      </c>
      <c r="I258" s="28">
        <f t="shared" si="16"/>
        <v>580.88354280166141</v>
      </c>
      <c r="J258" s="14">
        <v>362.08</v>
      </c>
      <c r="K258" s="28">
        <f t="shared" si="13"/>
        <v>672.33845298749463</v>
      </c>
    </row>
    <row r="259" spans="1:20" ht="18" customHeight="1">
      <c r="A259" s="9">
        <v>38200</v>
      </c>
      <c r="B259" s="3">
        <v>1.03</v>
      </c>
      <c r="C259" s="30" t="str">
        <f t="shared" si="12"/>
        <v/>
      </c>
      <c r="D259" s="41" t="str">
        <f t="shared" si="14"/>
        <v/>
      </c>
      <c r="E259" s="41" t="str">
        <f t="shared" si="15"/>
        <v/>
      </c>
      <c r="F259" s="16">
        <v>803.57</v>
      </c>
      <c r="G259" s="16">
        <v>102.89</v>
      </c>
      <c r="H259" s="21">
        <v>22.76</v>
      </c>
      <c r="I259" s="28">
        <f t="shared" si="16"/>
        <v>554.99217865041271</v>
      </c>
      <c r="J259" s="14">
        <v>355.66</v>
      </c>
      <c r="K259" s="28">
        <f t="shared" si="13"/>
        <v>660.41729504400234</v>
      </c>
    </row>
    <row r="260" spans="1:20" ht="18" customHeight="1">
      <c r="A260" s="9">
        <v>38169</v>
      </c>
      <c r="B260" s="3">
        <v>0.96</v>
      </c>
      <c r="C260" s="30" t="str">
        <f t="shared" ref="C260:C323" si="17">IF(B260&lt;=C$1, "Risk", "")</f>
        <v/>
      </c>
      <c r="D260" s="41" t="str">
        <f t="shared" si="14"/>
        <v/>
      </c>
      <c r="E260" s="41" t="str">
        <f t="shared" si="15"/>
        <v/>
      </c>
      <c r="F260" s="16">
        <v>735.34</v>
      </c>
      <c r="G260" s="16">
        <v>95.27</v>
      </c>
      <c r="H260" s="21">
        <v>28.62</v>
      </c>
      <c r="I260" s="28">
        <f t="shared" si="16"/>
        <v>513.8896380603054</v>
      </c>
      <c r="J260" s="14">
        <v>331.21</v>
      </c>
      <c r="K260" s="28">
        <f t="shared" ref="K260:K265" si="18">(J260/J259)*K259</f>
        <v>615.01662343677663</v>
      </c>
    </row>
    <row r="261" spans="1:20" ht="18" customHeight="1">
      <c r="A261" s="9">
        <v>38139</v>
      </c>
      <c r="B261" s="3">
        <v>1.01</v>
      </c>
      <c r="C261" s="30" t="str">
        <f t="shared" si="17"/>
        <v/>
      </c>
      <c r="D261" s="41" t="str">
        <f t="shared" ref="D261:D324" si="19">IF(B261&lt;=D$1, "Risk", "")</f>
        <v/>
      </c>
      <c r="E261" s="41" t="str">
        <f t="shared" ref="E261:E324" si="20">IF(B261&lt;=E$1, "Risk", "")</f>
        <v/>
      </c>
      <c r="F261" s="16">
        <v>785.79</v>
      </c>
      <c r="G261" s="16">
        <v>101.85</v>
      </c>
      <c r="H261" s="21">
        <v>32.36</v>
      </c>
      <c r="I261" s="28">
        <f t="shared" si="16"/>
        <v>549.38238308430891</v>
      </c>
      <c r="J261" s="14">
        <v>385.18</v>
      </c>
      <c r="K261" s="28">
        <f t="shared" si="18"/>
        <v>715.23233904585504</v>
      </c>
    </row>
    <row r="262" spans="1:20" ht="18" customHeight="1">
      <c r="A262" s="9">
        <v>38108</v>
      </c>
      <c r="B262" s="3">
        <v>1.02</v>
      </c>
      <c r="C262" s="30" t="str">
        <f t="shared" si="17"/>
        <v/>
      </c>
      <c r="D262" s="41" t="str">
        <f t="shared" si="19"/>
        <v/>
      </c>
      <c r="E262" s="41" t="str">
        <f t="shared" si="20"/>
        <v/>
      </c>
      <c r="F262" s="16">
        <v>803.84</v>
      </c>
      <c r="G262" s="16">
        <v>104.14</v>
      </c>
      <c r="H262" s="21">
        <v>30.14</v>
      </c>
      <c r="I262" s="28">
        <f t="shared" si="16"/>
        <v>561.73472139813396</v>
      </c>
      <c r="J262" s="14">
        <v>400.92</v>
      </c>
      <c r="K262" s="28">
        <f t="shared" si="18"/>
        <v>744.45960166743907</v>
      </c>
    </row>
    <row r="263" spans="1:20" ht="18" customHeight="1">
      <c r="A263" s="9">
        <v>38078</v>
      </c>
      <c r="B263" s="3">
        <v>1.1000000000000001</v>
      </c>
      <c r="C263" s="30" t="str">
        <f t="shared" si="17"/>
        <v/>
      </c>
      <c r="D263" s="41" t="str">
        <f t="shared" si="19"/>
        <v/>
      </c>
      <c r="E263" s="41" t="str">
        <f t="shared" si="20"/>
        <v/>
      </c>
      <c r="F263" s="16">
        <v>862.84</v>
      </c>
      <c r="G263" s="16">
        <v>112.4</v>
      </c>
      <c r="H263" s="21">
        <v>24.47</v>
      </c>
      <c r="I263" s="28">
        <f t="shared" si="16"/>
        <v>606.28944387507454</v>
      </c>
      <c r="J263" s="14">
        <v>453.47</v>
      </c>
      <c r="K263" s="28">
        <f t="shared" si="18"/>
        <v>842.03855025474809</v>
      </c>
      <c r="T263" s="32"/>
    </row>
    <row r="264" spans="1:20" ht="18" customHeight="1">
      <c r="A264" s="9">
        <v>38047</v>
      </c>
      <c r="B264" s="3">
        <v>1.1100000000000001</v>
      </c>
      <c r="C264" s="30" t="str">
        <f t="shared" si="17"/>
        <v/>
      </c>
      <c r="D264" s="41" t="str">
        <f t="shared" si="19"/>
        <v/>
      </c>
      <c r="E264" s="41" t="str">
        <f t="shared" si="20"/>
        <v/>
      </c>
      <c r="F264" s="16">
        <v>880.5</v>
      </c>
      <c r="G264" s="16">
        <v>115.98</v>
      </c>
      <c r="H264" s="21">
        <v>24.66</v>
      </c>
      <c r="I264" s="28">
        <f t="shared" si="16"/>
        <v>625.60008630454752</v>
      </c>
      <c r="J264" s="14">
        <v>434.16</v>
      </c>
      <c r="K264" s="28">
        <f t="shared" si="18"/>
        <v>806.18223251505378</v>
      </c>
      <c r="S264" s="32"/>
      <c r="T264" s="32"/>
    </row>
    <row r="265" spans="1:20" ht="18" customHeight="1">
      <c r="A265" s="9">
        <v>38018</v>
      </c>
      <c r="B265" s="3">
        <v>1.08</v>
      </c>
      <c r="C265" s="30" t="str">
        <f t="shared" si="17"/>
        <v/>
      </c>
      <c r="D265" s="41" t="str">
        <f t="shared" si="19"/>
        <v/>
      </c>
      <c r="E265" s="41" t="str">
        <f t="shared" si="20"/>
        <v/>
      </c>
      <c r="F265" s="16">
        <v>883.42</v>
      </c>
      <c r="G265" s="16">
        <v>115.92</v>
      </c>
      <c r="H265" s="21">
        <v>19.95</v>
      </c>
      <c r="I265" s="28">
        <f t="shared" si="16"/>
        <v>625.27644425265692</v>
      </c>
      <c r="J265" s="14">
        <v>428.68</v>
      </c>
      <c r="K265" s="28">
        <f t="shared" si="18"/>
        <v>796.00654006484535</v>
      </c>
      <c r="R265" s="33"/>
      <c r="S265" s="32"/>
      <c r="T265" s="32"/>
    </row>
    <row r="266" spans="1:20" ht="18" customHeight="1">
      <c r="A266" s="9">
        <v>37987</v>
      </c>
      <c r="B266" s="3">
        <v>1.07</v>
      </c>
      <c r="C266" s="30" t="str">
        <f t="shared" si="17"/>
        <v/>
      </c>
      <c r="D266" s="41" t="str">
        <f t="shared" si="19"/>
        <v/>
      </c>
      <c r="E266" s="41" t="str">
        <f t="shared" si="20"/>
        <v/>
      </c>
      <c r="F266" s="16">
        <v>848.5</v>
      </c>
      <c r="G266" s="16">
        <v>110.89</v>
      </c>
      <c r="H266" s="21">
        <v>21.23</v>
      </c>
      <c r="I266" s="28">
        <f t="shared" si="16"/>
        <v>598.14445223582754</v>
      </c>
      <c r="J266" s="14">
        <v>441.45</v>
      </c>
      <c r="K266" s="28">
        <f>(J266/J265)*K265</f>
        <v>819.71887447892595</v>
      </c>
      <c r="Q266" s="33"/>
      <c r="R266" s="33"/>
      <c r="S266" s="32"/>
      <c r="T266" s="32"/>
    </row>
    <row r="267" spans="1:20" ht="18" customHeight="1">
      <c r="A267" s="9">
        <v>37956</v>
      </c>
      <c r="B267" s="4">
        <v>1.02</v>
      </c>
      <c r="C267" s="30" t="str">
        <f t="shared" si="17"/>
        <v/>
      </c>
      <c r="D267" s="41" t="str">
        <f t="shared" si="19"/>
        <v/>
      </c>
      <c r="E267" s="41" t="str">
        <f t="shared" si="20"/>
        <v/>
      </c>
      <c r="F267" s="17">
        <v>811</v>
      </c>
      <c r="G267" s="27">
        <v>105.21</v>
      </c>
      <c r="H267" s="17">
        <v>22.5</v>
      </c>
      <c r="I267" s="28">
        <f t="shared" si="16"/>
        <v>567.50633799018317</v>
      </c>
      <c r="J267" s="29">
        <f>(F267/F266)*J266</f>
        <v>421.93983500294632</v>
      </c>
      <c r="K267" s="29">
        <f>(I267/I266)*K266</f>
        <v>777.73129032309305</v>
      </c>
      <c r="P267" s="33"/>
      <c r="Q267" s="33"/>
      <c r="R267" s="33"/>
      <c r="S267" s="32"/>
      <c r="T267" s="32"/>
    </row>
    <row r="268" spans="1:20" ht="18" customHeight="1">
      <c r="A268" s="9">
        <v>37926</v>
      </c>
      <c r="B268" s="4">
        <v>1.01</v>
      </c>
      <c r="C268" s="30" t="str">
        <f t="shared" si="17"/>
        <v/>
      </c>
      <c r="D268" s="41" t="str">
        <f t="shared" si="19"/>
        <v/>
      </c>
      <c r="E268" s="41" t="str">
        <f t="shared" si="20"/>
        <v/>
      </c>
      <c r="F268" s="17">
        <v>796</v>
      </c>
      <c r="G268" s="27">
        <v>103.61</v>
      </c>
      <c r="H268" s="17">
        <v>25.4</v>
      </c>
      <c r="I268" s="28">
        <f t="shared" si="16"/>
        <v>558.87588327310027</v>
      </c>
      <c r="J268" s="29">
        <f t="shared" ref="J268:J326" si="21">(F268/F267)*J267</f>
        <v>414.13576900412488</v>
      </c>
      <c r="K268" s="29">
        <f t="shared" ref="K268:K326" si="22">(I268/I267)*K267</f>
        <v>765.90380182849231</v>
      </c>
      <c r="O268" s="33"/>
      <c r="P268" s="33"/>
      <c r="Q268" s="33"/>
      <c r="R268" s="33"/>
      <c r="S268" s="32"/>
      <c r="T268" s="32"/>
    </row>
    <row r="269" spans="1:20" ht="18" customHeight="1">
      <c r="A269" s="9">
        <v>37895</v>
      </c>
      <c r="B269" s="7">
        <v>0.99</v>
      </c>
      <c r="C269" s="30" t="str">
        <f t="shared" si="17"/>
        <v/>
      </c>
      <c r="D269" s="41" t="str">
        <f t="shared" si="19"/>
        <v/>
      </c>
      <c r="E269" s="41" t="str">
        <f t="shared" si="20"/>
        <v/>
      </c>
      <c r="F269" s="18">
        <v>782</v>
      </c>
      <c r="G269" s="27">
        <v>101.44</v>
      </c>
      <c r="H269" s="18">
        <v>28.3</v>
      </c>
      <c r="I269" s="28">
        <f t="shared" si="16"/>
        <v>547.17082906305654</v>
      </c>
      <c r="J269" s="29">
        <f t="shared" si="21"/>
        <v>406.8519740718915</v>
      </c>
      <c r="K269" s="29">
        <f t="shared" si="22"/>
        <v>749.86277055768994</v>
      </c>
      <c r="N269" s="33"/>
      <c r="O269" s="33"/>
      <c r="P269" s="33"/>
      <c r="Q269" s="33"/>
      <c r="R269" s="33"/>
      <c r="S269" s="32"/>
      <c r="T269" s="32"/>
    </row>
    <row r="270" spans="1:20" ht="18" customHeight="1">
      <c r="A270" s="9">
        <v>37865</v>
      </c>
      <c r="B270" s="7">
        <v>0.89</v>
      </c>
      <c r="C270" s="30" t="str">
        <f t="shared" si="17"/>
        <v/>
      </c>
      <c r="D270" s="41" t="str">
        <f t="shared" si="19"/>
        <v/>
      </c>
      <c r="E270" s="41" t="str">
        <f t="shared" si="20"/>
        <v/>
      </c>
      <c r="F270" s="18">
        <v>698</v>
      </c>
      <c r="G270" s="27">
        <v>89.55</v>
      </c>
      <c r="H270" s="18">
        <v>27</v>
      </c>
      <c r="I270" s="28">
        <f t="shared" si="16"/>
        <v>483.03576244673417</v>
      </c>
      <c r="J270" s="29">
        <f t="shared" si="21"/>
        <v>363.14920447849141</v>
      </c>
      <c r="K270" s="29">
        <f t="shared" si="22"/>
        <v>661.96974668218786</v>
      </c>
      <c r="M270" s="33"/>
      <c r="N270" s="33"/>
      <c r="O270" s="33"/>
      <c r="P270" s="33"/>
      <c r="Q270" s="33"/>
      <c r="R270" s="33"/>
      <c r="S270" s="32"/>
      <c r="T270" s="32"/>
    </row>
    <row r="271" spans="1:20" ht="18" customHeight="1">
      <c r="A271" s="9">
        <v>37834</v>
      </c>
      <c r="B271" s="7">
        <v>0.96</v>
      </c>
      <c r="C271" s="30" t="str">
        <f t="shared" si="17"/>
        <v/>
      </c>
      <c r="D271" s="41" t="str">
        <f t="shared" si="19"/>
        <v/>
      </c>
      <c r="E271" s="41" t="str">
        <f t="shared" si="20"/>
        <v/>
      </c>
      <c r="F271" s="18">
        <v>759</v>
      </c>
      <c r="G271" s="27">
        <v>97.59</v>
      </c>
      <c r="H271" s="18">
        <v>20.8</v>
      </c>
      <c r="I271" s="28">
        <f t="shared" si="16"/>
        <v>526.40379740007586</v>
      </c>
      <c r="J271" s="29">
        <f t="shared" si="21"/>
        <v>394.88573954036531</v>
      </c>
      <c r="K271" s="29">
        <f t="shared" si="22"/>
        <v>721.40287636755693</v>
      </c>
      <c r="L271" s="33"/>
      <c r="M271" s="33"/>
      <c r="N271" s="33"/>
      <c r="O271" s="33"/>
      <c r="P271" s="33"/>
      <c r="Q271" s="33"/>
      <c r="R271" s="33"/>
      <c r="S271" s="32"/>
      <c r="T271" s="32"/>
    </row>
    <row r="272" spans="1:20" ht="18" customHeight="1">
      <c r="A272" s="9">
        <v>37803</v>
      </c>
      <c r="B272" s="7">
        <v>0.9</v>
      </c>
      <c r="C272" s="30" t="str">
        <f t="shared" si="17"/>
        <v/>
      </c>
      <c r="D272" s="41" t="str">
        <f t="shared" si="19"/>
        <v/>
      </c>
      <c r="E272" s="41" t="str">
        <f t="shared" si="20"/>
        <v/>
      </c>
      <c r="F272" s="18">
        <v>714</v>
      </c>
      <c r="G272" s="27">
        <v>91.52</v>
      </c>
      <c r="H272" s="18">
        <v>25.5</v>
      </c>
      <c r="I272" s="28">
        <f>(G272/G271)*I271</f>
        <v>493.66200981714252</v>
      </c>
      <c r="J272" s="29">
        <f t="shared" si="21"/>
        <v>371.47354154390098</v>
      </c>
      <c r="K272" s="29">
        <f t="shared" si="22"/>
        <v>676.53234189116506</v>
      </c>
      <c r="L272" s="33"/>
      <c r="M272" s="33"/>
      <c r="N272" s="33"/>
      <c r="O272" s="33"/>
      <c r="P272" s="33"/>
      <c r="Q272" s="33"/>
      <c r="R272" s="33"/>
      <c r="S272" s="32"/>
      <c r="T272" s="32"/>
    </row>
    <row r="273" spans="1:20" ht="18" customHeight="1">
      <c r="A273" s="9">
        <v>37773</v>
      </c>
      <c r="B273" s="7">
        <v>0.84</v>
      </c>
      <c r="C273" s="30" t="str">
        <f t="shared" si="17"/>
        <v>Risk</v>
      </c>
      <c r="D273" s="41" t="str">
        <f t="shared" si="19"/>
        <v/>
      </c>
      <c r="E273" s="41" t="str">
        <f t="shared" si="20"/>
        <v/>
      </c>
      <c r="F273" s="18">
        <v>670</v>
      </c>
      <c r="G273" s="27">
        <v>85.47</v>
      </c>
      <c r="H273" s="18">
        <v>28.3</v>
      </c>
      <c r="I273" s="28">
        <f t="shared" ref="I273:I326" si="23">(G273/G272)*I272</f>
        <v>461.02810291817281</v>
      </c>
      <c r="J273" s="29">
        <f t="shared" si="21"/>
        <v>348.58161461402472</v>
      </c>
      <c r="K273" s="29">
        <f t="shared" si="22"/>
        <v>631.80965102095593</v>
      </c>
      <c r="L273" s="33"/>
      <c r="M273" s="33"/>
      <c r="N273" s="33"/>
      <c r="O273" s="33"/>
      <c r="P273" s="33"/>
      <c r="Q273" s="33"/>
      <c r="R273" s="33"/>
      <c r="S273" s="32"/>
      <c r="T273" s="32"/>
    </row>
    <row r="274" spans="1:20" ht="18" customHeight="1">
      <c r="A274" s="9">
        <v>37742</v>
      </c>
      <c r="B274" s="7">
        <v>0.79</v>
      </c>
      <c r="C274" s="30" t="str">
        <f t="shared" si="17"/>
        <v>Risk</v>
      </c>
      <c r="D274" s="41" t="str">
        <f t="shared" si="19"/>
        <v>Risk</v>
      </c>
      <c r="E274" s="41" t="str">
        <f t="shared" si="20"/>
        <v/>
      </c>
      <c r="F274" s="18">
        <v>633</v>
      </c>
      <c r="G274" s="27">
        <v>80.53</v>
      </c>
      <c r="H274" s="18">
        <v>32.4</v>
      </c>
      <c r="I274" s="28">
        <f t="shared" si="23"/>
        <v>434.38157397917934</v>
      </c>
      <c r="J274" s="29">
        <f t="shared" si="21"/>
        <v>329.33158515026514</v>
      </c>
      <c r="K274" s="29">
        <f t="shared" si="22"/>
        <v>595.29228029387593</v>
      </c>
      <c r="L274" s="33"/>
      <c r="M274" s="33"/>
      <c r="N274" s="33"/>
      <c r="O274" s="33"/>
      <c r="P274" s="33"/>
      <c r="Q274" s="33"/>
      <c r="R274" s="33"/>
      <c r="S274" s="32"/>
      <c r="T274" s="32"/>
    </row>
    <row r="275" spans="1:20" ht="18" customHeight="1">
      <c r="A275" s="9">
        <v>37712</v>
      </c>
      <c r="B275" s="4">
        <v>0.76</v>
      </c>
      <c r="C275" s="30" t="str">
        <f t="shared" si="17"/>
        <v>Risk</v>
      </c>
      <c r="D275" s="41" t="str">
        <f t="shared" si="19"/>
        <v>Risk</v>
      </c>
      <c r="E275" s="41" t="str">
        <f t="shared" si="20"/>
        <v/>
      </c>
      <c r="F275" s="17">
        <v>599</v>
      </c>
      <c r="G275" s="27">
        <v>76.45</v>
      </c>
      <c r="H275" s="17">
        <v>34.5</v>
      </c>
      <c r="I275" s="28">
        <f t="shared" si="23"/>
        <v>412.37391445061792</v>
      </c>
      <c r="J275" s="29">
        <f t="shared" si="21"/>
        <v>311.64236888626982</v>
      </c>
      <c r="K275" s="29">
        <f t="shared" si="22"/>
        <v>565.13218463264388</v>
      </c>
      <c r="L275" s="35">
        <f>1+(($I271/$I275)-1)*2</f>
        <v>1.5530412034009156</v>
      </c>
      <c r="M275" s="35">
        <f>1+(($I270/$I275)-1)*2</f>
        <v>1.3427076520601697</v>
      </c>
      <c r="N275" s="35">
        <f>1+(($I269/$I275)-1)*2</f>
        <v>1.6537606278613466</v>
      </c>
      <c r="O275" s="35">
        <f>1+(($I268/$I275)-1)*2</f>
        <v>1.7105297580117718</v>
      </c>
      <c r="P275" s="35">
        <f>1+(($I267/$I275)-1)*2</f>
        <v>1.7523871811641589</v>
      </c>
      <c r="Q275" s="35">
        <f>1+(($I266/$I275)-1)*2</f>
        <v>1.9009810333551336</v>
      </c>
      <c r="R275" s="35">
        <f>1+(($I265/$I275)-1)*2</f>
        <v>2.0325703073904506</v>
      </c>
      <c r="S275" s="35">
        <f>1+(($I264/$I275)-1)*2</f>
        <v>2.0341399607586652</v>
      </c>
      <c r="T275" s="35">
        <f>1+(($I263/$I275)-1)*2</f>
        <v>1.9404839764551993</v>
      </c>
    </row>
    <row r="276" spans="1:20" ht="18" customHeight="1">
      <c r="A276" s="9">
        <v>37681</v>
      </c>
      <c r="B276" s="4">
        <v>0.89</v>
      </c>
      <c r="C276" s="30" t="str">
        <f t="shared" si="17"/>
        <v/>
      </c>
      <c r="D276" s="41" t="str">
        <f t="shared" si="19"/>
        <v/>
      </c>
      <c r="E276" s="41" t="str">
        <f t="shared" si="20"/>
        <v/>
      </c>
      <c r="F276" s="17">
        <v>536</v>
      </c>
      <c r="G276" s="27">
        <v>68.05</v>
      </c>
      <c r="H276" s="17">
        <v>41</v>
      </c>
      <c r="I276" s="28">
        <f t="shared" si="23"/>
        <v>367.06402718593262</v>
      </c>
      <c r="J276" s="29">
        <f t="shared" si="21"/>
        <v>278.86529169121974</v>
      </c>
      <c r="K276" s="29">
        <f t="shared" si="22"/>
        <v>503.03787003598973</v>
      </c>
    </row>
    <row r="277" spans="1:20" ht="18" customHeight="1">
      <c r="A277" s="9">
        <v>37653</v>
      </c>
      <c r="B277" s="4">
        <v>0.96</v>
      </c>
      <c r="C277" s="30" t="str">
        <f t="shared" si="17"/>
        <v/>
      </c>
      <c r="D277" s="41" t="str">
        <f t="shared" si="19"/>
        <v/>
      </c>
      <c r="E277" s="41" t="str">
        <f t="shared" si="20"/>
        <v/>
      </c>
      <c r="F277" s="17">
        <v>575</v>
      </c>
      <c r="G277" s="27">
        <v>72.849999999999994</v>
      </c>
      <c r="H277" s="17">
        <v>35.5</v>
      </c>
      <c r="I277" s="28">
        <f t="shared" si="23"/>
        <v>392.95539133718131</v>
      </c>
      <c r="J277" s="29">
        <f t="shared" si="21"/>
        <v>299.1558632881555</v>
      </c>
      <c r="K277" s="29">
        <f t="shared" si="22"/>
        <v>538.52033551979207</v>
      </c>
    </row>
    <row r="278" spans="1:20" ht="18" customHeight="1">
      <c r="A278" s="9">
        <v>37622</v>
      </c>
      <c r="B278" s="4">
        <v>0.98</v>
      </c>
      <c r="C278" s="30" t="str">
        <f t="shared" si="17"/>
        <v/>
      </c>
      <c r="D278" s="41" t="str">
        <f t="shared" si="19"/>
        <v/>
      </c>
      <c r="E278" s="41" t="str">
        <f t="shared" si="20"/>
        <v/>
      </c>
      <c r="F278" s="17">
        <v>592</v>
      </c>
      <c r="G278" s="27">
        <v>75.22</v>
      </c>
      <c r="H278" s="17">
        <v>35.9</v>
      </c>
      <c r="I278" s="28">
        <f t="shared" si="23"/>
        <v>405.73925238686036</v>
      </c>
      <c r="J278" s="29">
        <f t="shared" si="21"/>
        <v>308.00047142015313</v>
      </c>
      <c r="K278" s="29">
        <f t="shared" si="22"/>
        <v>556.03980285241948</v>
      </c>
    </row>
    <row r="279" spans="1:20" ht="18" customHeight="1">
      <c r="A279" s="9">
        <v>37591</v>
      </c>
      <c r="B279" s="4">
        <v>1.05</v>
      </c>
      <c r="C279" s="30" t="str">
        <f t="shared" si="17"/>
        <v/>
      </c>
      <c r="D279" s="41" t="str">
        <f t="shared" si="19"/>
        <v/>
      </c>
      <c r="E279" s="41" t="str">
        <f t="shared" si="20"/>
        <v/>
      </c>
      <c r="F279" s="17">
        <v>628</v>
      </c>
      <c r="G279" s="27">
        <v>79.87</v>
      </c>
      <c r="H279" s="17">
        <v>35.6</v>
      </c>
      <c r="I279" s="28">
        <f t="shared" si="23"/>
        <v>430.82151140838261</v>
      </c>
      <c r="J279" s="29">
        <f t="shared" si="21"/>
        <v>326.73022981732458</v>
      </c>
      <c r="K279" s="29">
        <f t="shared" si="22"/>
        <v>590.41344128985304</v>
      </c>
    </row>
    <row r="280" spans="1:20" ht="18" customHeight="1">
      <c r="A280" s="9">
        <v>37561</v>
      </c>
      <c r="B280" s="4">
        <v>1.19</v>
      </c>
      <c r="C280" s="30" t="str">
        <f t="shared" si="17"/>
        <v/>
      </c>
      <c r="D280" s="41" t="str">
        <f t="shared" si="19"/>
        <v/>
      </c>
      <c r="E280" s="41" t="str">
        <f t="shared" si="20"/>
        <v/>
      </c>
      <c r="F280" s="17">
        <v>725</v>
      </c>
      <c r="G280" s="27">
        <v>92.05</v>
      </c>
      <c r="H280" s="17">
        <v>40.9</v>
      </c>
      <c r="I280" s="28">
        <f t="shared" si="23"/>
        <v>496.5208479421762</v>
      </c>
      <c r="J280" s="29">
        <f t="shared" si="21"/>
        <v>377.19652327636993</v>
      </c>
      <c r="K280" s="29">
        <f t="shared" si="22"/>
        <v>680.45019745500144</v>
      </c>
    </row>
    <row r="281" spans="1:20" ht="18" customHeight="1">
      <c r="A281" s="9">
        <v>37530</v>
      </c>
      <c r="B281" s="4">
        <v>1.08</v>
      </c>
      <c r="C281" s="30" t="str">
        <f t="shared" si="17"/>
        <v/>
      </c>
      <c r="D281" s="41" t="str">
        <f t="shared" si="19"/>
        <v/>
      </c>
      <c r="E281" s="41" t="str">
        <f t="shared" si="20"/>
        <v/>
      </c>
      <c r="F281" s="17">
        <v>659</v>
      </c>
      <c r="G281" s="27">
        <v>83.1</v>
      </c>
      <c r="H281" s="17">
        <v>40.9</v>
      </c>
      <c r="I281" s="28">
        <f t="shared" si="23"/>
        <v>448.2442418684937</v>
      </c>
      <c r="J281" s="29">
        <f t="shared" si="21"/>
        <v>342.85863288155554</v>
      </c>
      <c r="K281" s="29">
        <f t="shared" si="22"/>
        <v>614.29018368832828</v>
      </c>
    </row>
    <row r="282" spans="1:20" ht="18" customHeight="1">
      <c r="A282" s="9">
        <v>37500</v>
      </c>
      <c r="B282" s="4">
        <v>1.06</v>
      </c>
      <c r="C282" s="30" t="str">
        <f t="shared" si="17"/>
        <v/>
      </c>
      <c r="D282" s="41" t="str">
        <f t="shared" si="19"/>
        <v/>
      </c>
      <c r="E282" s="41" t="str">
        <f t="shared" si="20"/>
        <v/>
      </c>
      <c r="F282" s="17">
        <v>646</v>
      </c>
      <c r="G282" s="27">
        <v>81.37</v>
      </c>
      <c r="H282" s="22">
        <v>40</v>
      </c>
      <c r="I282" s="28">
        <f t="shared" si="23"/>
        <v>438.91256270564787</v>
      </c>
      <c r="J282" s="29">
        <f t="shared" si="21"/>
        <v>336.09510901591028</v>
      </c>
      <c r="K282" s="29">
        <f t="shared" si="22"/>
        <v>601.50171175354126</v>
      </c>
      <c r="T282" s="32"/>
    </row>
    <row r="283" spans="1:20" ht="18" customHeight="1">
      <c r="A283" s="9">
        <v>37469</v>
      </c>
      <c r="B283" s="4">
        <v>1.2</v>
      </c>
      <c r="C283" s="30" t="str">
        <f t="shared" si="17"/>
        <v/>
      </c>
      <c r="D283" s="41" t="str">
        <f t="shared" si="19"/>
        <v/>
      </c>
      <c r="E283" s="41" t="str">
        <f t="shared" si="20"/>
        <v/>
      </c>
      <c r="F283" s="17">
        <v>736</v>
      </c>
      <c r="G283" s="27">
        <v>92.55</v>
      </c>
      <c r="H283" s="22">
        <v>40</v>
      </c>
      <c r="I283" s="28">
        <f t="shared" si="23"/>
        <v>499.2178650412647</v>
      </c>
      <c r="J283" s="29">
        <f t="shared" si="21"/>
        <v>382.919505008839</v>
      </c>
      <c r="K283" s="29">
        <f t="shared" si="22"/>
        <v>684.1462876095643</v>
      </c>
      <c r="S283" s="32"/>
      <c r="T283" s="32"/>
    </row>
    <row r="284" spans="1:20" ht="18" customHeight="1">
      <c r="A284" s="9">
        <v>37438</v>
      </c>
      <c r="B284" s="4">
        <v>1.1599999999999999</v>
      </c>
      <c r="C284" s="30" t="str">
        <f t="shared" si="17"/>
        <v/>
      </c>
      <c r="D284" s="41" t="str">
        <f t="shared" si="19"/>
        <v/>
      </c>
      <c r="E284" s="41" t="str">
        <f t="shared" si="20"/>
        <v/>
      </c>
      <c r="F284" s="17">
        <v>718</v>
      </c>
      <c r="G284" s="27">
        <v>90.16</v>
      </c>
      <c r="H284" s="22">
        <v>35</v>
      </c>
      <c r="I284" s="28">
        <f t="shared" si="23"/>
        <v>486.32612330762208</v>
      </c>
      <c r="J284" s="29">
        <f t="shared" si="21"/>
        <v>373.55462581025324</v>
      </c>
      <c r="K284" s="29">
        <f t="shared" si="22"/>
        <v>666.47897667075438</v>
      </c>
      <c r="R284" s="33"/>
      <c r="S284" s="32"/>
      <c r="T284" s="32"/>
    </row>
    <row r="285" spans="1:20" ht="18" customHeight="1">
      <c r="A285" s="9">
        <v>37408</v>
      </c>
      <c r="B285" s="4">
        <v>1.21</v>
      </c>
      <c r="C285" s="30" t="str">
        <f t="shared" si="17"/>
        <v/>
      </c>
      <c r="D285" s="41" t="str">
        <f t="shared" si="19"/>
        <v/>
      </c>
      <c r="E285" s="41" t="str">
        <f t="shared" si="20"/>
        <v/>
      </c>
      <c r="F285" s="17">
        <v>743</v>
      </c>
      <c r="G285" s="27">
        <v>93.69</v>
      </c>
      <c r="H285" s="22">
        <v>40</v>
      </c>
      <c r="I285" s="28">
        <f t="shared" si="23"/>
        <v>505.36706402718625</v>
      </c>
      <c r="J285" s="29">
        <f t="shared" si="21"/>
        <v>386.56140247495563</v>
      </c>
      <c r="K285" s="29">
        <f t="shared" si="22"/>
        <v>692.57337316196742</v>
      </c>
      <c r="Q285" s="33"/>
      <c r="R285" s="33"/>
      <c r="S285" s="32"/>
      <c r="T285" s="32"/>
    </row>
    <row r="286" spans="1:20" ht="18" customHeight="1">
      <c r="A286" s="9">
        <v>37377</v>
      </c>
      <c r="B286" s="4">
        <v>1.34</v>
      </c>
      <c r="C286" s="30" t="str">
        <f t="shared" si="17"/>
        <v/>
      </c>
      <c r="D286" s="41" t="str">
        <f t="shared" si="19"/>
        <v/>
      </c>
      <c r="E286" s="41" t="str">
        <f t="shared" si="20"/>
        <v/>
      </c>
      <c r="F286" s="17">
        <v>796</v>
      </c>
      <c r="G286" s="27">
        <v>100.8</v>
      </c>
      <c r="H286" s="22">
        <v>35</v>
      </c>
      <c r="I286" s="28">
        <f t="shared" si="23"/>
        <v>543.71864717622339</v>
      </c>
      <c r="J286" s="29">
        <f t="shared" si="21"/>
        <v>414.13576900412471</v>
      </c>
      <c r="K286" s="29">
        <f t="shared" si="22"/>
        <v>745.13177515984967</v>
      </c>
      <c r="P286" s="33"/>
      <c r="Q286" s="33"/>
      <c r="R286" s="33"/>
      <c r="S286" s="32"/>
      <c r="T286" s="32"/>
    </row>
    <row r="287" spans="1:20" ht="18" customHeight="1">
      <c r="A287" s="9">
        <v>37347</v>
      </c>
      <c r="B287" s="4">
        <v>1.4</v>
      </c>
      <c r="C287" s="30" t="str">
        <f t="shared" si="17"/>
        <v/>
      </c>
      <c r="D287" s="41" t="str">
        <f t="shared" si="19"/>
        <v/>
      </c>
      <c r="E287" s="41" t="str">
        <f t="shared" si="20"/>
        <v/>
      </c>
      <c r="F287" s="17">
        <v>842</v>
      </c>
      <c r="G287" s="27">
        <v>106.39</v>
      </c>
      <c r="H287" s="22">
        <v>32</v>
      </c>
      <c r="I287" s="28">
        <f t="shared" si="23"/>
        <v>573.87129834403186</v>
      </c>
      <c r="J287" s="29">
        <f t="shared" si="21"/>
        <v>438.06823806717716</v>
      </c>
      <c r="K287" s="29">
        <f t="shared" si="22"/>
        <v>786.4540630878613</v>
      </c>
      <c r="O287" s="33"/>
      <c r="P287" s="33"/>
      <c r="Q287" s="33"/>
      <c r="R287" s="33"/>
      <c r="S287" s="32"/>
      <c r="T287" s="32"/>
    </row>
    <row r="288" spans="1:20" ht="18" customHeight="1">
      <c r="A288" s="9">
        <v>37316</v>
      </c>
      <c r="B288" s="7">
        <v>1.49</v>
      </c>
      <c r="C288" s="30" t="str">
        <f t="shared" si="17"/>
        <v/>
      </c>
      <c r="D288" s="41" t="str">
        <f t="shared" si="19"/>
        <v/>
      </c>
      <c r="E288" s="41" t="str">
        <f t="shared" si="20"/>
        <v/>
      </c>
      <c r="F288" s="18">
        <v>896</v>
      </c>
      <c r="G288" s="27">
        <v>111.84</v>
      </c>
      <c r="H288" s="23">
        <v>15</v>
      </c>
      <c r="I288" s="28">
        <f t="shared" si="23"/>
        <v>603.26878472409555</v>
      </c>
      <c r="J288" s="29">
        <f t="shared" si="21"/>
        <v>466.16287566293437</v>
      </c>
      <c r="K288" s="29">
        <f t="shared" si="22"/>
        <v>826.74144577259528</v>
      </c>
      <c r="N288" s="33"/>
      <c r="O288" s="33"/>
      <c r="P288" s="33"/>
      <c r="Q288" s="33"/>
      <c r="R288" s="33"/>
      <c r="S288" s="32"/>
      <c r="T288" s="32"/>
    </row>
    <row r="289" spans="1:20" ht="18" customHeight="1">
      <c r="A289" s="9">
        <v>37288</v>
      </c>
      <c r="B289" s="7">
        <v>1.363</v>
      </c>
      <c r="C289" s="30" t="str">
        <f t="shared" si="17"/>
        <v/>
      </c>
      <c r="D289" s="41" t="str">
        <f t="shared" si="19"/>
        <v/>
      </c>
      <c r="E289" s="41" t="str">
        <f t="shared" si="20"/>
        <v/>
      </c>
      <c r="F289" s="18">
        <v>820</v>
      </c>
      <c r="G289" s="27">
        <v>102.62</v>
      </c>
      <c r="H289" s="23">
        <v>15</v>
      </c>
      <c r="I289" s="28">
        <f t="shared" si="23"/>
        <v>553.53578941690523</v>
      </c>
      <c r="J289" s="29">
        <f t="shared" si="21"/>
        <v>426.62227460223903</v>
      </c>
      <c r="K289" s="29">
        <f t="shared" si="22"/>
        <v>758.58554332245808</v>
      </c>
      <c r="M289" s="33"/>
      <c r="N289" s="33"/>
      <c r="O289" s="33"/>
      <c r="P289" s="33"/>
      <c r="Q289" s="33"/>
      <c r="R289" s="33"/>
      <c r="S289" s="32"/>
      <c r="T289" s="32"/>
    </row>
    <row r="290" spans="1:20" ht="18" customHeight="1">
      <c r="A290" s="9">
        <v>37257</v>
      </c>
      <c r="B290" s="7">
        <v>1.244</v>
      </c>
      <c r="C290" s="30" t="str">
        <f t="shared" si="17"/>
        <v/>
      </c>
      <c r="D290" s="41" t="str">
        <f t="shared" si="19"/>
        <v/>
      </c>
      <c r="E290" s="41" t="str">
        <f t="shared" si="20"/>
        <v/>
      </c>
      <c r="F290" s="18">
        <v>748</v>
      </c>
      <c r="G290" s="27">
        <v>92.99</v>
      </c>
      <c r="H290" s="23">
        <v>15</v>
      </c>
      <c r="I290" s="28">
        <f t="shared" si="23"/>
        <v>501.59124008846243</v>
      </c>
      <c r="J290" s="29">
        <f t="shared" si="21"/>
        <v>389.16275780789613</v>
      </c>
      <c r="K290" s="29">
        <f t="shared" si="22"/>
        <v>687.39884694557952</v>
      </c>
      <c r="L290" s="33"/>
      <c r="M290" s="33"/>
      <c r="N290" s="33"/>
      <c r="O290" s="33"/>
      <c r="P290" s="33"/>
      <c r="Q290" s="33"/>
      <c r="R290" s="33"/>
      <c r="S290" s="32"/>
      <c r="T290" s="32"/>
    </row>
    <row r="291" spans="1:20" ht="18" customHeight="1">
      <c r="A291" s="9">
        <v>37226</v>
      </c>
      <c r="B291" s="7">
        <v>1.1539999999999999</v>
      </c>
      <c r="C291" s="30" t="str">
        <f t="shared" si="17"/>
        <v/>
      </c>
      <c r="D291" s="41" t="str">
        <f t="shared" si="19"/>
        <v/>
      </c>
      <c r="E291" s="41" t="str">
        <f t="shared" si="20"/>
        <v/>
      </c>
      <c r="F291" s="18">
        <v>694</v>
      </c>
      <c r="G291" s="27">
        <v>86.97</v>
      </c>
      <c r="H291" s="23">
        <v>15</v>
      </c>
      <c r="I291" s="28">
        <f t="shared" si="23"/>
        <v>469.11915421543796</v>
      </c>
      <c r="J291" s="29">
        <f t="shared" si="21"/>
        <v>361.06812021213892</v>
      </c>
      <c r="K291" s="29">
        <f t="shared" si="22"/>
        <v>642.89792148464403</v>
      </c>
      <c r="L291" s="33"/>
      <c r="M291" s="33"/>
      <c r="N291" s="33"/>
      <c r="O291" s="33"/>
      <c r="P291" s="33"/>
      <c r="Q291" s="33"/>
      <c r="R291" s="33"/>
      <c r="S291" s="32"/>
      <c r="T291" s="32"/>
    </row>
    <row r="292" spans="1:20" ht="18" customHeight="1">
      <c r="A292" s="9">
        <v>37196</v>
      </c>
      <c r="B292" s="7">
        <v>1.071</v>
      </c>
      <c r="C292" s="30" t="str">
        <f t="shared" si="17"/>
        <v/>
      </c>
      <c r="D292" s="41" t="str">
        <f t="shared" si="19"/>
        <v/>
      </c>
      <c r="E292" s="41" t="str">
        <f t="shared" si="20"/>
        <v/>
      </c>
      <c r="F292" s="18">
        <v>644</v>
      </c>
      <c r="G292" s="27">
        <v>80.03</v>
      </c>
      <c r="H292" s="23">
        <v>15</v>
      </c>
      <c r="I292" s="28">
        <f t="shared" si="23"/>
        <v>431.68455688009089</v>
      </c>
      <c r="J292" s="29">
        <f t="shared" si="21"/>
        <v>335.05456688273409</v>
      </c>
      <c r="K292" s="29">
        <f t="shared" si="22"/>
        <v>591.59619013931319</v>
      </c>
      <c r="L292" s="33"/>
      <c r="M292" s="33"/>
      <c r="N292" s="33"/>
      <c r="O292" s="33"/>
      <c r="P292" s="33"/>
      <c r="Q292" s="33"/>
      <c r="R292" s="33"/>
      <c r="S292" s="32"/>
      <c r="T292" s="32"/>
    </row>
    <row r="293" spans="1:20" ht="18" customHeight="1">
      <c r="A293" s="9">
        <v>37165</v>
      </c>
      <c r="B293" s="7">
        <v>0.89500000000000002</v>
      </c>
      <c r="C293" s="30" t="str">
        <f t="shared" si="17"/>
        <v/>
      </c>
      <c r="D293" s="41" t="str">
        <f t="shared" si="19"/>
        <v/>
      </c>
      <c r="E293" s="41" t="str">
        <f t="shared" si="20"/>
        <v/>
      </c>
      <c r="F293" s="18">
        <v>538</v>
      </c>
      <c r="G293" s="27">
        <v>66.44</v>
      </c>
      <c r="H293" s="23">
        <v>15</v>
      </c>
      <c r="I293" s="28">
        <f t="shared" si="23"/>
        <v>358.37963212686788</v>
      </c>
      <c r="J293" s="29">
        <f t="shared" si="21"/>
        <v>279.90583382439587</v>
      </c>
      <c r="K293" s="29">
        <f t="shared" si="22"/>
        <v>491.13645973829773</v>
      </c>
      <c r="L293" s="33"/>
      <c r="M293" s="33"/>
      <c r="N293" s="33"/>
      <c r="O293" s="33"/>
      <c r="P293" s="33"/>
      <c r="Q293" s="33"/>
      <c r="R293" s="33"/>
      <c r="S293" s="32"/>
      <c r="T293" s="32"/>
    </row>
    <row r="294" spans="1:20" ht="18" customHeight="1">
      <c r="A294" s="9">
        <v>37135</v>
      </c>
      <c r="B294" s="4">
        <v>0.79800000000000004</v>
      </c>
      <c r="C294" s="30" t="str">
        <f t="shared" si="17"/>
        <v>Risk</v>
      </c>
      <c r="D294" s="41" t="str">
        <f t="shared" si="19"/>
        <v>Risk</v>
      </c>
      <c r="E294" s="41" t="str">
        <f t="shared" si="20"/>
        <v/>
      </c>
      <c r="F294" s="17">
        <v>480</v>
      </c>
      <c r="G294" s="27">
        <v>58.91</v>
      </c>
      <c r="H294" s="22">
        <v>35</v>
      </c>
      <c r="I294" s="28">
        <f t="shared" si="23"/>
        <v>317.76255461459641</v>
      </c>
      <c r="J294" s="29">
        <f t="shared" si="21"/>
        <v>249.73011196228629</v>
      </c>
      <c r="K294" s="29">
        <f t="shared" si="22"/>
        <v>435.47334201058277</v>
      </c>
      <c r="L294" s="35">
        <f>1+(($I290/$I294)-1)*2</f>
        <v>2.1570191818027502</v>
      </c>
      <c r="M294" s="35">
        <f>1+(($I289/$I294)-1)*2</f>
        <v>2.4839585808860978</v>
      </c>
      <c r="N294" s="35">
        <f>1+(($I288/$I294)-1)*2</f>
        <v>2.7969784416907153</v>
      </c>
      <c r="O294" s="35">
        <f>1+(($I287/$I294)-1)*2</f>
        <v>2.6119504328636909</v>
      </c>
      <c r="P294" s="35">
        <f>1+(($I286/$I294)-1)*2</f>
        <v>2.4221694109658802</v>
      </c>
      <c r="Q294" s="35">
        <f>1+(($I285/$I294)-1)*2</f>
        <v>2.1807842471566801</v>
      </c>
      <c r="R294" s="35">
        <f>1+(($I284/$I294)-1)*2</f>
        <v>2.0609404175861488</v>
      </c>
      <c r="S294" s="35">
        <f>1+(($I283/$I294)-1)*2</f>
        <v>2.1420811407231377</v>
      </c>
      <c r="T294" s="35">
        <f>1+(($I282/$I294)-1)*2</f>
        <v>1.7625190969275173</v>
      </c>
    </row>
    <row r="295" spans="1:20" ht="18" customHeight="1">
      <c r="A295" s="9">
        <v>37104</v>
      </c>
      <c r="B295" s="4">
        <v>0.90600000000000003</v>
      </c>
      <c r="C295" s="30" t="str">
        <f t="shared" si="17"/>
        <v/>
      </c>
      <c r="D295" s="41" t="str">
        <f t="shared" si="19"/>
        <v/>
      </c>
      <c r="E295" s="41" t="str">
        <f t="shared" si="20"/>
        <v/>
      </c>
      <c r="F295" s="17">
        <v>545</v>
      </c>
      <c r="G295" s="27">
        <v>67.42</v>
      </c>
      <c r="H295" s="22">
        <v>35</v>
      </c>
      <c r="I295" s="28">
        <f t="shared" si="23"/>
        <v>363.66578564108119</v>
      </c>
      <c r="J295" s="29">
        <f t="shared" si="21"/>
        <v>283.54773129051256</v>
      </c>
      <c r="K295" s="29">
        <f t="shared" si="22"/>
        <v>498.38079644124082</v>
      </c>
      <c r="Q295" s="33"/>
      <c r="R295" s="33"/>
      <c r="S295" s="33"/>
      <c r="T295" s="32"/>
    </row>
    <row r="296" spans="1:20" ht="18" customHeight="1">
      <c r="A296" s="9">
        <v>37073</v>
      </c>
      <c r="B296" s="4">
        <v>0.90100000000000002</v>
      </c>
      <c r="C296" s="30" t="str">
        <f t="shared" si="17"/>
        <v/>
      </c>
      <c r="D296" s="41" t="str">
        <f t="shared" si="19"/>
        <v/>
      </c>
      <c r="E296" s="41" t="str">
        <f t="shared" si="20"/>
        <v/>
      </c>
      <c r="F296" s="17">
        <v>542</v>
      </c>
      <c r="G296" s="27">
        <v>66.98</v>
      </c>
      <c r="H296" s="22">
        <v>35</v>
      </c>
      <c r="I296" s="28">
        <f t="shared" si="23"/>
        <v>361.2924105938834</v>
      </c>
      <c r="J296" s="29">
        <f t="shared" si="21"/>
        <v>281.9869180907483</v>
      </c>
      <c r="K296" s="29">
        <f t="shared" si="22"/>
        <v>495.12823710522559</v>
      </c>
      <c r="P296" s="33"/>
      <c r="Q296" s="33"/>
      <c r="R296" s="33"/>
      <c r="S296" s="32"/>
      <c r="T296" s="32"/>
    </row>
    <row r="297" spans="1:20" ht="18" customHeight="1">
      <c r="A297" s="9">
        <v>37043</v>
      </c>
      <c r="B297" s="4">
        <v>0.98899999999999999</v>
      </c>
      <c r="C297" s="30" t="str">
        <f t="shared" si="17"/>
        <v/>
      </c>
      <c r="D297" s="41" t="str">
        <f t="shared" si="19"/>
        <v/>
      </c>
      <c r="E297" s="41" t="str">
        <f t="shared" si="20"/>
        <v/>
      </c>
      <c r="F297" s="17">
        <v>595</v>
      </c>
      <c r="G297" s="27">
        <v>73.2</v>
      </c>
      <c r="H297" s="22">
        <v>25</v>
      </c>
      <c r="I297" s="28">
        <f t="shared" si="23"/>
        <v>394.84330330654319</v>
      </c>
      <c r="J297" s="29">
        <f t="shared" si="21"/>
        <v>309.56128461991739</v>
      </c>
      <c r="K297" s="29">
        <f t="shared" si="22"/>
        <v>541.10759862798614</v>
      </c>
      <c r="O297" s="33"/>
      <c r="P297" s="33"/>
      <c r="Q297" s="33"/>
      <c r="R297" s="33"/>
      <c r="S297" s="32"/>
      <c r="T297" s="32"/>
    </row>
    <row r="298" spans="1:20" ht="18" customHeight="1">
      <c r="A298" s="9">
        <v>37012</v>
      </c>
      <c r="B298" s="5">
        <v>1.018</v>
      </c>
      <c r="C298" s="30" t="str">
        <f t="shared" si="17"/>
        <v/>
      </c>
      <c r="D298" s="41" t="str">
        <f t="shared" si="19"/>
        <v/>
      </c>
      <c r="E298" s="41" t="str">
        <f t="shared" si="20"/>
        <v/>
      </c>
      <c r="F298" s="19">
        <v>612</v>
      </c>
      <c r="G298" s="27">
        <v>76.09</v>
      </c>
      <c r="H298" s="24">
        <v>20</v>
      </c>
      <c r="I298" s="28">
        <f t="shared" si="23"/>
        <v>410.43206213927419</v>
      </c>
      <c r="J298" s="29">
        <f t="shared" si="21"/>
        <v>318.40589275191502</v>
      </c>
      <c r="K298" s="29">
        <f t="shared" si="22"/>
        <v>562.47099972135879</v>
      </c>
      <c r="N298" s="33"/>
      <c r="O298" s="33"/>
      <c r="P298" s="33"/>
      <c r="Q298" s="33"/>
      <c r="R298" s="33"/>
      <c r="S298" s="32"/>
      <c r="T298" s="32"/>
    </row>
    <row r="299" spans="1:20" ht="18" customHeight="1">
      <c r="A299" s="9">
        <v>36982</v>
      </c>
      <c r="B299" s="5">
        <v>0.95899999999999996</v>
      </c>
      <c r="C299" s="30" t="str">
        <f t="shared" si="17"/>
        <v/>
      </c>
      <c r="D299" s="41" t="str">
        <f t="shared" si="19"/>
        <v/>
      </c>
      <c r="E299" s="41" t="str">
        <f t="shared" si="20"/>
        <v/>
      </c>
      <c r="F299" s="19">
        <v>577</v>
      </c>
      <c r="G299" s="27">
        <v>72.45</v>
      </c>
      <c r="H299" s="24">
        <v>20</v>
      </c>
      <c r="I299" s="28">
        <f t="shared" si="23"/>
        <v>390.79777765791056</v>
      </c>
      <c r="J299" s="29">
        <f t="shared" si="21"/>
        <v>300.19640542133163</v>
      </c>
      <c r="K299" s="29">
        <f t="shared" si="22"/>
        <v>535.56346339614197</v>
      </c>
      <c r="M299" s="33"/>
      <c r="N299" s="33"/>
      <c r="O299" s="33"/>
      <c r="P299" s="33"/>
      <c r="Q299" s="33"/>
      <c r="R299" s="33"/>
      <c r="S299" s="32"/>
      <c r="T299" s="32"/>
    </row>
    <row r="300" spans="1:20" ht="18" customHeight="1">
      <c r="A300" s="9">
        <v>36951</v>
      </c>
      <c r="B300" s="5">
        <v>0.87</v>
      </c>
      <c r="C300" s="30" t="str">
        <f t="shared" si="17"/>
        <v/>
      </c>
      <c r="D300" s="41" t="str">
        <f t="shared" si="19"/>
        <v/>
      </c>
      <c r="E300" s="41" t="str">
        <f t="shared" si="20"/>
        <v/>
      </c>
      <c r="F300" s="19">
        <v>523</v>
      </c>
      <c r="G300" s="27">
        <v>65.16</v>
      </c>
      <c r="H300" s="24">
        <v>20</v>
      </c>
      <c r="I300" s="28">
        <f t="shared" si="23"/>
        <v>351.4752683532015</v>
      </c>
      <c r="J300" s="29">
        <f t="shared" si="21"/>
        <v>272.10176782557443</v>
      </c>
      <c r="K300" s="29">
        <f t="shared" si="22"/>
        <v>481.67446894261707</v>
      </c>
      <c r="L300" s="33"/>
      <c r="M300" s="33"/>
      <c r="N300" s="33"/>
      <c r="O300" s="33"/>
      <c r="P300" s="33"/>
      <c r="Q300" s="33"/>
      <c r="R300" s="33"/>
      <c r="S300" s="32"/>
      <c r="T300" s="32"/>
    </row>
    <row r="301" spans="1:20" ht="18" customHeight="1">
      <c r="A301" s="9">
        <v>36923</v>
      </c>
      <c r="B301" s="5">
        <v>0.96099999999999997</v>
      </c>
      <c r="C301" s="30" t="str">
        <f t="shared" si="17"/>
        <v/>
      </c>
      <c r="D301" s="41" t="str">
        <f t="shared" si="19"/>
        <v/>
      </c>
      <c r="E301" s="41" t="str">
        <f t="shared" si="20"/>
        <v/>
      </c>
      <c r="F301" s="19">
        <v>578</v>
      </c>
      <c r="G301" s="27">
        <v>72.14</v>
      </c>
      <c r="H301" s="24">
        <v>20</v>
      </c>
      <c r="I301" s="28">
        <f t="shared" si="23"/>
        <v>389.12562705647571</v>
      </c>
      <c r="J301" s="29">
        <f t="shared" si="21"/>
        <v>300.7166764879197</v>
      </c>
      <c r="K301" s="29">
        <f t="shared" si="22"/>
        <v>533.27188750031303</v>
      </c>
      <c r="L301" s="33"/>
      <c r="M301" s="33"/>
      <c r="N301" s="33"/>
      <c r="O301" s="33"/>
      <c r="P301" s="33"/>
      <c r="Q301" s="33"/>
      <c r="R301" s="33"/>
      <c r="S301" s="32"/>
      <c r="T301" s="32"/>
    </row>
    <row r="302" spans="1:20" ht="18" customHeight="1">
      <c r="A302" s="9">
        <v>36892</v>
      </c>
      <c r="B302" s="5">
        <v>1.028</v>
      </c>
      <c r="C302" s="30" t="str">
        <f t="shared" si="17"/>
        <v/>
      </c>
      <c r="D302" s="41" t="str">
        <f t="shared" si="19"/>
        <v/>
      </c>
      <c r="E302" s="41" t="str">
        <f t="shared" si="20"/>
        <v/>
      </c>
      <c r="F302" s="19">
        <v>618</v>
      </c>
      <c r="G302" s="27">
        <v>77.98</v>
      </c>
      <c r="H302" s="24">
        <v>20</v>
      </c>
      <c r="I302" s="28">
        <f t="shared" si="23"/>
        <v>420.62678677382837</v>
      </c>
      <c r="J302" s="29">
        <f t="shared" si="21"/>
        <v>321.52751915144353</v>
      </c>
      <c r="K302" s="29">
        <f t="shared" si="22"/>
        <v>576.44222050560597</v>
      </c>
      <c r="L302" s="33"/>
      <c r="M302" s="33"/>
      <c r="N302" s="33"/>
      <c r="O302" s="33"/>
      <c r="P302" s="33"/>
      <c r="Q302" s="33"/>
      <c r="R302" s="33"/>
      <c r="S302" s="32"/>
      <c r="T302" s="32"/>
    </row>
    <row r="303" spans="1:20" ht="18" customHeight="1">
      <c r="A303" s="9">
        <v>36861</v>
      </c>
      <c r="B303" s="5">
        <v>0.84</v>
      </c>
      <c r="C303" s="30" t="str">
        <f t="shared" si="17"/>
        <v>Risk</v>
      </c>
      <c r="D303" s="41" t="str">
        <f t="shared" si="19"/>
        <v/>
      </c>
      <c r="E303" s="41" t="str">
        <f t="shared" si="20"/>
        <v/>
      </c>
      <c r="F303" s="19">
        <v>505</v>
      </c>
      <c r="G303" s="27">
        <v>63.35</v>
      </c>
      <c r="H303" s="24">
        <v>20</v>
      </c>
      <c r="I303" s="28">
        <f t="shared" si="23"/>
        <v>341.7120664545015</v>
      </c>
      <c r="J303" s="29">
        <f t="shared" si="21"/>
        <v>262.73688862698867</v>
      </c>
      <c r="K303" s="29">
        <f t="shared" si="22"/>
        <v>468.29462258309997</v>
      </c>
      <c r="L303" s="33"/>
      <c r="M303" s="33"/>
      <c r="N303" s="33"/>
      <c r="O303" s="33"/>
      <c r="P303" s="33"/>
      <c r="Q303" s="33"/>
      <c r="R303" s="33"/>
      <c r="S303" s="32"/>
      <c r="T303" s="32"/>
    </row>
    <row r="304" spans="1:20" ht="18" customHeight="1">
      <c r="A304" s="9">
        <v>36831</v>
      </c>
      <c r="B304" s="4">
        <v>0.84599999999999997</v>
      </c>
      <c r="C304" s="30" t="str">
        <f t="shared" si="17"/>
        <v>Risk</v>
      </c>
      <c r="D304" s="41" t="str">
        <f t="shared" si="19"/>
        <v/>
      </c>
      <c r="E304" s="41" t="str">
        <f t="shared" si="20"/>
        <v/>
      </c>
      <c r="F304" s="17">
        <v>509</v>
      </c>
      <c r="G304" s="27">
        <v>63.48</v>
      </c>
      <c r="H304" s="25">
        <v>20</v>
      </c>
      <c r="I304" s="28">
        <f t="shared" si="23"/>
        <v>342.41329090026443</v>
      </c>
      <c r="J304" s="29">
        <f t="shared" si="21"/>
        <v>264.81797289334105</v>
      </c>
      <c r="K304" s="29">
        <f t="shared" si="22"/>
        <v>469.25560602328625</v>
      </c>
      <c r="L304" s="34">
        <f>$I300/$I304</f>
        <v>1.0264650283553876</v>
      </c>
      <c r="M304" s="34">
        <f>$I299/$I304</f>
        <v>1.1413043478260871</v>
      </c>
      <c r="N304" s="34">
        <f>$I298/$I304</f>
        <v>1.1986452425960936</v>
      </c>
      <c r="O304" s="34">
        <f>$I297/$I304</f>
        <v>1.1531190926275996</v>
      </c>
      <c r="P304" s="34">
        <f>$I296/$I304</f>
        <v>1.055135475740391</v>
      </c>
      <c r="Q304" s="34">
        <f>$I295/$I304</f>
        <v>1.0620667926906115</v>
      </c>
      <c r="R304" s="34">
        <f>$I294/$I304</f>
        <v>0.92800882167611853</v>
      </c>
      <c r="S304" s="34">
        <f t="shared" ref="S304:T304" si="24">$I294/$I304</f>
        <v>0.92800882167611853</v>
      </c>
      <c r="T304" s="34">
        <f t="shared" si="24"/>
        <v>0.92800882167611853</v>
      </c>
    </row>
    <row r="305" spans="1:11" ht="18" customHeight="1">
      <c r="A305" s="9">
        <v>36800</v>
      </c>
      <c r="B305" s="4">
        <v>0.85499999999999998</v>
      </c>
      <c r="C305" s="30" t="str">
        <f t="shared" si="17"/>
        <v/>
      </c>
      <c r="D305" s="41" t="str">
        <f t="shared" si="19"/>
        <v/>
      </c>
      <c r="E305" s="41" t="str">
        <f t="shared" si="20"/>
        <v/>
      </c>
      <c r="F305" s="17">
        <v>514</v>
      </c>
      <c r="G305" s="27">
        <v>64</v>
      </c>
      <c r="H305" s="25">
        <v>40</v>
      </c>
      <c r="I305" s="28">
        <f t="shared" si="23"/>
        <v>345.21818868331644</v>
      </c>
      <c r="J305" s="29">
        <f t="shared" si="21"/>
        <v>267.41932822628155</v>
      </c>
      <c r="K305" s="29">
        <f t="shared" si="22"/>
        <v>473.09953978403155</v>
      </c>
    </row>
    <row r="306" spans="1:11" ht="18" customHeight="1">
      <c r="A306" s="9">
        <v>36770</v>
      </c>
      <c r="B306" s="4">
        <v>1.0189999999999999</v>
      </c>
      <c r="C306" s="30" t="str">
        <f t="shared" si="17"/>
        <v/>
      </c>
      <c r="D306" s="41" t="str">
        <f t="shared" si="19"/>
        <v/>
      </c>
      <c r="E306" s="41" t="str">
        <f t="shared" si="20"/>
        <v/>
      </c>
      <c r="F306" s="17">
        <v>613</v>
      </c>
      <c r="G306" s="27">
        <v>76.37</v>
      </c>
      <c r="H306" s="25">
        <v>40</v>
      </c>
      <c r="I306" s="28">
        <f t="shared" si="23"/>
        <v>411.94239171476374</v>
      </c>
      <c r="J306" s="29">
        <f t="shared" si="21"/>
        <v>318.92616381850308</v>
      </c>
      <c r="K306" s="29">
        <f t="shared" si="22"/>
        <v>564.54081020791398</v>
      </c>
    </row>
    <row r="307" spans="1:11" ht="18" customHeight="1">
      <c r="A307" s="9">
        <v>36739</v>
      </c>
      <c r="B307" s="4">
        <v>1.1459999999999999</v>
      </c>
      <c r="C307" s="30" t="str">
        <f t="shared" si="17"/>
        <v/>
      </c>
      <c r="D307" s="41" t="str">
        <f t="shared" si="19"/>
        <v/>
      </c>
      <c r="E307" s="41" t="str">
        <f t="shared" si="20"/>
        <v/>
      </c>
      <c r="F307" s="17">
        <v>689</v>
      </c>
      <c r="G307" s="27">
        <v>86.54</v>
      </c>
      <c r="H307" s="25">
        <v>20</v>
      </c>
      <c r="I307" s="28">
        <f t="shared" si="23"/>
        <v>466.79971951022202</v>
      </c>
      <c r="J307" s="29">
        <f t="shared" si="21"/>
        <v>358.46676487919842</v>
      </c>
      <c r="K307" s="29">
        <f t="shared" si="22"/>
        <v>639.71928395172029</v>
      </c>
    </row>
    <row r="308" spans="1:11" ht="18" customHeight="1">
      <c r="A308" s="9">
        <v>36708</v>
      </c>
      <c r="B308" s="4">
        <v>1.1739999999999999</v>
      </c>
      <c r="C308" s="30" t="str">
        <f t="shared" si="17"/>
        <v/>
      </c>
      <c r="D308" s="41" t="str">
        <f t="shared" si="19"/>
        <v/>
      </c>
      <c r="E308" s="41" t="str">
        <f t="shared" si="20"/>
        <v/>
      </c>
      <c r="F308" s="17">
        <v>706</v>
      </c>
      <c r="G308" s="27">
        <v>89.35</v>
      </c>
      <c r="H308" s="25">
        <v>40</v>
      </c>
      <c r="I308" s="28">
        <f t="shared" si="23"/>
        <v>481.95695560709885</v>
      </c>
      <c r="J308" s="29">
        <f t="shared" si="21"/>
        <v>367.31137301119611</v>
      </c>
      <c r="K308" s="29">
        <f t="shared" si="22"/>
        <v>660.49131062036292</v>
      </c>
    </row>
    <row r="309" spans="1:11" ht="18" customHeight="1">
      <c r="A309" s="9">
        <v>36678</v>
      </c>
      <c r="B309" s="4">
        <v>1.365</v>
      </c>
      <c r="C309" s="30" t="str">
        <f t="shared" si="17"/>
        <v/>
      </c>
      <c r="D309" s="41" t="str">
        <f t="shared" si="19"/>
        <v/>
      </c>
      <c r="E309" s="41" t="str">
        <f t="shared" si="20"/>
        <v/>
      </c>
      <c r="F309" s="17">
        <v>821</v>
      </c>
      <c r="G309" s="27">
        <v>104.43</v>
      </c>
      <c r="H309" s="25">
        <v>20</v>
      </c>
      <c r="I309" s="28">
        <f t="shared" si="23"/>
        <v>563.29899131560535</v>
      </c>
      <c r="J309" s="29">
        <f t="shared" si="21"/>
        <v>427.14254566882715</v>
      </c>
      <c r="K309" s="29">
        <f t="shared" si="22"/>
        <v>771.96538968197547</v>
      </c>
    </row>
    <row r="310" spans="1:11" ht="18" customHeight="1">
      <c r="A310" s="9">
        <v>36647</v>
      </c>
      <c r="B310" s="4">
        <v>1.2170000000000001</v>
      </c>
      <c r="C310" s="30" t="str">
        <f t="shared" si="17"/>
        <v/>
      </c>
      <c r="D310" s="41" t="str">
        <f t="shared" si="19"/>
        <v/>
      </c>
      <c r="E310" s="41" t="str">
        <f t="shared" si="20"/>
        <v/>
      </c>
      <c r="F310" s="17">
        <v>732</v>
      </c>
      <c r="G310" s="27">
        <v>92.74</v>
      </c>
      <c r="H310" s="25">
        <v>30</v>
      </c>
      <c r="I310" s="28">
        <f t="shared" si="23"/>
        <v>500.24273153891829</v>
      </c>
      <c r="J310" s="29">
        <f t="shared" si="21"/>
        <v>380.83842074248656</v>
      </c>
      <c r="K310" s="29">
        <f t="shared" si="22"/>
        <v>685.55080186829844</v>
      </c>
    </row>
    <row r="311" spans="1:11" ht="18" customHeight="1">
      <c r="A311" s="9">
        <v>36617</v>
      </c>
      <c r="B311" s="4">
        <v>1.2050000000000001</v>
      </c>
      <c r="C311" s="30" t="str">
        <f t="shared" si="17"/>
        <v/>
      </c>
      <c r="D311" s="41" t="str">
        <f t="shared" si="19"/>
        <v/>
      </c>
      <c r="E311" s="41" t="str">
        <f t="shared" si="20"/>
        <v/>
      </c>
      <c r="F311" s="17">
        <v>725</v>
      </c>
      <c r="G311" s="27">
        <v>91.21</v>
      </c>
      <c r="H311" s="25">
        <v>40</v>
      </c>
      <c r="I311" s="28">
        <f t="shared" si="23"/>
        <v>491.98985921570778</v>
      </c>
      <c r="J311" s="29">
        <f t="shared" si="21"/>
        <v>377.19652327636993</v>
      </c>
      <c r="K311" s="29">
        <f t="shared" si="22"/>
        <v>674.24076599533646</v>
      </c>
    </row>
    <row r="312" spans="1:11" ht="18" customHeight="1">
      <c r="A312" s="9">
        <v>36586</v>
      </c>
      <c r="B312" s="4">
        <v>1.4319999999999999</v>
      </c>
      <c r="C312" s="30" t="str">
        <f t="shared" si="17"/>
        <v/>
      </c>
      <c r="D312" s="41" t="str">
        <f t="shared" si="19"/>
        <v/>
      </c>
      <c r="E312" s="41" t="str">
        <f t="shared" si="20"/>
        <v/>
      </c>
      <c r="F312" s="17">
        <v>861</v>
      </c>
      <c r="G312" s="27">
        <v>108.03</v>
      </c>
      <c r="H312" s="25">
        <v>30</v>
      </c>
      <c r="I312" s="28">
        <f t="shared" si="23"/>
        <v>582.7175144290419</v>
      </c>
      <c r="J312" s="29">
        <f t="shared" si="21"/>
        <v>447.95338833235104</v>
      </c>
      <c r="K312" s="29">
        <f t="shared" si="22"/>
        <v>798.57723879482728</v>
      </c>
    </row>
    <row r="313" spans="1:11" ht="18" customHeight="1">
      <c r="A313" s="9">
        <v>36557</v>
      </c>
      <c r="B313" s="4">
        <v>1.377</v>
      </c>
      <c r="C313" s="30" t="str">
        <f t="shared" si="17"/>
        <v/>
      </c>
      <c r="D313" s="41" t="str">
        <f t="shared" si="19"/>
        <v/>
      </c>
      <c r="E313" s="41" t="str">
        <f t="shared" si="20"/>
        <v/>
      </c>
      <c r="F313" s="17">
        <v>828</v>
      </c>
      <c r="G313" s="27">
        <v>103.17</v>
      </c>
      <c r="H313" s="25">
        <v>40</v>
      </c>
      <c r="I313" s="28">
        <f t="shared" si="23"/>
        <v>556.50250822590249</v>
      </c>
      <c r="J313" s="29">
        <f t="shared" si="21"/>
        <v>430.78444313494384</v>
      </c>
      <c r="K313" s="29">
        <f t="shared" si="22"/>
        <v>762.65124249247731</v>
      </c>
    </row>
    <row r="314" spans="1:11" ht="18" customHeight="1">
      <c r="A314" s="9">
        <v>36526</v>
      </c>
      <c r="B314" s="4">
        <v>1.57</v>
      </c>
      <c r="C314" s="30" t="str">
        <f t="shared" si="17"/>
        <v/>
      </c>
      <c r="D314" s="41" t="str">
        <f t="shared" si="19"/>
        <v/>
      </c>
      <c r="E314" s="41" t="str">
        <f t="shared" si="20"/>
        <v/>
      </c>
      <c r="F314" s="17">
        <v>944</v>
      </c>
      <c r="G314" s="27">
        <v>119.08</v>
      </c>
      <c r="H314" s="25">
        <v>40</v>
      </c>
      <c r="I314" s="28">
        <f t="shared" si="23"/>
        <v>642.32159231889568</v>
      </c>
      <c r="J314" s="29">
        <f t="shared" si="21"/>
        <v>491.13588685916301</v>
      </c>
      <c r="K314" s="29">
        <f t="shared" si="22"/>
        <v>880.26083121066392</v>
      </c>
    </row>
    <row r="315" spans="1:11" ht="18" customHeight="1">
      <c r="A315" s="9">
        <v>36495</v>
      </c>
      <c r="B315" s="8">
        <v>1.7090000000000001</v>
      </c>
      <c r="C315" s="30" t="str">
        <f t="shared" si="17"/>
        <v/>
      </c>
      <c r="D315" s="41" t="str">
        <f t="shared" si="19"/>
        <v/>
      </c>
      <c r="E315" s="41" t="str">
        <f t="shared" si="20"/>
        <v/>
      </c>
      <c r="F315" s="20">
        <v>1028</v>
      </c>
      <c r="G315" s="27">
        <v>130.02000000000001</v>
      </c>
      <c r="H315" s="26">
        <v>20</v>
      </c>
      <c r="I315" s="28">
        <f t="shared" si="23"/>
        <v>701.33232644695011</v>
      </c>
      <c r="J315" s="29">
        <f t="shared" si="21"/>
        <v>534.8386564525631</v>
      </c>
      <c r="K315" s="29">
        <f t="shared" si="22"/>
        <v>961.1312837924969</v>
      </c>
    </row>
    <row r="316" spans="1:11" ht="18" customHeight="1">
      <c r="A316" s="9">
        <v>36465</v>
      </c>
      <c r="B316" s="8">
        <v>1.6579999999999999</v>
      </c>
      <c r="C316" s="30" t="str">
        <f t="shared" si="17"/>
        <v/>
      </c>
      <c r="D316" s="41" t="str">
        <f t="shared" si="19"/>
        <v/>
      </c>
      <c r="E316" s="41" t="str">
        <f t="shared" si="20"/>
        <v/>
      </c>
      <c r="F316" s="20">
        <v>997</v>
      </c>
      <c r="G316" s="27">
        <v>123.59</v>
      </c>
      <c r="H316" s="26">
        <v>20</v>
      </c>
      <c r="I316" s="28">
        <f t="shared" si="23"/>
        <v>666.6486865526731</v>
      </c>
      <c r="J316" s="29">
        <f t="shared" si="21"/>
        <v>518.71025338833215</v>
      </c>
      <c r="K316" s="29">
        <f t="shared" si="22"/>
        <v>913.59956440481994</v>
      </c>
    </row>
    <row r="317" spans="1:11" ht="18" customHeight="1">
      <c r="A317" s="9">
        <v>36434</v>
      </c>
      <c r="B317" s="8">
        <v>1.387</v>
      </c>
      <c r="C317" s="30" t="str">
        <f t="shared" si="17"/>
        <v/>
      </c>
      <c r="D317" s="41" t="str">
        <f t="shared" si="19"/>
        <v/>
      </c>
      <c r="E317" s="41" t="str">
        <f t="shared" si="20"/>
        <v/>
      </c>
      <c r="F317" s="20">
        <v>834</v>
      </c>
      <c r="G317" s="27">
        <v>100.19</v>
      </c>
      <c r="H317" s="26">
        <v>20</v>
      </c>
      <c r="I317" s="28">
        <f t="shared" si="23"/>
        <v>540.42828631533553</v>
      </c>
      <c r="J317" s="29">
        <f t="shared" si="21"/>
        <v>433.90606953447241</v>
      </c>
      <c r="K317" s="29">
        <f t="shared" si="22"/>
        <v>740.62254517128326</v>
      </c>
    </row>
    <row r="318" spans="1:11" ht="18" customHeight="1">
      <c r="A318" s="9">
        <v>36404</v>
      </c>
      <c r="B318" s="8">
        <v>1.39</v>
      </c>
      <c r="C318" s="30" t="str">
        <f t="shared" si="17"/>
        <v/>
      </c>
      <c r="D318" s="41" t="str">
        <f t="shared" si="19"/>
        <v/>
      </c>
      <c r="E318" s="41" t="str">
        <f t="shared" si="20"/>
        <v/>
      </c>
      <c r="F318" s="20">
        <v>836</v>
      </c>
      <c r="G318" s="27">
        <v>100.71</v>
      </c>
      <c r="H318" s="26">
        <v>20</v>
      </c>
      <c r="I318" s="28">
        <f t="shared" si="23"/>
        <v>543.23318409838748</v>
      </c>
      <c r="J318" s="29">
        <f t="shared" si="21"/>
        <v>434.9466116676486</v>
      </c>
      <c r="K318" s="29">
        <f t="shared" si="22"/>
        <v>744.46647893202851</v>
      </c>
    </row>
    <row r="319" spans="1:11" ht="18" customHeight="1">
      <c r="A319" s="9">
        <v>36373</v>
      </c>
      <c r="B319" s="8">
        <v>1.56</v>
      </c>
      <c r="C319" s="30" t="str">
        <f t="shared" si="17"/>
        <v/>
      </c>
      <c r="D319" s="41" t="str">
        <f t="shared" si="19"/>
        <v/>
      </c>
      <c r="E319" s="41" t="str">
        <f t="shared" si="20"/>
        <v/>
      </c>
      <c r="F319" s="20">
        <v>938</v>
      </c>
      <c r="G319" s="27">
        <v>112.79</v>
      </c>
      <c r="H319" s="26">
        <v>20</v>
      </c>
      <c r="I319" s="28">
        <f t="shared" si="23"/>
        <v>608.39311721236356</v>
      </c>
      <c r="J319" s="29">
        <f t="shared" si="21"/>
        <v>488.01426045963439</v>
      </c>
      <c r="K319" s="29">
        <f t="shared" si="22"/>
        <v>833.76401706626461</v>
      </c>
    </row>
    <row r="320" spans="1:11" ht="18" customHeight="1">
      <c r="A320" s="9">
        <v>36342</v>
      </c>
      <c r="B320" s="8">
        <v>1.613</v>
      </c>
      <c r="C320" s="30" t="str">
        <f t="shared" si="17"/>
        <v/>
      </c>
      <c r="D320" s="41" t="str">
        <f t="shared" si="19"/>
        <v/>
      </c>
      <c r="E320" s="41" t="str">
        <f t="shared" si="20"/>
        <v/>
      </c>
      <c r="F320" s="20">
        <v>970</v>
      </c>
      <c r="G320" s="27">
        <v>116.14</v>
      </c>
      <c r="H320" s="26">
        <v>20</v>
      </c>
      <c r="I320" s="28">
        <f t="shared" si="23"/>
        <v>626.46313177625586</v>
      </c>
      <c r="J320" s="29">
        <f t="shared" si="21"/>
        <v>504.66293459045346</v>
      </c>
      <c r="K320" s="29">
        <f t="shared" si="22"/>
        <v>858.52782110183489</v>
      </c>
    </row>
    <row r="321" spans="1:11" ht="18" customHeight="1">
      <c r="A321" s="9">
        <v>36312</v>
      </c>
      <c r="B321" s="8">
        <v>1.468</v>
      </c>
      <c r="C321" s="30" t="str">
        <f t="shared" si="17"/>
        <v/>
      </c>
      <c r="D321" s="41" t="str">
        <f t="shared" si="19"/>
        <v/>
      </c>
      <c r="E321" s="41" t="str">
        <f t="shared" si="20"/>
        <v/>
      </c>
      <c r="F321" s="20">
        <v>883</v>
      </c>
      <c r="G321" s="27">
        <v>105.47</v>
      </c>
      <c r="H321" s="26">
        <v>20</v>
      </c>
      <c r="I321" s="28">
        <f t="shared" si="23"/>
        <v>568.90878688170926</v>
      </c>
      <c r="J321" s="29">
        <f t="shared" si="21"/>
        <v>459.39935179728906</v>
      </c>
      <c r="K321" s="29">
        <f t="shared" si="22"/>
        <v>779.65325720346596</v>
      </c>
    </row>
    <row r="322" spans="1:11" ht="18" customHeight="1">
      <c r="A322" s="9">
        <v>36281</v>
      </c>
      <c r="B322" s="8">
        <v>1.224</v>
      </c>
      <c r="C322" s="30" t="str">
        <f t="shared" si="17"/>
        <v/>
      </c>
      <c r="D322" s="41" t="str">
        <f t="shared" si="19"/>
        <v/>
      </c>
      <c r="E322" s="41" t="str">
        <f t="shared" si="20"/>
        <v/>
      </c>
      <c r="F322" s="20">
        <v>736</v>
      </c>
      <c r="G322" s="27">
        <v>85.68</v>
      </c>
      <c r="H322" s="26">
        <v>20</v>
      </c>
      <c r="I322" s="28">
        <f t="shared" si="23"/>
        <v>462.16085009979003</v>
      </c>
      <c r="J322" s="29">
        <f t="shared" si="21"/>
        <v>382.91950500883888</v>
      </c>
      <c r="K322" s="29">
        <f t="shared" si="22"/>
        <v>633.36200888587246</v>
      </c>
    </row>
    <row r="323" spans="1:11" ht="18" customHeight="1">
      <c r="A323" s="9">
        <v>36251</v>
      </c>
      <c r="B323" s="8">
        <v>1.252</v>
      </c>
      <c r="C323" s="30" t="str">
        <f t="shared" si="17"/>
        <v/>
      </c>
      <c r="D323" s="41" t="str">
        <f t="shared" si="19"/>
        <v/>
      </c>
      <c r="E323" s="41" t="str">
        <f t="shared" si="20"/>
        <v/>
      </c>
      <c r="F323" s="20">
        <v>753</v>
      </c>
      <c r="G323" s="27">
        <v>87.15</v>
      </c>
      <c r="H323" s="26">
        <v>20</v>
      </c>
      <c r="I323" s="28">
        <f t="shared" si="23"/>
        <v>470.09008037110993</v>
      </c>
      <c r="J323" s="29">
        <f t="shared" si="21"/>
        <v>391.76411314083651</v>
      </c>
      <c r="K323" s="29">
        <f t="shared" si="22"/>
        <v>644.22851394028692</v>
      </c>
    </row>
    <row r="324" spans="1:11" ht="18" customHeight="1">
      <c r="A324" s="9">
        <v>36220</v>
      </c>
      <c r="B324" s="8">
        <v>1.0289999999999999</v>
      </c>
      <c r="C324" s="30" t="str">
        <f t="shared" ref="C324:C326" si="25">IF(B324&lt;=C$1, "Risk", "")</f>
        <v/>
      </c>
      <c r="D324" s="41" t="str">
        <f t="shared" si="19"/>
        <v/>
      </c>
      <c r="E324" s="41" t="str">
        <f t="shared" si="20"/>
        <v/>
      </c>
      <c r="F324" s="20">
        <v>619</v>
      </c>
      <c r="G324" s="27">
        <v>71.84</v>
      </c>
      <c r="H324" s="26">
        <v>20</v>
      </c>
      <c r="I324" s="28">
        <f t="shared" si="23"/>
        <v>387.50741679702281</v>
      </c>
      <c r="J324" s="29">
        <f t="shared" si="21"/>
        <v>322.04779021803165</v>
      </c>
      <c r="K324" s="29">
        <f t="shared" si="22"/>
        <v>531.05423340757557</v>
      </c>
    </row>
    <row r="325" spans="1:11" ht="18" customHeight="1">
      <c r="A325" s="9">
        <v>36192</v>
      </c>
      <c r="B325" s="8">
        <v>0.86499999999999999</v>
      </c>
      <c r="C325" s="30" t="str">
        <f t="shared" si="25"/>
        <v/>
      </c>
      <c r="D325" s="41" t="str">
        <f t="shared" ref="D325:D326" si="26">IF(B325&lt;=D$1, "Risk", "")</f>
        <v/>
      </c>
      <c r="E325" s="41" t="str">
        <f t="shared" ref="E325:E326" si="27">IF(B325&lt;=E$1, "Risk", "")</f>
        <v/>
      </c>
      <c r="F325" s="20">
        <v>520</v>
      </c>
      <c r="G325" s="27">
        <v>60.28</v>
      </c>
      <c r="H325" s="26">
        <v>20</v>
      </c>
      <c r="I325" s="28">
        <f t="shared" si="23"/>
        <v>325.15238146609875</v>
      </c>
      <c r="J325" s="29">
        <f t="shared" si="21"/>
        <v>270.54095462581012</v>
      </c>
      <c r="K325" s="29">
        <f t="shared" si="22"/>
        <v>445.60062903408482</v>
      </c>
    </row>
    <row r="326" spans="1:11" ht="18" customHeight="1">
      <c r="A326" s="9">
        <v>36161</v>
      </c>
      <c r="B326" s="8">
        <v>0.94899999999999995</v>
      </c>
      <c r="C326" s="30" t="str">
        <f t="shared" si="25"/>
        <v/>
      </c>
      <c r="D326" s="41" t="str">
        <f t="shared" si="26"/>
        <v/>
      </c>
      <c r="E326" s="41" t="str">
        <f t="shared" si="27"/>
        <v/>
      </c>
      <c r="F326" s="20">
        <v>571</v>
      </c>
      <c r="G326" s="27">
        <v>65.72</v>
      </c>
      <c r="H326" s="26">
        <v>20</v>
      </c>
      <c r="I326" s="28">
        <f t="shared" si="23"/>
        <v>354.4959275041806</v>
      </c>
      <c r="J326" s="29">
        <f t="shared" si="21"/>
        <v>297.07477902180307</v>
      </c>
      <c r="K326" s="29">
        <f t="shared" si="22"/>
        <v>485.81408991572744</v>
      </c>
    </row>
  </sheetData>
  <phoneticPr fontId="1" type="noConversion"/>
  <conditionalFormatting sqref="C1:E1048576">
    <cfRule type="containsText" dxfId="65" priority="3" operator="containsText" text="Risk">
      <formula>NOT(ISERROR(SEARCH("Risk",C1)))</formula>
    </cfRule>
  </conditionalFormatting>
  <conditionalFormatting sqref="L4:T71 L73:T326">
    <cfRule type="cellIs" dxfId="64" priority="2" operator="lessThan">
      <formula>1</formula>
    </cfRule>
  </conditionalFormatting>
  <conditionalFormatting sqref="L72:T72">
    <cfRule type="cellIs" dxfId="63" priority="1" operator="lessThan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9E746-3C81-49A8-82C1-6E6BE6E569A5}">
  <dimension ref="A1:U326"/>
  <sheetViews>
    <sheetView zoomScale="85" zoomScaleNormal="85" workbookViewId="0">
      <pane ySplit="1" topLeftCell="A1048539" activePane="bottomLeft" state="frozen"/>
      <selection pane="bottomLeft" activeCell="Q1048576" sqref="Q1048576"/>
    </sheetView>
  </sheetViews>
  <sheetFormatPr defaultColWidth="21" defaultRowHeight="16.5"/>
  <cols>
    <col min="1" max="1" width="11.625" style="2" customWidth="1"/>
    <col min="2" max="2" width="10.875" style="6" customWidth="1"/>
    <col min="3" max="4" width="7.75" style="31" customWidth="1"/>
    <col min="5" max="5" width="8.875" style="6" customWidth="1"/>
    <col min="6" max="6" width="11.625" style="6" hidden="1" customWidth="1"/>
    <col min="7" max="8" width="11.625" style="6" customWidth="1"/>
    <col min="9" max="10" width="11.625" style="2" hidden="1" customWidth="1"/>
    <col min="11" max="19" width="8.75" style="2" customWidth="1"/>
    <col min="20" max="16384" width="21" style="2"/>
  </cols>
  <sheetData>
    <row r="1" spans="1:20" ht="18" customHeight="1">
      <c r="A1" s="10" t="s">
        <v>3</v>
      </c>
      <c r="B1" s="45" t="s">
        <v>2</v>
      </c>
      <c r="C1" s="46">
        <v>0.9</v>
      </c>
      <c r="D1" s="46">
        <v>0.85</v>
      </c>
      <c r="E1" s="47" t="s">
        <v>0</v>
      </c>
      <c r="F1" s="47" t="s">
        <v>1</v>
      </c>
      <c r="G1" s="47" t="s">
        <v>4</v>
      </c>
      <c r="H1" s="48" t="s">
        <v>5</v>
      </c>
      <c r="I1" s="49" t="s">
        <v>6</v>
      </c>
      <c r="J1" s="49" t="s">
        <v>7</v>
      </c>
      <c r="K1" s="49" t="s">
        <v>9</v>
      </c>
      <c r="L1" s="49" t="s">
        <v>10</v>
      </c>
      <c r="M1" s="49" t="s">
        <v>8</v>
      </c>
      <c r="N1" s="49" t="s">
        <v>11</v>
      </c>
      <c r="O1" s="49" t="s">
        <v>12</v>
      </c>
      <c r="P1" s="49" t="s">
        <v>13</v>
      </c>
      <c r="Q1" s="54" t="s">
        <v>14</v>
      </c>
      <c r="R1" s="49" t="s">
        <v>15</v>
      </c>
      <c r="S1" s="49" t="s">
        <v>16</v>
      </c>
      <c r="T1" s="53" t="s">
        <v>17</v>
      </c>
    </row>
    <row r="2" spans="1:20" ht="18" customHeight="1">
      <c r="A2" s="10"/>
      <c r="B2" s="45"/>
      <c r="C2" s="46" t="s">
        <v>21</v>
      </c>
      <c r="D2" s="46" t="s">
        <v>20</v>
      </c>
      <c r="E2" s="47"/>
      <c r="F2" s="47"/>
      <c r="G2" s="47"/>
      <c r="H2" s="48"/>
      <c r="I2" s="49"/>
      <c r="J2" s="49"/>
      <c r="K2" s="50">
        <f>PRODUCT(K4:K326)</f>
        <v>17.807218670270174</v>
      </c>
      <c r="L2" s="50">
        <f t="shared" ref="L2:S2" si="0">PRODUCT(L4:L326)</f>
        <v>29.351743820859589</v>
      </c>
      <c r="M2" s="50">
        <f t="shared" si="0"/>
        <v>50.088153240649277</v>
      </c>
      <c r="N2" s="50">
        <f t="shared" si="0"/>
        <v>30.864506906287129</v>
      </c>
      <c r="O2" s="50">
        <f t="shared" si="0"/>
        <v>39.451820802291145</v>
      </c>
      <c r="P2" s="50">
        <f t="shared" si="0"/>
        <v>59.592687602075607</v>
      </c>
      <c r="Q2" s="51">
        <f t="shared" si="0"/>
        <v>74.993237113463948</v>
      </c>
      <c r="R2" s="50">
        <f t="shared" si="0"/>
        <v>58.275269480388999</v>
      </c>
      <c r="S2" s="50">
        <f t="shared" si="0"/>
        <v>42.177690634308853</v>
      </c>
      <c r="T2" s="78">
        <f>Q2^(1/27)-1</f>
        <v>0.17339778205403245</v>
      </c>
    </row>
    <row r="3" spans="1:20" ht="18" customHeight="1">
      <c r="A3" s="10"/>
      <c r="B3" s="62"/>
      <c r="C3" s="63"/>
      <c r="D3" s="63"/>
      <c r="E3" s="64"/>
      <c r="F3" s="64"/>
      <c r="G3" s="64"/>
      <c r="H3" s="65"/>
      <c r="I3" s="66"/>
      <c r="J3" s="66"/>
      <c r="K3" s="67">
        <f>COUNTIF(K4:K326, "&lt;1")</f>
        <v>4</v>
      </c>
      <c r="L3" s="67">
        <f t="shared" ref="L3:S3" si="1">COUNTIF(L4:L326, "&lt;1")</f>
        <v>4</v>
      </c>
      <c r="M3" s="67">
        <f t="shared" si="1"/>
        <v>4</v>
      </c>
      <c r="N3" s="67">
        <f t="shared" si="1"/>
        <v>5</v>
      </c>
      <c r="O3" s="67">
        <f t="shared" si="1"/>
        <v>4</v>
      </c>
      <c r="P3" s="67">
        <f t="shared" si="1"/>
        <v>4</v>
      </c>
      <c r="Q3" s="67">
        <f t="shared" si="1"/>
        <v>4</v>
      </c>
      <c r="R3" s="67">
        <f t="shared" si="1"/>
        <v>4</v>
      </c>
      <c r="S3" s="67">
        <f t="shared" si="1"/>
        <v>3</v>
      </c>
      <c r="T3" s="1" t="s">
        <v>18</v>
      </c>
    </row>
    <row r="4" spans="1:20" ht="18" customHeight="1">
      <c r="A4" s="9">
        <v>45962</v>
      </c>
      <c r="B4" s="40">
        <v>1.29</v>
      </c>
      <c r="C4" s="41" t="str">
        <f t="shared" ref="C4:C67" si="2">IF(B4&lt;=C$1, "Risk", "")</f>
        <v/>
      </c>
      <c r="D4" s="41" t="str">
        <f>IF(B4&lt;=D$1, "Risk", "")</f>
        <v/>
      </c>
      <c r="E4" s="42">
        <v>3853.26</v>
      </c>
      <c r="F4" s="42">
        <v>540.36</v>
      </c>
      <c r="G4" s="42">
        <v>41.88</v>
      </c>
      <c r="H4" s="42">
        <v>2666.12</v>
      </c>
      <c r="I4" s="43">
        <v>863.95</v>
      </c>
      <c r="J4" s="43">
        <v>1517.92</v>
      </c>
      <c r="R4" s="33"/>
      <c r="S4" s="32"/>
    </row>
    <row r="5" spans="1:20" ht="18" customHeight="1">
      <c r="A5" s="9">
        <v>45931</v>
      </c>
      <c r="B5" s="10">
        <v>1.38</v>
      </c>
      <c r="C5" s="30" t="str">
        <f t="shared" si="2"/>
        <v/>
      </c>
      <c r="D5" s="41" t="str">
        <f t="shared" ref="D5:D68" si="3">IF(B5&lt;=D$1, "Risk", "")</f>
        <v/>
      </c>
      <c r="E5" s="16">
        <v>4107.5</v>
      </c>
      <c r="F5" s="16">
        <v>579.46</v>
      </c>
      <c r="G5" s="16">
        <v>30.4</v>
      </c>
      <c r="H5" s="16">
        <v>2862.4</v>
      </c>
      <c r="I5" s="14">
        <v>900.42</v>
      </c>
      <c r="J5" s="14">
        <v>1549.34</v>
      </c>
      <c r="Q5" s="33"/>
      <c r="R5" s="33"/>
      <c r="S5" s="32"/>
    </row>
    <row r="6" spans="1:20" ht="18" customHeight="1">
      <c r="A6" s="9">
        <v>45901</v>
      </c>
      <c r="B6" s="3">
        <v>1.146595</v>
      </c>
      <c r="C6" s="30" t="str">
        <f t="shared" si="2"/>
        <v/>
      </c>
      <c r="D6" s="41" t="str">
        <f t="shared" si="3"/>
        <v/>
      </c>
      <c r="E6" s="16">
        <v>3424.6</v>
      </c>
      <c r="F6" s="16">
        <v>474.03</v>
      </c>
      <c r="G6" s="16">
        <v>20.62</v>
      </c>
      <c r="H6" s="16">
        <v>2343.75</v>
      </c>
      <c r="I6" s="14">
        <v>841.99</v>
      </c>
      <c r="J6" s="14">
        <v>1407.18</v>
      </c>
      <c r="P6" s="33"/>
      <c r="Q6" s="33"/>
      <c r="R6" s="32"/>
      <c r="S6" s="32"/>
    </row>
    <row r="7" spans="1:20" ht="18" customHeight="1">
      <c r="A7" s="9">
        <v>45870</v>
      </c>
      <c r="B7" s="3">
        <v>1.072565</v>
      </c>
      <c r="C7" s="30" t="str">
        <f t="shared" si="2"/>
        <v/>
      </c>
      <c r="D7" s="41" t="str">
        <f t="shared" si="3"/>
        <v/>
      </c>
      <c r="E7" s="16">
        <v>3186.01</v>
      </c>
      <c r="F7" s="16">
        <v>430.12</v>
      </c>
      <c r="G7" s="16">
        <v>19.52</v>
      </c>
      <c r="H7" s="16">
        <v>2127.69</v>
      </c>
      <c r="I7" s="14">
        <v>796.91</v>
      </c>
      <c r="J7" s="14">
        <v>1336.98</v>
      </c>
      <c r="O7" s="33"/>
      <c r="P7" s="33"/>
      <c r="Q7" s="33"/>
      <c r="R7" s="32"/>
      <c r="S7" s="32"/>
    </row>
    <row r="8" spans="1:20" ht="18" customHeight="1">
      <c r="A8" s="9">
        <v>45839</v>
      </c>
      <c r="B8" s="3">
        <v>1.091499</v>
      </c>
      <c r="C8" s="30" t="str">
        <f t="shared" si="2"/>
        <v/>
      </c>
      <c r="D8" s="41" t="str">
        <f t="shared" si="3"/>
        <v/>
      </c>
      <c r="E8" s="16">
        <v>3245.44</v>
      </c>
      <c r="F8" s="16">
        <v>438.6</v>
      </c>
      <c r="G8" s="16">
        <v>21.85</v>
      </c>
      <c r="H8" s="16">
        <v>2163.7600000000002</v>
      </c>
      <c r="I8" s="14">
        <v>805.24</v>
      </c>
      <c r="J8" s="14">
        <v>1352.23</v>
      </c>
      <c r="N8" s="33"/>
      <c r="O8" s="33"/>
      <c r="P8" s="33"/>
      <c r="Q8" s="33"/>
      <c r="R8" s="32"/>
      <c r="S8" s="32"/>
    </row>
    <row r="9" spans="1:20" ht="18" customHeight="1">
      <c r="A9" s="9">
        <v>45809</v>
      </c>
      <c r="B9" s="11">
        <v>1.032691</v>
      </c>
      <c r="C9" s="30" t="str">
        <f t="shared" si="2"/>
        <v/>
      </c>
      <c r="D9" s="41" t="str">
        <f t="shared" si="3"/>
        <v/>
      </c>
      <c r="E9" s="16">
        <v>3071.7</v>
      </c>
      <c r="F9" s="16">
        <v>414.6</v>
      </c>
      <c r="G9" s="16">
        <v>23.99</v>
      </c>
      <c r="H9" s="16">
        <v>2056.29</v>
      </c>
      <c r="I9" s="13">
        <v>781.5</v>
      </c>
      <c r="J9" s="14">
        <v>1267.1300000000001</v>
      </c>
      <c r="M9" s="33"/>
      <c r="N9" s="33"/>
      <c r="O9" s="33"/>
      <c r="P9" s="33"/>
      <c r="Q9" s="33"/>
      <c r="R9" s="32"/>
      <c r="S9" s="32"/>
    </row>
    <row r="10" spans="1:20" ht="18" customHeight="1">
      <c r="A10" s="9">
        <v>45778</v>
      </c>
      <c r="B10" s="11">
        <v>0.91562399999999999</v>
      </c>
      <c r="C10" s="30" t="str">
        <f t="shared" si="2"/>
        <v/>
      </c>
      <c r="D10" s="41" t="str">
        <f t="shared" si="3"/>
        <v/>
      </c>
      <c r="E10" s="16">
        <v>2697.67</v>
      </c>
      <c r="F10" s="16">
        <v>359.62</v>
      </c>
      <c r="G10" s="16">
        <v>22.55</v>
      </c>
      <c r="H10" s="16">
        <v>1782.88</v>
      </c>
      <c r="I10" s="14">
        <v>734.35</v>
      </c>
      <c r="J10" s="14">
        <v>1194.26</v>
      </c>
      <c r="L10" s="33"/>
      <c r="M10" s="33"/>
      <c r="N10" s="33"/>
      <c r="O10" s="33"/>
      <c r="P10" s="33"/>
      <c r="Q10" s="33"/>
      <c r="R10" s="32"/>
      <c r="S10" s="32"/>
    </row>
    <row r="11" spans="1:20" ht="18" customHeight="1">
      <c r="A11" s="9">
        <v>45748</v>
      </c>
      <c r="B11" s="11">
        <v>0.89342200000000005</v>
      </c>
      <c r="C11" s="30" t="str">
        <f t="shared" si="2"/>
        <v>Risk</v>
      </c>
      <c r="D11" s="41" t="str">
        <f t="shared" si="3"/>
        <v/>
      </c>
      <c r="E11" s="16">
        <v>2556.61</v>
      </c>
      <c r="F11" s="16">
        <v>338.74</v>
      </c>
      <c r="G11" s="16">
        <v>20.74</v>
      </c>
      <c r="H11" s="16">
        <v>1677.67</v>
      </c>
      <c r="I11" s="14">
        <v>717.24</v>
      </c>
      <c r="J11" s="14">
        <v>1169.69</v>
      </c>
      <c r="K11" s="33"/>
      <c r="L11" s="33"/>
      <c r="M11" s="33"/>
      <c r="N11" s="33"/>
      <c r="O11" s="33"/>
      <c r="P11" s="33"/>
      <c r="Q11" s="33"/>
      <c r="R11" s="32"/>
      <c r="S11" s="32"/>
    </row>
    <row r="12" spans="1:20" ht="18" customHeight="1">
      <c r="A12" s="9">
        <v>45717</v>
      </c>
      <c r="B12" s="11">
        <v>0.86726999999999999</v>
      </c>
      <c r="C12" s="30" t="str">
        <f t="shared" si="2"/>
        <v>Risk</v>
      </c>
      <c r="D12" s="41" t="str">
        <f t="shared" si="3"/>
        <v/>
      </c>
      <c r="E12" s="16">
        <v>2481.12</v>
      </c>
      <c r="F12" s="16">
        <v>332.4</v>
      </c>
      <c r="G12" s="16">
        <v>25.35</v>
      </c>
      <c r="H12" s="16">
        <v>1652.67</v>
      </c>
      <c r="I12" s="14">
        <v>672.85</v>
      </c>
      <c r="J12" s="14">
        <v>1112.8900000000001</v>
      </c>
      <c r="K12" s="33"/>
      <c r="L12" s="33"/>
      <c r="M12" s="33"/>
      <c r="N12" s="33"/>
      <c r="O12" s="33"/>
      <c r="P12" s="33"/>
      <c r="Q12" s="33"/>
      <c r="R12" s="32"/>
      <c r="S12" s="32"/>
    </row>
    <row r="13" spans="1:20" ht="18" customHeight="1">
      <c r="A13" s="9">
        <v>45689</v>
      </c>
      <c r="B13" s="11">
        <v>0.88822400000000001</v>
      </c>
      <c r="C13" s="30" t="str">
        <f t="shared" si="2"/>
        <v>Risk</v>
      </c>
      <c r="D13" s="41" t="str">
        <f t="shared" si="3"/>
        <v/>
      </c>
      <c r="E13" s="16">
        <v>2532.7800000000002</v>
      </c>
      <c r="F13" s="16">
        <v>334.27</v>
      </c>
      <c r="G13" s="16">
        <v>22.86</v>
      </c>
      <c r="H13" s="16">
        <v>1648.2</v>
      </c>
      <c r="I13" s="14">
        <v>743.96</v>
      </c>
      <c r="J13" s="14">
        <v>1262.71</v>
      </c>
      <c r="K13" s="33"/>
      <c r="L13" s="33"/>
      <c r="M13" s="33"/>
      <c r="N13" s="33"/>
      <c r="O13" s="33"/>
      <c r="P13" s="33"/>
      <c r="Q13" s="33"/>
      <c r="R13" s="32"/>
      <c r="S13" s="32"/>
    </row>
    <row r="14" spans="1:20" ht="18" customHeight="1">
      <c r="A14" s="9">
        <v>45658</v>
      </c>
      <c r="B14" s="11">
        <v>0.88211099999999998</v>
      </c>
      <c r="C14" s="30" t="str">
        <f t="shared" si="2"/>
        <v>Risk</v>
      </c>
      <c r="D14" s="41" t="str">
        <f t="shared" si="3"/>
        <v/>
      </c>
      <c r="E14" s="16">
        <v>2517.37</v>
      </c>
      <c r="F14" s="16">
        <v>333.36</v>
      </c>
      <c r="G14" s="16">
        <v>18.79</v>
      </c>
      <c r="H14" s="16">
        <v>1642.77</v>
      </c>
      <c r="I14" s="14">
        <v>728.29</v>
      </c>
      <c r="J14" s="14">
        <v>1233.1600000000001</v>
      </c>
      <c r="K14" s="33"/>
      <c r="L14" s="33"/>
      <c r="M14" s="33"/>
      <c r="N14" s="33"/>
      <c r="O14" s="33"/>
      <c r="P14" s="33"/>
      <c r="Q14" s="33"/>
      <c r="R14" s="32"/>
      <c r="S14" s="32"/>
    </row>
    <row r="15" spans="1:20" ht="18" customHeight="1">
      <c r="A15" s="9">
        <v>45627</v>
      </c>
      <c r="B15" s="3">
        <v>0.84027300000000005</v>
      </c>
      <c r="C15" s="30" t="str">
        <f t="shared" si="2"/>
        <v>Risk</v>
      </c>
      <c r="D15" s="41" t="str">
        <f t="shared" si="3"/>
        <v>Risk</v>
      </c>
      <c r="E15" s="16">
        <v>2399.4899999999998</v>
      </c>
      <c r="F15" s="16">
        <v>317.82</v>
      </c>
      <c r="G15" s="16">
        <v>21.14</v>
      </c>
      <c r="H15" s="16">
        <v>1575.57</v>
      </c>
      <c r="I15" s="14">
        <v>678.19</v>
      </c>
      <c r="J15" s="13">
        <v>1129.8</v>
      </c>
      <c r="K15" s="35">
        <f>1+(($H11/$H15)-1)*2</f>
        <v>1.1296038893860638</v>
      </c>
      <c r="L15" s="35">
        <f>1+(($H10/$H15)-1)*2</f>
        <v>1.2631555564018102</v>
      </c>
      <c r="M15" s="35">
        <f>1+(($H9/$H15)-1)*2</f>
        <v>1.6102172547078202</v>
      </c>
      <c r="N15" s="35">
        <f>1+(($H8/$H15)-1)*2</f>
        <v>1.7466377247599287</v>
      </c>
      <c r="O15" s="35">
        <f>1+(($H7/$H15)-1)*2</f>
        <v>1.7008511205468499</v>
      </c>
      <c r="P15" s="35">
        <f>1+(($H6/$H15)-1)*2</f>
        <v>1.9751137683505018</v>
      </c>
      <c r="Q15" s="35">
        <f>1+(($H5/$H15)-1)*2</f>
        <v>2.6334786775579633</v>
      </c>
      <c r="R15" s="35">
        <f>1+(($H4/$H15)-1)*2</f>
        <v>2.3843244032318465</v>
      </c>
      <c r="S15" s="35">
        <f>1+(($H4/$H15)-1)*2</f>
        <v>2.3843244032318465</v>
      </c>
    </row>
    <row r="16" spans="1:20" ht="18" customHeight="1">
      <c r="A16" s="9">
        <v>45597</v>
      </c>
      <c r="B16" s="3">
        <v>0.86388699999999996</v>
      </c>
      <c r="C16" s="30" t="str">
        <f t="shared" si="2"/>
        <v>Risk</v>
      </c>
      <c r="D16" s="41" t="str">
        <f t="shared" si="3"/>
        <v/>
      </c>
      <c r="E16" s="16">
        <v>2455.91</v>
      </c>
      <c r="F16" s="16">
        <v>325.45</v>
      </c>
      <c r="G16" s="16">
        <v>19.34</v>
      </c>
      <c r="H16" s="16">
        <v>1612.46</v>
      </c>
      <c r="I16" s="14">
        <v>678.19</v>
      </c>
      <c r="J16" s="14">
        <v>1133.83</v>
      </c>
      <c r="K16" s="33"/>
      <c r="L16" s="33"/>
      <c r="M16" s="33"/>
      <c r="N16" s="33"/>
      <c r="O16" s="33"/>
      <c r="P16" s="33"/>
      <c r="Q16" s="33"/>
      <c r="R16" s="32"/>
      <c r="S16" s="34">
        <f>$H15/$H16</f>
        <v>0.97712191310172025</v>
      </c>
    </row>
    <row r="17" spans="1:19" ht="18" customHeight="1">
      <c r="A17" s="9">
        <v>45566</v>
      </c>
      <c r="B17" s="3">
        <v>0.89510699999999999</v>
      </c>
      <c r="C17" s="30" t="str">
        <f t="shared" si="2"/>
        <v>Risk</v>
      </c>
      <c r="D17" s="41" t="str">
        <f t="shared" si="3"/>
        <v/>
      </c>
      <c r="E17" s="16">
        <v>2556.15</v>
      </c>
      <c r="F17" s="16">
        <v>339.32</v>
      </c>
      <c r="G17" s="16">
        <v>22.65</v>
      </c>
      <c r="H17" s="16">
        <v>1685.1</v>
      </c>
      <c r="I17" s="14">
        <v>743.06</v>
      </c>
      <c r="J17" s="14">
        <v>1273.29</v>
      </c>
      <c r="K17" s="34">
        <f>$H15/$H17</f>
        <v>0.93500089015488697</v>
      </c>
      <c r="L17" s="34">
        <f t="shared" ref="L17:R17" si="4">$H15/$H17</f>
        <v>0.93500089015488697</v>
      </c>
      <c r="M17" s="34">
        <f t="shared" si="4"/>
        <v>0.93500089015488697</v>
      </c>
      <c r="N17" s="34">
        <f t="shared" si="4"/>
        <v>0.93500089015488697</v>
      </c>
      <c r="O17" s="34">
        <f t="shared" si="4"/>
        <v>0.93500089015488697</v>
      </c>
      <c r="P17" s="34">
        <f t="shared" si="4"/>
        <v>0.93500089015488697</v>
      </c>
      <c r="Q17" s="34">
        <f t="shared" si="4"/>
        <v>0.93500089015488697</v>
      </c>
      <c r="R17" s="34">
        <f t="shared" si="4"/>
        <v>0.93500089015488697</v>
      </c>
      <c r="S17" s="32"/>
    </row>
    <row r="18" spans="1:19" ht="18" customHeight="1">
      <c r="A18" s="9">
        <v>45536</v>
      </c>
      <c r="B18" s="3">
        <v>0.90802499999999997</v>
      </c>
      <c r="C18" s="30" t="str">
        <f t="shared" si="2"/>
        <v/>
      </c>
      <c r="D18" s="41" t="str">
        <f t="shared" si="3"/>
        <v/>
      </c>
      <c r="E18" s="16">
        <v>2593.27</v>
      </c>
      <c r="F18" s="16">
        <v>344.76</v>
      </c>
      <c r="G18" s="16">
        <v>25.44</v>
      </c>
      <c r="H18" s="16">
        <v>1719.2</v>
      </c>
      <c r="I18" s="14">
        <v>763.88</v>
      </c>
      <c r="J18" s="14">
        <v>1288.3399999999999</v>
      </c>
      <c r="R18" s="32"/>
      <c r="S18" s="32"/>
    </row>
    <row r="19" spans="1:19" ht="18" customHeight="1">
      <c r="A19" s="9">
        <v>45505</v>
      </c>
      <c r="B19" s="3">
        <v>0.95820899999999998</v>
      </c>
      <c r="C19" s="30" t="str">
        <f t="shared" si="2"/>
        <v/>
      </c>
      <c r="D19" s="41" t="str">
        <f t="shared" si="3"/>
        <v/>
      </c>
      <c r="E19" s="16">
        <v>2674.31</v>
      </c>
      <c r="F19" s="16">
        <v>361.55</v>
      </c>
      <c r="G19" s="16">
        <v>18.809999999999999</v>
      </c>
      <c r="H19" s="16">
        <v>1802.36</v>
      </c>
      <c r="I19" s="14">
        <v>767.66</v>
      </c>
      <c r="J19" s="14">
        <v>1294.69</v>
      </c>
      <c r="Q19" s="33"/>
      <c r="R19" s="32"/>
      <c r="S19" s="32"/>
    </row>
    <row r="20" spans="1:19" ht="18" customHeight="1">
      <c r="A20" s="9">
        <v>45474</v>
      </c>
      <c r="B20" s="3">
        <v>0.99315799999999999</v>
      </c>
      <c r="C20" s="30" t="str">
        <f t="shared" si="2"/>
        <v/>
      </c>
      <c r="D20" s="41" t="str">
        <f t="shared" si="3"/>
        <v/>
      </c>
      <c r="E20" s="16">
        <v>2770.69</v>
      </c>
      <c r="F20" s="16">
        <v>380.49</v>
      </c>
      <c r="G20" s="16">
        <v>17.510000000000002</v>
      </c>
      <c r="H20" s="16">
        <v>1897.75</v>
      </c>
      <c r="I20" s="14">
        <v>803.15</v>
      </c>
      <c r="J20" s="14">
        <v>1338.75</v>
      </c>
      <c r="P20" s="33"/>
      <c r="Q20" s="33"/>
      <c r="R20" s="32"/>
      <c r="S20" s="32"/>
    </row>
    <row r="21" spans="1:19" ht="18" customHeight="1">
      <c r="A21" s="9">
        <v>45444</v>
      </c>
      <c r="B21" s="3">
        <v>1.001382</v>
      </c>
      <c r="C21" s="30" t="str">
        <f t="shared" si="2"/>
        <v/>
      </c>
      <c r="D21" s="41" t="str">
        <f t="shared" si="3"/>
        <v/>
      </c>
      <c r="E21" s="16">
        <v>2797.82</v>
      </c>
      <c r="F21" s="16">
        <v>384.02</v>
      </c>
      <c r="G21" s="16">
        <v>16.100000000000001</v>
      </c>
      <c r="H21" s="16">
        <v>1919.36</v>
      </c>
      <c r="I21" s="14">
        <v>840.44</v>
      </c>
      <c r="J21" s="14">
        <v>1361.54</v>
      </c>
      <c r="O21" s="33"/>
      <c r="P21" s="33"/>
      <c r="Q21" s="33"/>
      <c r="R21" s="32"/>
      <c r="S21" s="32"/>
    </row>
    <row r="22" spans="1:19" ht="18" customHeight="1">
      <c r="A22" s="9">
        <v>45413</v>
      </c>
      <c r="B22" s="3">
        <v>0.95718300000000001</v>
      </c>
      <c r="C22" s="30" t="str">
        <f t="shared" si="2"/>
        <v/>
      </c>
      <c r="D22" s="41" t="str">
        <f t="shared" si="3"/>
        <v/>
      </c>
      <c r="E22" s="16">
        <v>2636.52</v>
      </c>
      <c r="F22" s="16">
        <v>358.21</v>
      </c>
      <c r="G22" s="16">
        <v>16.899999999999999</v>
      </c>
      <c r="H22" s="16">
        <v>1799.7</v>
      </c>
      <c r="I22" s="14">
        <v>839.98</v>
      </c>
      <c r="J22" s="14">
        <v>1338.55</v>
      </c>
      <c r="N22" s="33"/>
      <c r="O22" s="33"/>
      <c r="P22" s="33"/>
      <c r="Q22" s="33"/>
      <c r="R22" s="32"/>
      <c r="S22" s="32"/>
    </row>
    <row r="23" spans="1:19" ht="18" customHeight="1">
      <c r="A23" s="9">
        <v>45383</v>
      </c>
      <c r="B23" s="5">
        <v>0.98</v>
      </c>
      <c r="C23" s="30" t="str">
        <f t="shared" si="2"/>
        <v/>
      </c>
      <c r="D23" s="41" t="str">
        <f t="shared" si="3"/>
        <v/>
      </c>
      <c r="E23" s="16">
        <v>2692.06</v>
      </c>
      <c r="F23" s="16">
        <v>365.13</v>
      </c>
      <c r="G23" s="16">
        <v>18.14</v>
      </c>
      <c r="H23" s="16">
        <v>1836.69</v>
      </c>
      <c r="I23" s="14">
        <v>868.93</v>
      </c>
      <c r="J23" s="14">
        <v>1442.22</v>
      </c>
      <c r="M23" s="33"/>
      <c r="N23" s="33"/>
      <c r="O23" s="33"/>
      <c r="P23" s="33"/>
      <c r="Q23" s="33"/>
      <c r="R23" s="32"/>
      <c r="S23" s="32"/>
    </row>
    <row r="24" spans="1:19" ht="18" customHeight="1">
      <c r="A24" s="9">
        <v>45352</v>
      </c>
      <c r="B24" s="5">
        <v>1</v>
      </c>
      <c r="C24" s="30" t="str">
        <f t="shared" si="2"/>
        <v/>
      </c>
      <c r="D24" s="41" t="str">
        <f t="shared" si="3"/>
        <v/>
      </c>
      <c r="E24" s="16">
        <v>2746.63</v>
      </c>
      <c r="F24" s="16">
        <v>374.63</v>
      </c>
      <c r="G24" s="16">
        <v>16.84</v>
      </c>
      <c r="H24" s="16">
        <v>1884.17</v>
      </c>
      <c r="I24" s="13">
        <v>905.5</v>
      </c>
      <c r="J24" s="14">
        <v>1520.44</v>
      </c>
      <c r="L24" s="33"/>
      <c r="M24" s="33"/>
      <c r="N24" s="33"/>
      <c r="O24" s="33"/>
      <c r="P24" s="33"/>
      <c r="Q24" s="33"/>
      <c r="R24" s="32"/>
      <c r="S24" s="32"/>
    </row>
    <row r="25" spans="1:19" ht="18" customHeight="1">
      <c r="A25" s="9">
        <v>45323</v>
      </c>
      <c r="B25" s="5">
        <v>0.96</v>
      </c>
      <c r="C25" s="30" t="str">
        <f t="shared" si="2"/>
        <v/>
      </c>
      <c r="D25" s="41" t="str">
        <f t="shared" si="3"/>
        <v/>
      </c>
      <c r="E25" s="16">
        <v>2642.36</v>
      </c>
      <c r="F25" s="16">
        <v>355.57</v>
      </c>
      <c r="G25" s="16">
        <v>16.77</v>
      </c>
      <c r="H25" s="16">
        <v>1785.57</v>
      </c>
      <c r="I25" s="14">
        <v>862.96</v>
      </c>
      <c r="J25" s="14">
        <v>1402.26</v>
      </c>
      <c r="K25" s="33"/>
      <c r="L25" s="33"/>
      <c r="M25" s="33"/>
      <c r="N25" s="33"/>
      <c r="O25" s="33"/>
      <c r="P25" s="33"/>
      <c r="Q25" s="33"/>
      <c r="R25" s="32"/>
      <c r="S25" s="32"/>
    </row>
    <row r="26" spans="1:19" ht="18" customHeight="1">
      <c r="A26" s="9">
        <v>45292</v>
      </c>
      <c r="B26" s="5">
        <v>0.91</v>
      </c>
      <c r="C26" s="30" t="str">
        <f t="shared" si="2"/>
        <v/>
      </c>
      <c r="D26" s="41" t="str">
        <f t="shared" si="3"/>
        <v/>
      </c>
      <c r="E26" s="16">
        <v>2497.09</v>
      </c>
      <c r="F26" s="16">
        <v>336.24</v>
      </c>
      <c r="G26" s="16">
        <v>17.02</v>
      </c>
      <c r="H26" s="16">
        <v>1691.46</v>
      </c>
      <c r="I26" s="14">
        <v>799.24</v>
      </c>
      <c r="J26" s="14">
        <v>1241.75</v>
      </c>
      <c r="K26" s="33"/>
      <c r="L26" s="33"/>
      <c r="M26" s="33"/>
      <c r="N26" s="33"/>
      <c r="O26" s="33"/>
      <c r="P26" s="33"/>
      <c r="Q26" s="33"/>
      <c r="R26" s="32"/>
      <c r="S26" s="32"/>
    </row>
    <row r="27" spans="1:19" ht="18" customHeight="1">
      <c r="A27" s="9">
        <v>45261</v>
      </c>
      <c r="B27" s="5">
        <v>0.96</v>
      </c>
      <c r="C27" s="30" t="str">
        <f t="shared" si="2"/>
        <v/>
      </c>
      <c r="D27" s="41" t="str">
        <f t="shared" si="3"/>
        <v/>
      </c>
      <c r="E27" s="16">
        <v>2655.28</v>
      </c>
      <c r="F27" s="16">
        <v>357.99</v>
      </c>
      <c r="G27" s="16">
        <v>17.78</v>
      </c>
      <c r="H27" s="16">
        <v>1820.45</v>
      </c>
      <c r="I27" s="14">
        <v>866.57</v>
      </c>
      <c r="J27" s="14">
        <v>1393.46</v>
      </c>
      <c r="K27" s="33"/>
      <c r="L27" s="33"/>
      <c r="M27" s="33"/>
      <c r="N27" s="33"/>
      <c r="O27" s="33"/>
      <c r="P27" s="33"/>
      <c r="Q27" s="33"/>
      <c r="R27" s="32"/>
      <c r="S27" s="32"/>
    </row>
    <row r="28" spans="1:19" ht="18" customHeight="1">
      <c r="A28" s="9">
        <v>45231</v>
      </c>
      <c r="B28" s="5">
        <v>0.92</v>
      </c>
      <c r="C28" s="30" t="str">
        <f t="shared" si="2"/>
        <v/>
      </c>
      <c r="D28" s="41" t="str">
        <f t="shared" si="3"/>
        <v/>
      </c>
      <c r="E28" s="16">
        <v>2535.29</v>
      </c>
      <c r="F28" s="16">
        <v>338.43</v>
      </c>
      <c r="G28" s="16">
        <v>14.46</v>
      </c>
      <c r="H28" s="16">
        <v>1698.8</v>
      </c>
      <c r="I28" s="14">
        <v>831.68</v>
      </c>
      <c r="J28" s="14">
        <v>1323.92</v>
      </c>
      <c r="K28" s="33"/>
      <c r="L28" s="33"/>
      <c r="M28" s="33"/>
      <c r="N28" s="33"/>
      <c r="O28" s="33"/>
      <c r="P28" s="33"/>
      <c r="Q28" s="33"/>
      <c r="R28" s="32"/>
      <c r="S28" s="32"/>
    </row>
    <row r="29" spans="1:19" ht="18" customHeight="1">
      <c r="A29" s="9">
        <v>45200</v>
      </c>
      <c r="B29" s="3">
        <v>0.82694800000000002</v>
      </c>
      <c r="C29" s="30" t="str">
        <f t="shared" si="2"/>
        <v>Risk</v>
      </c>
      <c r="D29" s="41" t="str">
        <f t="shared" si="3"/>
        <v>Risk</v>
      </c>
      <c r="E29" s="16">
        <v>2277.9899999999998</v>
      </c>
      <c r="F29" s="16">
        <v>305.56</v>
      </c>
      <c r="G29" s="16">
        <v>19.89</v>
      </c>
      <c r="H29" s="16">
        <v>1538.26</v>
      </c>
      <c r="I29" s="13">
        <v>736.1</v>
      </c>
      <c r="J29" s="14">
        <v>1147.92</v>
      </c>
      <c r="K29" s="35">
        <f>1+(($H25/$H29)-1)*2</f>
        <v>1.3215451224110359</v>
      </c>
      <c r="L29" s="35">
        <f>1+(($H24/$H29)-1)*2</f>
        <v>1.4497419161910212</v>
      </c>
      <c r="M29" s="35">
        <f>1+(($H23/$H29)-1)*2</f>
        <v>1.3880098292876366</v>
      </c>
      <c r="N29" s="35">
        <f>1+(($H22/$H29)-1)*2</f>
        <v>1.3399165290653077</v>
      </c>
      <c r="O29" s="35">
        <f>1+(($H21/$H29)-1)*2</f>
        <v>1.4954949098331882</v>
      </c>
      <c r="P29" s="35">
        <f>1+(($H20/$H29)-1)*2</f>
        <v>1.4673982291680212</v>
      </c>
      <c r="Q29" s="35">
        <f>1+(($H19/$H29)-1)*2</f>
        <v>1.3433749821226582</v>
      </c>
      <c r="R29" s="35">
        <f>1+(($H18/$H29)-1)*2</f>
        <v>1.2352528181191738</v>
      </c>
      <c r="S29" s="35">
        <f>1+(($H17/$H29)-1)*2</f>
        <v>1.1909170101283268</v>
      </c>
    </row>
    <row r="30" spans="1:19" ht="18" customHeight="1">
      <c r="A30" s="9">
        <v>45170</v>
      </c>
      <c r="B30" s="3">
        <v>0.89318699999999995</v>
      </c>
      <c r="C30" s="30" t="str">
        <f t="shared" si="2"/>
        <v>Risk</v>
      </c>
      <c r="D30" s="41" t="str">
        <f t="shared" si="3"/>
        <v/>
      </c>
      <c r="E30" s="16">
        <v>2465.0700000000002</v>
      </c>
      <c r="F30" s="16">
        <v>326.70999999999998</v>
      </c>
      <c r="G30" s="16">
        <v>15.08</v>
      </c>
      <c r="H30" s="16">
        <v>1647.96</v>
      </c>
      <c r="I30" s="14">
        <v>841.02</v>
      </c>
      <c r="J30" s="14">
        <v>1321.64</v>
      </c>
      <c r="K30" s="34">
        <f>$H29/$H30</f>
        <v>0.93343285031190071</v>
      </c>
      <c r="L30" s="34">
        <f t="shared" ref="L30:R30" si="5">$H29/$H30</f>
        <v>0.93343285031190071</v>
      </c>
      <c r="M30" s="34">
        <f t="shared" si="5"/>
        <v>0.93343285031190071</v>
      </c>
      <c r="N30" s="34">
        <f t="shared" si="5"/>
        <v>0.93343285031190071</v>
      </c>
      <c r="O30" s="34">
        <f t="shared" si="5"/>
        <v>0.93343285031190071</v>
      </c>
      <c r="P30" s="34">
        <f t="shared" si="5"/>
        <v>0.93343285031190071</v>
      </c>
      <c r="Q30" s="34">
        <f t="shared" si="5"/>
        <v>0.93343285031190071</v>
      </c>
      <c r="R30" s="34">
        <f t="shared" si="5"/>
        <v>0.93343285031190071</v>
      </c>
      <c r="S30" s="32"/>
    </row>
    <row r="31" spans="1:19" ht="18" customHeight="1">
      <c r="A31" s="9">
        <v>45139</v>
      </c>
      <c r="B31" s="3">
        <v>0.93718599999999996</v>
      </c>
      <c r="C31" s="30" t="str">
        <f t="shared" si="2"/>
        <v/>
      </c>
      <c r="D31" s="41" t="str">
        <f t="shared" si="3"/>
        <v/>
      </c>
      <c r="E31" s="16">
        <v>2556.27</v>
      </c>
      <c r="F31" s="16">
        <v>334.75</v>
      </c>
      <c r="G31" s="16">
        <v>12.78</v>
      </c>
      <c r="H31" s="16">
        <v>1686.41</v>
      </c>
      <c r="I31" s="13">
        <v>928.4</v>
      </c>
      <c r="J31" s="14">
        <v>1483.08</v>
      </c>
      <c r="R31" s="32"/>
      <c r="S31" s="32"/>
    </row>
    <row r="32" spans="1:19" ht="18" customHeight="1">
      <c r="A32" s="9">
        <v>45108</v>
      </c>
      <c r="B32" s="3">
        <v>0.96419200000000005</v>
      </c>
      <c r="C32" s="30" t="str">
        <f t="shared" si="2"/>
        <v/>
      </c>
      <c r="D32" s="41" t="str">
        <f t="shared" si="3"/>
        <v/>
      </c>
      <c r="E32" s="16">
        <v>2632.58</v>
      </c>
      <c r="F32" s="16">
        <v>345.62</v>
      </c>
      <c r="G32" s="16">
        <v>14.21</v>
      </c>
      <c r="H32" s="16">
        <v>1748.34</v>
      </c>
      <c r="I32" s="14">
        <v>935.97</v>
      </c>
      <c r="J32" s="14">
        <v>1551.24</v>
      </c>
      <c r="Q32" s="33"/>
      <c r="R32" s="32"/>
      <c r="S32" s="32"/>
    </row>
    <row r="33" spans="1:19" ht="18" customHeight="1">
      <c r="A33" s="9">
        <v>45078</v>
      </c>
      <c r="B33" s="3">
        <v>0.938608</v>
      </c>
      <c r="C33" s="30" t="str">
        <f t="shared" si="2"/>
        <v/>
      </c>
      <c r="D33" s="41" t="str">
        <f t="shared" si="3"/>
        <v/>
      </c>
      <c r="E33" s="16">
        <v>2564.2800000000002</v>
      </c>
      <c r="F33" s="16">
        <v>337.95</v>
      </c>
      <c r="G33" s="16">
        <v>12.59</v>
      </c>
      <c r="H33" s="16">
        <v>1714.36</v>
      </c>
      <c r="I33" s="14">
        <v>868.24</v>
      </c>
      <c r="J33" s="14">
        <v>1322.36</v>
      </c>
      <c r="P33" s="33"/>
      <c r="Q33" s="33"/>
      <c r="R33" s="32"/>
      <c r="S33" s="32"/>
    </row>
    <row r="34" spans="1:19" ht="18" customHeight="1">
      <c r="A34" s="9">
        <v>45047</v>
      </c>
      <c r="B34" s="3">
        <v>0.98162400000000005</v>
      </c>
      <c r="C34" s="30" t="str">
        <f t="shared" si="2"/>
        <v/>
      </c>
      <c r="D34" s="41" t="str">
        <f t="shared" si="3"/>
        <v/>
      </c>
      <c r="E34" s="16">
        <v>2577.12</v>
      </c>
      <c r="F34" s="16">
        <v>339.12</v>
      </c>
      <c r="G34" s="16">
        <v>14.8</v>
      </c>
      <c r="H34" s="16">
        <v>1714.7</v>
      </c>
      <c r="I34" s="14">
        <v>856.94</v>
      </c>
      <c r="J34" s="14">
        <v>1308.6500000000001</v>
      </c>
      <c r="O34" s="33"/>
      <c r="P34" s="33"/>
      <c r="Q34" s="33"/>
      <c r="R34" s="32"/>
      <c r="S34" s="32"/>
    </row>
    <row r="35" spans="1:19" ht="18" customHeight="1">
      <c r="A35" s="9">
        <v>45017</v>
      </c>
      <c r="B35" s="3">
        <v>0.94302699999999995</v>
      </c>
      <c r="C35" s="30" t="str">
        <f t="shared" si="2"/>
        <v/>
      </c>
      <c r="D35" s="41" t="str">
        <f t="shared" si="3"/>
        <v/>
      </c>
      <c r="E35" s="16">
        <v>2501.5300000000002</v>
      </c>
      <c r="F35" s="16">
        <v>326.45999999999998</v>
      </c>
      <c r="G35" s="16">
        <v>14.51</v>
      </c>
      <c r="H35" s="16">
        <v>1650.97</v>
      </c>
      <c r="I35" s="14">
        <v>842.83</v>
      </c>
      <c r="J35" s="14">
        <v>1299.28</v>
      </c>
      <c r="N35" s="33"/>
      <c r="O35" s="33"/>
      <c r="P35" s="33"/>
      <c r="Q35" s="33"/>
      <c r="R35" s="32"/>
      <c r="S35" s="32"/>
    </row>
    <row r="36" spans="1:19" ht="18" customHeight="1">
      <c r="A36" s="9">
        <v>44986</v>
      </c>
      <c r="B36" s="11">
        <v>0.93132300000000001</v>
      </c>
      <c r="C36" s="30" t="str">
        <f t="shared" si="2"/>
        <v/>
      </c>
      <c r="D36" s="41" t="str">
        <f t="shared" si="3"/>
        <v/>
      </c>
      <c r="E36" s="16">
        <v>2476.86</v>
      </c>
      <c r="F36" s="16">
        <v>322.02999999999997</v>
      </c>
      <c r="G36" s="16">
        <v>15.57</v>
      </c>
      <c r="H36" s="16">
        <v>1637.31</v>
      </c>
      <c r="I36" s="14">
        <v>847.52</v>
      </c>
      <c r="J36" s="14">
        <v>1260.21</v>
      </c>
      <c r="M36" s="33"/>
      <c r="N36" s="33"/>
      <c r="O36" s="33"/>
      <c r="P36" s="33"/>
      <c r="Q36" s="33"/>
      <c r="R36" s="32"/>
      <c r="S36" s="32"/>
    </row>
    <row r="37" spans="1:19" ht="18" customHeight="1">
      <c r="A37" s="9">
        <v>44958</v>
      </c>
      <c r="B37" s="11">
        <v>0.90686500000000003</v>
      </c>
      <c r="C37" s="30" t="str">
        <f t="shared" si="2"/>
        <v/>
      </c>
      <c r="D37" s="41" t="str">
        <f t="shared" si="3"/>
        <v/>
      </c>
      <c r="E37" s="16">
        <v>2412.85</v>
      </c>
      <c r="F37" s="16">
        <v>314.8</v>
      </c>
      <c r="G37" s="16">
        <v>18.53</v>
      </c>
      <c r="H37" s="16">
        <v>1605.25</v>
      </c>
      <c r="I37" s="13">
        <v>791.6</v>
      </c>
      <c r="J37" s="14">
        <v>1143.05</v>
      </c>
      <c r="L37" s="33"/>
      <c r="M37" s="33"/>
      <c r="N37" s="33"/>
      <c r="O37" s="33"/>
      <c r="P37" s="33"/>
      <c r="Q37" s="33"/>
      <c r="R37" s="32"/>
      <c r="S37" s="32"/>
    </row>
    <row r="38" spans="1:19" ht="18" customHeight="1">
      <c r="A38" s="9">
        <v>44927</v>
      </c>
      <c r="B38" s="11">
        <v>0.91425400000000001</v>
      </c>
      <c r="C38" s="30" t="str">
        <f t="shared" si="2"/>
        <v/>
      </c>
      <c r="D38" s="41" t="str">
        <f t="shared" si="3"/>
        <v/>
      </c>
      <c r="E38" s="16">
        <v>2425.08</v>
      </c>
      <c r="F38" s="16">
        <v>317.26</v>
      </c>
      <c r="G38" s="16">
        <v>17.75</v>
      </c>
      <c r="H38" s="16">
        <v>1619.74</v>
      </c>
      <c r="I38" s="14">
        <v>740.49</v>
      </c>
      <c r="J38" s="13">
        <v>1021.6</v>
      </c>
      <c r="K38" s="33"/>
      <c r="L38" s="33"/>
      <c r="M38" s="33"/>
      <c r="N38" s="33"/>
      <c r="O38" s="33"/>
      <c r="P38" s="33"/>
      <c r="Q38" s="33"/>
      <c r="R38" s="32"/>
      <c r="S38" s="32"/>
    </row>
    <row r="39" spans="1:19" ht="18" customHeight="1">
      <c r="A39" s="9">
        <v>44896</v>
      </c>
      <c r="B39" s="11">
        <v>0.84129799999999999</v>
      </c>
      <c r="C39" s="30" t="str">
        <f t="shared" si="2"/>
        <v>Risk</v>
      </c>
      <c r="D39" s="41" t="str">
        <f t="shared" si="3"/>
        <v>Risk</v>
      </c>
      <c r="E39" s="16">
        <v>2236.4</v>
      </c>
      <c r="F39" s="16">
        <v>291.10000000000002</v>
      </c>
      <c r="G39" s="16">
        <v>18.399999999999999</v>
      </c>
      <c r="H39" s="16">
        <v>1488.59</v>
      </c>
      <c r="I39" s="14">
        <v>679.29</v>
      </c>
      <c r="J39" s="14">
        <v>957.78</v>
      </c>
      <c r="K39" s="33"/>
      <c r="L39" s="33"/>
      <c r="M39" s="33"/>
      <c r="N39" s="33"/>
      <c r="O39" s="33"/>
      <c r="P39" s="33"/>
      <c r="Q39" s="33"/>
      <c r="R39" s="32"/>
      <c r="S39" s="32"/>
    </row>
    <row r="40" spans="1:19" ht="18" customHeight="1">
      <c r="A40" s="9">
        <v>44866</v>
      </c>
      <c r="B40" s="11">
        <v>0.95905799999999997</v>
      </c>
      <c r="C40" s="30" t="str">
        <f t="shared" si="2"/>
        <v/>
      </c>
      <c r="D40" s="41" t="str">
        <f t="shared" si="3"/>
        <v/>
      </c>
      <c r="E40" s="16">
        <v>2472.5300000000002</v>
      </c>
      <c r="F40" s="16">
        <v>321</v>
      </c>
      <c r="G40" s="16">
        <v>17.78</v>
      </c>
      <c r="H40" s="16">
        <v>1616.28</v>
      </c>
      <c r="I40" s="14">
        <v>729.54</v>
      </c>
      <c r="J40" s="14">
        <v>1038.42</v>
      </c>
      <c r="K40" s="33"/>
      <c r="L40" s="33"/>
      <c r="M40" s="33"/>
      <c r="N40" s="33"/>
      <c r="O40" s="33"/>
      <c r="P40" s="33"/>
      <c r="Q40" s="33"/>
      <c r="R40" s="32"/>
      <c r="S40" s="32"/>
    </row>
    <row r="41" spans="1:19" ht="18" customHeight="1">
      <c r="A41" s="9">
        <v>44835</v>
      </c>
      <c r="B41" s="11">
        <v>0.88847299999999996</v>
      </c>
      <c r="C41" s="30" t="str">
        <f t="shared" si="2"/>
        <v>Risk</v>
      </c>
      <c r="D41" s="41" t="str">
        <f t="shared" si="3"/>
        <v/>
      </c>
      <c r="E41" s="16">
        <v>2293.61</v>
      </c>
      <c r="F41" s="16">
        <v>299.58</v>
      </c>
      <c r="G41" s="16">
        <v>21.97</v>
      </c>
      <c r="H41" s="16">
        <v>1520.46</v>
      </c>
      <c r="I41" s="14">
        <v>695.33</v>
      </c>
      <c r="J41" s="14">
        <v>1006.82</v>
      </c>
      <c r="K41" s="33"/>
      <c r="L41" s="33"/>
      <c r="M41" s="33"/>
      <c r="N41" s="33"/>
      <c r="O41" s="33"/>
      <c r="P41" s="33"/>
      <c r="Q41" s="33"/>
      <c r="R41" s="32"/>
      <c r="S41" s="32"/>
    </row>
    <row r="42" spans="1:19" ht="18" customHeight="1">
      <c r="A42" s="9">
        <v>44805</v>
      </c>
      <c r="B42" s="3">
        <v>0.83385600000000004</v>
      </c>
      <c r="C42" s="30" t="str">
        <f t="shared" si="2"/>
        <v>Risk</v>
      </c>
      <c r="D42" s="41" t="str">
        <f t="shared" si="3"/>
        <v>Risk</v>
      </c>
      <c r="E42" s="16">
        <v>2155.4899999999998</v>
      </c>
      <c r="F42" s="16">
        <v>281.36</v>
      </c>
      <c r="G42" s="16">
        <v>27.19</v>
      </c>
      <c r="H42" s="16">
        <v>1428.18</v>
      </c>
      <c r="I42" s="14">
        <v>672.65</v>
      </c>
      <c r="J42" s="14">
        <v>956.48</v>
      </c>
      <c r="K42" s="35">
        <f>1+(($H38/$H42)-1)*2</f>
        <v>1.2682575025557004</v>
      </c>
      <c r="L42" s="35">
        <f>1+(($H37/$H42)-1)*2</f>
        <v>1.2479659426682912</v>
      </c>
      <c r="M42" s="35">
        <f>1+(($H36/$H42)-1)*2</f>
        <v>1.2928622442549256</v>
      </c>
      <c r="N42" s="35">
        <f>1+(($H35/$H42)-1)*2</f>
        <v>1.3119914856670727</v>
      </c>
      <c r="O42" s="35">
        <f>1+(($H34/$H42)-1)*2</f>
        <v>1.4012379391953393</v>
      </c>
      <c r="P42" s="35">
        <f>1+(($H33/$H42)-1)*2</f>
        <v>1.4007618087355933</v>
      </c>
      <c r="Q42" s="35">
        <f>1+(($H32/$H42)-1)*2</f>
        <v>1.4483468470360878</v>
      </c>
      <c r="R42" s="35">
        <f>1+(($H31/$H42)-1)*2</f>
        <v>1.3616210841770644</v>
      </c>
      <c r="S42" s="35">
        <f>1+(($H30/$H42)-1)*2</f>
        <v>1.3077763307146157</v>
      </c>
    </row>
    <row r="43" spans="1:19" ht="18" customHeight="1">
      <c r="A43" s="9">
        <v>44774</v>
      </c>
      <c r="B43" s="3">
        <v>0.97728800000000005</v>
      </c>
      <c r="C43" s="30" t="str">
        <f t="shared" si="2"/>
        <v/>
      </c>
      <c r="D43" s="41" t="str">
        <f t="shared" si="3"/>
        <v/>
      </c>
      <c r="E43" s="16">
        <v>2472.0500000000002</v>
      </c>
      <c r="F43" s="16">
        <v>322.95999999999998</v>
      </c>
      <c r="G43" s="16">
        <v>17.309999999999999</v>
      </c>
      <c r="H43" s="16">
        <v>1625.97</v>
      </c>
      <c r="I43" s="14">
        <v>807.04</v>
      </c>
      <c r="J43" s="14">
        <v>1155.03</v>
      </c>
    </row>
    <row r="44" spans="1:19" ht="18" customHeight="1">
      <c r="A44" s="9">
        <v>44743</v>
      </c>
      <c r="B44" s="3">
        <v>0.96806300000000001</v>
      </c>
      <c r="C44" s="30" t="str">
        <f t="shared" si="2"/>
        <v/>
      </c>
      <c r="D44" s="41" t="str">
        <f t="shared" si="3"/>
        <v/>
      </c>
      <c r="E44" s="16">
        <v>2451.5</v>
      </c>
      <c r="F44" s="16">
        <v>323.31</v>
      </c>
      <c r="G44" s="16">
        <v>17.79</v>
      </c>
      <c r="H44" s="16">
        <v>1638.38</v>
      </c>
      <c r="I44" s="14">
        <v>803.62</v>
      </c>
      <c r="J44" s="13">
        <v>1151.8</v>
      </c>
    </row>
    <row r="45" spans="1:19" ht="18" customHeight="1">
      <c r="A45" s="9">
        <v>44713</v>
      </c>
      <c r="B45" s="3">
        <v>0.92029099999999997</v>
      </c>
      <c r="C45" s="30" t="str">
        <f t="shared" si="2"/>
        <v/>
      </c>
      <c r="D45" s="41" t="str">
        <f t="shared" si="3"/>
        <v/>
      </c>
      <c r="E45" s="16">
        <v>2332.64</v>
      </c>
      <c r="F45" s="16">
        <v>307.2</v>
      </c>
      <c r="G45" s="16">
        <v>23.9</v>
      </c>
      <c r="H45" s="16">
        <v>1557.34</v>
      </c>
      <c r="I45" s="14">
        <v>745.44</v>
      </c>
      <c r="J45" s="14">
        <v>1056.42</v>
      </c>
    </row>
    <row r="46" spans="1:19" ht="18" customHeight="1">
      <c r="A46" s="9">
        <v>44682</v>
      </c>
      <c r="B46" s="3">
        <v>1.075215</v>
      </c>
      <c r="C46" s="30" t="str">
        <f t="shared" si="2"/>
        <v/>
      </c>
      <c r="D46" s="41" t="str">
        <f t="shared" si="3"/>
        <v/>
      </c>
      <c r="E46" s="16">
        <v>2685.9</v>
      </c>
      <c r="F46" s="16">
        <v>354.54</v>
      </c>
      <c r="G46" s="16">
        <v>17.260000000000002</v>
      </c>
      <c r="H46" s="16">
        <v>1793.38</v>
      </c>
      <c r="I46" s="14">
        <v>893.36</v>
      </c>
      <c r="J46" s="14">
        <v>1269.22</v>
      </c>
    </row>
    <row r="47" spans="1:19" ht="18" customHeight="1">
      <c r="A47" s="9">
        <v>44652</v>
      </c>
      <c r="B47" s="3">
        <v>1.097928</v>
      </c>
      <c r="C47" s="30" t="str">
        <f t="shared" si="2"/>
        <v/>
      </c>
      <c r="D47" s="41" t="str">
        <f t="shared" si="3"/>
        <v/>
      </c>
      <c r="E47" s="16">
        <v>2695.05</v>
      </c>
      <c r="F47" s="16">
        <v>355.08</v>
      </c>
      <c r="G47" s="16">
        <v>18.920000000000002</v>
      </c>
      <c r="H47" s="16">
        <v>1800.72</v>
      </c>
      <c r="I47" s="14">
        <v>904.75</v>
      </c>
      <c r="J47" s="14">
        <v>1261.29</v>
      </c>
    </row>
    <row r="48" spans="1:19" ht="18" customHeight="1">
      <c r="A48" s="9">
        <v>44621</v>
      </c>
      <c r="B48" s="3">
        <v>1.1232880000000001</v>
      </c>
      <c r="C48" s="30" t="str">
        <f t="shared" si="2"/>
        <v/>
      </c>
      <c r="D48" s="41" t="str">
        <f t="shared" si="3"/>
        <v/>
      </c>
      <c r="E48" s="16">
        <v>2757.65</v>
      </c>
      <c r="F48" s="16">
        <v>365.61</v>
      </c>
      <c r="G48" s="16">
        <v>17.14</v>
      </c>
      <c r="H48" s="16">
        <v>1851.87</v>
      </c>
      <c r="I48" s="14">
        <v>944.53</v>
      </c>
      <c r="J48" s="14">
        <v>1332.65</v>
      </c>
    </row>
    <row r="49" spans="1:10" ht="18" customHeight="1">
      <c r="A49" s="9">
        <v>44593</v>
      </c>
      <c r="B49" s="3">
        <v>1.0990470000000001</v>
      </c>
      <c r="C49" s="30" t="str">
        <f t="shared" si="2"/>
        <v/>
      </c>
      <c r="D49" s="41" t="str">
        <f t="shared" si="3"/>
        <v/>
      </c>
      <c r="E49" s="16">
        <v>2699.18</v>
      </c>
      <c r="F49" s="16">
        <v>361.54</v>
      </c>
      <c r="G49" s="16">
        <v>24.41</v>
      </c>
      <c r="H49" s="16">
        <v>1828.27</v>
      </c>
      <c r="I49" s="14">
        <v>881.07</v>
      </c>
      <c r="J49" s="14">
        <v>1257.1400000000001</v>
      </c>
    </row>
    <row r="50" spans="1:10" ht="18" customHeight="1">
      <c r="A50" s="9">
        <v>44562</v>
      </c>
      <c r="B50" s="3">
        <v>1.0827770000000001</v>
      </c>
      <c r="C50" s="30" t="str">
        <f t="shared" si="2"/>
        <v/>
      </c>
      <c r="D50" s="41" t="str">
        <f t="shared" si="3"/>
        <v/>
      </c>
      <c r="E50" s="16">
        <v>2663.34</v>
      </c>
      <c r="F50" s="16">
        <v>357.98</v>
      </c>
      <c r="G50" s="16">
        <v>23.97</v>
      </c>
      <c r="H50" s="16">
        <v>1804.99</v>
      </c>
      <c r="I50" s="14">
        <v>872.87</v>
      </c>
      <c r="J50" s="13">
        <v>1244.9000000000001</v>
      </c>
    </row>
    <row r="51" spans="1:10" ht="18" customHeight="1">
      <c r="A51" s="9">
        <v>44531</v>
      </c>
      <c r="B51" s="3">
        <v>1.1415519999999999</v>
      </c>
      <c r="C51" s="30" t="str">
        <f t="shared" si="2"/>
        <v/>
      </c>
      <c r="D51" s="41" t="str">
        <f t="shared" si="3"/>
        <v/>
      </c>
      <c r="E51" s="16">
        <v>2977.65</v>
      </c>
      <c r="F51" s="16">
        <v>394.19</v>
      </c>
      <c r="G51" s="16">
        <v>16.5</v>
      </c>
      <c r="H51" s="16">
        <v>1995.56</v>
      </c>
      <c r="I51" s="14">
        <v>1033.98</v>
      </c>
      <c r="J51" s="14">
        <v>1524.21</v>
      </c>
    </row>
    <row r="52" spans="1:10" ht="18" customHeight="1">
      <c r="A52" s="9">
        <v>44501</v>
      </c>
      <c r="B52" s="3">
        <v>1.1318319999999999</v>
      </c>
      <c r="C52" s="30" t="str">
        <f t="shared" si="2"/>
        <v/>
      </c>
      <c r="D52" s="41" t="str">
        <f t="shared" si="3"/>
        <v/>
      </c>
      <c r="E52" s="16">
        <v>2839.01</v>
      </c>
      <c r="F52" s="16">
        <v>373.24</v>
      </c>
      <c r="G52" s="16">
        <v>23.23</v>
      </c>
      <c r="H52" s="16">
        <v>1873.74</v>
      </c>
      <c r="I52" s="14">
        <v>965.63</v>
      </c>
      <c r="J52" s="14">
        <v>1448.84</v>
      </c>
    </row>
    <row r="53" spans="1:10" ht="18" customHeight="1">
      <c r="A53" s="9">
        <v>44470</v>
      </c>
      <c r="B53" s="3">
        <v>1.1723330000000001</v>
      </c>
      <c r="C53" s="30" t="str">
        <f t="shared" si="2"/>
        <v/>
      </c>
      <c r="D53" s="41" t="str">
        <f t="shared" si="3"/>
        <v/>
      </c>
      <c r="E53" s="16">
        <v>2970.68</v>
      </c>
      <c r="F53" s="16">
        <v>388.47</v>
      </c>
      <c r="G53" s="16">
        <v>18.55</v>
      </c>
      <c r="H53" s="16">
        <v>1948.02</v>
      </c>
      <c r="I53" s="14">
        <v>992.33</v>
      </c>
      <c r="J53" s="14">
        <v>1444.19</v>
      </c>
    </row>
    <row r="54" spans="1:10" ht="18" customHeight="1">
      <c r="A54" s="9">
        <v>44440</v>
      </c>
      <c r="B54" s="3">
        <v>1.2105570000000001</v>
      </c>
      <c r="C54" s="30" t="str">
        <f t="shared" si="2"/>
        <v/>
      </c>
      <c r="D54" s="41" t="str">
        <f t="shared" si="3"/>
        <v/>
      </c>
      <c r="E54" s="16">
        <v>3068.82</v>
      </c>
      <c r="F54" s="16">
        <v>401.3</v>
      </c>
      <c r="G54" s="16">
        <v>17.350000000000001</v>
      </c>
      <c r="H54" s="16">
        <v>2015.02</v>
      </c>
      <c r="I54" s="14">
        <v>1003.27</v>
      </c>
      <c r="J54" s="14">
        <v>1475.06</v>
      </c>
    </row>
    <row r="55" spans="1:10" ht="18" customHeight="1">
      <c r="A55" s="9">
        <v>44409</v>
      </c>
      <c r="B55" s="3">
        <v>1.300484</v>
      </c>
      <c r="C55" s="30" t="str">
        <f t="shared" si="2"/>
        <v/>
      </c>
      <c r="D55" s="41" t="str">
        <f t="shared" si="3"/>
        <v/>
      </c>
      <c r="E55" s="16">
        <v>3199.27</v>
      </c>
      <c r="F55" s="16">
        <v>419.79</v>
      </c>
      <c r="G55" s="16">
        <v>14.76</v>
      </c>
      <c r="H55" s="16">
        <v>2103.6999999999998</v>
      </c>
      <c r="I55" s="14">
        <v>1038.33</v>
      </c>
      <c r="J55" s="14">
        <v>1512.05</v>
      </c>
    </row>
    <row r="56" spans="1:10" ht="18" customHeight="1">
      <c r="A56" s="9">
        <v>44378</v>
      </c>
      <c r="B56" s="3">
        <v>1.2705679999999999</v>
      </c>
      <c r="C56" s="30" t="str">
        <f t="shared" si="2"/>
        <v/>
      </c>
      <c r="D56" s="41" t="str">
        <f t="shared" si="3"/>
        <v/>
      </c>
      <c r="E56" s="16">
        <v>3202.32</v>
      </c>
      <c r="F56" s="16">
        <v>423.91</v>
      </c>
      <c r="G56" s="16">
        <v>17.3</v>
      </c>
      <c r="H56" s="16">
        <v>2128.27</v>
      </c>
      <c r="I56" s="14">
        <v>1031.1400000000001</v>
      </c>
      <c r="J56" s="14">
        <v>1452.86</v>
      </c>
    </row>
    <row r="57" spans="1:10" ht="18" customHeight="1">
      <c r="A57" s="9">
        <v>44348</v>
      </c>
      <c r="B57" s="3">
        <v>1.3026359999999999</v>
      </c>
      <c r="C57" s="30" t="str">
        <f t="shared" si="2"/>
        <v/>
      </c>
      <c r="D57" s="41" t="str">
        <f t="shared" si="3"/>
        <v/>
      </c>
      <c r="E57" s="16">
        <v>3296.68</v>
      </c>
      <c r="F57" s="16">
        <v>438.84</v>
      </c>
      <c r="G57" s="16">
        <v>14.17</v>
      </c>
      <c r="H57" s="16">
        <v>2200.7399999999998</v>
      </c>
      <c r="I57" s="14">
        <v>1029.96</v>
      </c>
      <c r="J57" s="14">
        <v>1464.08</v>
      </c>
    </row>
    <row r="58" spans="1:10" ht="18" customHeight="1">
      <c r="A58" s="9">
        <v>44317</v>
      </c>
      <c r="B58" s="3">
        <v>1.2930200000000001</v>
      </c>
      <c r="C58" s="30" t="str">
        <f t="shared" si="2"/>
        <v/>
      </c>
      <c r="D58" s="41" t="str">
        <f t="shared" si="3"/>
        <v/>
      </c>
      <c r="E58" s="16">
        <v>3203.92</v>
      </c>
      <c r="F58" s="16">
        <v>427.91</v>
      </c>
      <c r="G58" s="16">
        <v>17.04</v>
      </c>
      <c r="H58" s="16">
        <v>2141.91</v>
      </c>
      <c r="I58" s="14">
        <v>981.78</v>
      </c>
      <c r="J58" s="13">
        <v>1399.6</v>
      </c>
    </row>
    <row r="59" spans="1:10" ht="18" customHeight="1">
      <c r="A59" s="9">
        <v>44287</v>
      </c>
      <c r="B59" s="3">
        <v>1.281185</v>
      </c>
      <c r="C59" s="30" t="str">
        <f t="shared" si="2"/>
        <v/>
      </c>
      <c r="D59" s="41" t="str">
        <f t="shared" si="3"/>
        <v/>
      </c>
      <c r="E59" s="16">
        <v>3147.86</v>
      </c>
      <c r="F59" s="16">
        <v>422.36</v>
      </c>
      <c r="G59" s="16">
        <v>18.84</v>
      </c>
      <c r="H59" s="16">
        <v>2113.87</v>
      </c>
      <c r="I59" s="14">
        <v>983.45</v>
      </c>
      <c r="J59" s="14">
        <v>1405.47</v>
      </c>
    </row>
    <row r="60" spans="1:10" ht="18" customHeight="1">
      <c r="A60" s="9">
        <v>44256</v>
      </c>
      <c r="B60" s="3">
        <v>1.2439530000000001</v>
      </c>
      <c r="C60" s="30" t="str">
        <f t="shared" si="2"/>
        <v/>
      </c>
      <c r="D60" s="41" t="str">
        <f t="shared" si="3"/>
        <v/>
      </c>
      <c r="E60" s="16">
        <v>3061.42</v>
      </c>
      <c r="F60" s="16">
        <v>415.04</v>
      </c>
      <c r="G60" s="16">
        <v>20.440000000000001</v>
      </c>
      <c r="H60" s="16">
        <v>2076.56</v>
      </c>
      <c r="I60" s="14">
        <v>956.17</v>
      </c>
      <c r="J60" s="13">
        <v>1423.2</v>
      </c>
    </row>
    <row r="61" spans="1:10" ht="18" customHeight="1">
      <c r="A61" s="9">
        <v>44228</v>
      </c>
      <c r="B61" s="3">
        <v>1.216664</v>
      </c>
      <c r="C61" s="30" t="str">
        <f t="shared" si="2"/>
        <v/>
      </c>
      <c r="D61" s="41" t="str">
        <f t="shared" si="3"/>
        <v/>
      </c>
      <c r="E61" s="16">
        <v>3012.95</v>
      </c>
      <c r="F61" s="16">
        <v>409.91</v>
      </c>
      <c r="G61" s="16">
        <v>31.34</v>
      </c>
      <c r="H61" s="16">
        <v>2049.71</v>
      </c>
      <c r="I61" s="14">
        <v>913.94</v>
      </c>
      <c r="J61" s="14">
        <v>1363.12</v>
      </c>
    </row>
    <row r="62" spans="1:10" ht="18" customHeight="1">
      <c r="A62" s="9">
        <v>44197</v>
      </c>
      <c r="B62" s="3">
        <v>1.200699</v>
      </c>
      <c r="C62" s="30" t="str">
        <f t="shared" si="2"/>
        <v/>
      </c>
      <c r="D62" s="41" t="str">
        <f t="shared" si="3"/>
        <v/>
      </c>
      <c r="E62" s="16">
        <v>2976.21</v>
      </c>
      <c r="F62" s="16">
        <v>404.56</v>
      </c>
      <c r="G62" s="16">
        <v>35.729999999999997</v>
      </c>
      <c r="H62" s="16">
        <v>2022.21</v>
      </c>
      <c r="I62" s="14">
        <v>928.73</v>
      </c>
      <c r="J62" s="14">
        <v>1427.72</v>
      </c>
    </row>
    <row r="63" spans="1:10" ht="18" customHeight="1">
      <c r="A63" s="9">
        <v>44166</v>
      </c>
      <c r="B63" s="3">
        <v>1.1567099999999999</v>
      </c>
      <c r="C63" s="30" t="str">
        <f t="shared" si="2"/>
        <v/>
      </c>
      <c r="D63" s="41" t="str">
        <f t="shared" si="3"/>
        <v/>
      </c>
      <c r="E63" s="16">
        <v>2873.47</v>
      </c>
      <c r="F63" s="16">
        <v>389.29</v>
      </c>
      <c r="G63" s="16">
        <v>22.09</v>
      </c>
      <c r="H63" s="16">
        <v>1945.71</v>
      </c>
      <c r="I63" s="14">
        <v>968.42</v>
      </c>
      <c r="J63" s="14">
        <v>1532.52</v>
      </c>
    </row>
    <row r="64" spans="1:10" ht="18" customHeight="1">
      <c r="A64" s="9">
        <v>44136</v>
      </c>
      <c r="B64" s="3">
        <v>1.0639050000000001</v>
      </c>
      <c r="C64" s="30" t="str">
        <f t="shared" si="2"/>
        <v/>
      </c>
      <c r="D64" s="41" t="str">
        <f t="shared" si="3"/>
        <v/>
      </c>
      <c r="E64" s="16">
        <v>2591.34</v>
      </c>
      <c r="F64" s="16">
        <v>346.05</v>
      </c>
      <c r="G64" s="16">
        <v>20.77</v>
      </c>
      <c r="H64" s="16">
        <v>1713.2</v>
      </c>
      <c r="I64" s="14">
        <v>886.11</v>
      </c>
      <c r="J64" s="14">
        <v>1348.49</v>
      </c>
    </row>
    <row r="65" spans="1:19" ht="18" customHeight="1">
      <c r="A65" s="9">
        <v>44105</v>
      </c>
      <c r="B65" s="3">
        <v>0.92899500000000002</v>
      </c>
      <c r="C65" s="30" t="str">
        <f t="shared" si="2"/>
        <v/>
      </c>
      <c r="D65" s="41" t="str">
        <f t="shared" si="3"/>
        <v/>
      </c>
      <c r="E65" s="16">
        <v>2267.15</v>
      </c>
      <c r="F65" s="16">
        <v>301.60000000000002</v>
      </c>
      <c r="G65" s="16">
        <v>31.97</v>
      </c>
      <c r="H65" s="16">
        <v>1488.97</v>
      </c>
      <c r="I65" s="14">
        <v>792.65</v>
      </c>
      <c r="J65" s="14">
        <v>1203.73</v>
      </c>
    </row>
    <row r="66" spans="1:19" ht="18" customHeight="1">
      <c r="A66" s="9">
        <v>44075</v>
      </c>
      <c r="B66" s="12">
        <v>0.94691700000000001</v>
      </c>
      <c r="C66" s="30" t="str">
        <f t="shared" si="2"/>
        <v/>
      </c>
      <c r="D66" s="41" t="str">
        <f t="shared" si="3"/>
        <v/>
      </c>
      <c r="E66" s="16">
        <v>2327.89</v>
      </c>
      <c r="F66" s="16">
        <v>309.44</v>
      </c>
      <c r="G66" s="16">
        <v>24.15</v>
      </c>
      <c r="H66" s="16">
        <v>1529.18</v>
      </c>
      <c r="I66" s="14">
        <v>848.15</v>
      </c>
      <c r="J66" s="14">
        <v>1310.49</v>
      </c>
    </row>
    <row r="67" spans="1:19" ht="18" customHeight="1">
      <c r="A67" s="9">
        <v>44044</v>
      </c>
      <c r="B67" s="12">
        <v>0.96567000000000003</v>
      </c>
      <c r="C67" s="30" t="str">
        <f t="shared" si="2"/>
        <v/>
      </c>
      <c r="D67" s="41" t="str">
        <f t="shared" si="3"/>
        <v/>
      </c>
      <c r="E67" s="16">
        <v>2326.17</v>
      </c>
      <c r="F67" s="16">
        <v>307.14</v>
      </c>
      <c r="G67" s="16">
        <v>27.77</v>
      </c>
      <c r="H67" s="16">
        <v>1510.89</v>
      </c>
      <c r="I67" s="14">
        <v>848.24</v>
      </c>
      <c r="J67" s="14">
        <v>1336.94</v>
      </c>
      <c r="S67" s="32"/>
    </row>
    <row r="68" spans="1:19" ht="18" customHeight="1">
      <c r="A68" s="9">
        <v>44013</v>
      </c>
      <c r="B68" s="12">
        <v>0.93300700000000003</v>
      </c>
      <c r="C68" s="30" t="str">
        <f t="shared" ref="C68:C131" si="6">IF(B68&lt;=C$1, "Risk", "")</f>
        <v/>
      </c>
      <c r="D68" s="41" t="str">
        <f t="shared" si="3"/>
        <v/>
      </c>
      <c r="E68" s="16">
        <v>2249.37</v>
      </c>
      <c r="F68" s="16">
        <v>299.32</v>
      </c>
      <c r="G68" s="16">
        <v>23.57</v>
      </c>
      <c r="H68" s="16">
        <v>1474.68</v>
      </c>
      <c r="I68" s="13">
        <v>815.3</v>
      </c>
      <c r="J68" s="14">
        <v>1277.58</v>
      </c>
      <c r="R68" s="33"/>
      <c r="S68" s="32"/>
    </row>
    <row r="69" spans="1:19" ht="18" customHeight="1">
      <c r="A69" s="9">
        <v>43983</v>
      </c>
      <c r="B69" s="12">
        <v>0.86749100000000001</v>
      </c>
      <c r="C69" s="30" t="str">
        <f t="shared" si="6"/>
        <v>Risk</v>
      </c>
      <c r="D69" s="41" t="str">
        <f t="shared" ref="D69:D132" si="7">IF(B69&lt;=D$1, "Risk", "")</f>
        <v/>
      </c>
      <c r="E69" s="16">
        <v>2108.33</v>
      </c>
      <c r="F69" s="16">
        <v>280.08999999999997</v>
      </c>
      <c r="G69" s="16">
        <v>31.07</v>
      </c>
      <c r="H69" s="16">
        <v>1383.3</v>
      </c>
      <c r="I69" s="14">
        <v>737.97</v>
      </c>
      <c r="J69" s="14">
        <v>1167.1400000000001</v>
      </c>
      <c r="Q69" s="33"/>
      <c r="R69" s="33"/>
      <c r="S69" s="32"/>
    </row>
    <row r="70" spans="1:19" ht="18" customHeight="1">
      <c r="A70" s="9">
        <v>43952</v>
      </c>
      <c r="B70" s="12">
        <v>0.83083600000000002</v>
      </c>
      <c r="C70" s="30" t="str">
        <f t="shared" si="6"/>
        <v>Risk</v>
      </c>
      <c r="D70" s="41" t="str">
        <f t="shared" si="7"/>
        <v>Risk</v>
      </c>
      <c r="E70" s="16">
        <v>2029.6</v>
      </c>
      <c r="F70" s="16">
        <v>268.32</v>
      </c>
      <c r="G70" s="16">
        <v>25.64</v>
      </c>
      <c r="H70" s="16">
        <v>1311.92</v>
      </c>
      <c r="I70" s="14">
        <v>713.68</v>
      </c>
      <c r="J70" s="14">
        <v>1093.3800000000001</v>
      </c>
      <c r="P70" s="33"/>
      <c r="Q70" s="33"/>
      <c r="R70" s="33"/>
      <c r="S70" s="32"/>
    </row>
    <row r="71" spans="1:19" ht="18" customHeight="1">
      <c r="A71" s="9">
        <v>43922</v>
      </c>
      <c r="B71" s="12">
        <v>0.79072900000000002</v>
      </c>
      <c r="C71" s="30" t="str">
        <f t="shared" si="6"/>
        <v>Risk</v>
      </c>
      <c r="D71" s="41" t="str">
        <f t="shared" si="7"/>
        <v>Risk</v>
      </c>
      <c r="E71" s="16">
        <v>1947.56</v>
      </c>
      <c r="F71" s="16">
        <v>258.14999999999998</v>
      </c>
      <c r="G71" s="16">
        <v>30.51</v>
      </c>
      <c r="H71" s="16">
        <v>1268.19</v>
      </c>
      <c r="I71" s="14">
        <v>645.17999999999995</v>
      </c>
      <c r="J71" s="13">
        <v>992.7</v>
      </c>
      <c r="O71" s="33"/>
      <c r="P71" s="33"/>
      <c r="Q71" s="33"/>
      <c r="R71" s="33"/>
      <c r="S71" s="32"/>
    </row>
    <row r="72" spans="1:19" ht="18" customHeight="1">
      <c r="A72" s="9">
        <v>43891</v>
      </c>
      <c r="B72" s="11">
        <v>0.71247499999999997</v>
      </c>
      <c r="C72" s="30" t="str">
        <f t="shared" si="6"/>
        <v>Risk</v>
      </c>
      <c r="D72" s="41" t="str">
        <f t="shared" si="7"/>
        <v>Risk</v>
      </c>
      <c r="E72" s="16">
        <v>1754.64</v>
      </c>
      <c r="F72" s="16">
        <v>236.82</v>
      </c>
      <c r="G72" s="16">
        <v>48.55</v>
      </c>
      <c r="H72" s="16">
        <v>1159.5999999999999</v>
      </c>
      <c r="I72" s="14">
        <v>569.07000000000005</v>
      </c>
      <c r="J72" s="13">
        <v>916.5</v>
      </c>
      <c r="N72" s="33"/>
      <c r="O72" s="32"/>
      <c r="P72" s="32"/>
      <c r="Q72" s="32"/>
      <c r="R72" s="32"/>
      <c r="S72" s="32"/>
    </row>
    <row r="73" spans="1:19" ht="18" customHeight="1">
      <c r="A73" s="9">
        <v>43862</v>
      </c>
      <c r="B73" s="3">
        <v>0.806952</v>
      </c>
      <c r="C73" s="30" t="str">
        <f t="shared" si="6"/>
        <v>Risk</v>
      </c>
      <c r="D73" s="41" t="str">
        <f t="shared" si="7"/>
        <v>Risk</v>
      </c>
      <c r="E73" s="16">
        <v>1987.01</v>
      </c>
      <c r="F73" s="16">
        <v>268.02</v>
      </c>
      <c r="G73" s="16">
        <v>33.81</v>
      </c>
      <c r="H73" s="16">
        <v>1312.77</v>
      </c>
      <c r="I73" s="14">
        <v>610.73</v>
      </c>
      <c r="J73" s="14">
        <v>927.48</v>
      </c>
      <c r="M73" s="33"/>
      <c r="N73" s="33"/>
      <c r="O73" s="32"/>
      <c r="P73" s="32"/>
      <c r="Q73" s="32"/>
      <c r="R73" s="32"/>
      <c r="S73" s="32"/>
    </row>
    <row r="74" spans="1:19" ht="18" customHeight="1">
      <c r="A74" s="9">
        <v>43831</v>
      </c>
      <c r="B74" s="11">
        <v>0.85994499999999996</v>
      </c>
      <c r="C74" s="30" t="str">
        <f t="shared" si="6"/>
        <v>Risk</v>
      </c>
      <c r="D74" s="41" t="str">
        <f t="shared" si="7"/>
        <v/>
      </c>
      <c r="E74" s="16">
        <v>2119.0100000000002</v>
      </c>
      <c r="F74" s="16">
        <v>284.52999999999997</v>
      </c>
      <c r="G74" s="16">
        <v>19.29</v>
      </c>
      <c r="H74" s="16">
        <v>1397.56</v>
      </c>
      <c r="I74" s="14">
        <v>642.48</v>
      </c>
      <c r="J74" s="14">
        <v>958.52</v>
      </c>
      <c r="L74" s="33"/>
      <c r="M74" s="33"/>
      <c r="N74" s="33"/>
      <c r="O74" s="32"/>
      <c r="P74" s="32"/>
      <c r="Q74" s="32"/>
      <c r="R74" s="32"/>
      <c r="S74" s="32"/>
    </row>
    <row r="75" spans="1:19" ht="18" customHeight="1">
      <c r="A75" s="9">
        <v>43800</v>
      </c>
      <c r="B75" s="11">
        <v>0.89135299999999995</v>
      </c>
      <c r="C75" s="30" t="str">
        <f t="shared" si="6"/>
        <v>Risk</v>
      </c>
      <c r="D75" s="41" t="str">
        <f t="shared" si="7"/>
        <v/>
      </c>
      <c r="E75" s="16">
        <v>2197.67</v>
      </c>
      <c r="F75" s="16">
        <v>293.77</v>
      </c>
      <c r="G75" s="16">
        <v>14.69</v>
      </c>
      <c r="H75" s="16">
        <v>1446.82</v>
      </c>
      <c r="I75" s="14">
        <v>669.83</v>
      </c>
      <c r="J75" s="14">
        <v>1029.57</v>
      </c>
      <c r="K75" s="33"/>
      <c r="L75" s="33"/>
      <c r="M75" s="33"/>
      <c r="N75" s="33"/>
      <c r="O75" s="32"/>
      <c r="P75" s="32"/>
      <c r="Q75" s="32"/>
      <c r="R75" s="32"/>
      <c r="S75" s="32"/>
    </row>
    <row r="76" spans="1:19" ht="18" customHeight="1">
      <c r="A76" s="9">
        <v>43770</v>
      </c>
      <c r="B76" s="11">
        <v>0.86090999999999995</v>
      </c>
      <c r="C76" s="30" t="str">
        <f t="shared" si="6"/>
        <v>Risk</v>
      </c>
      <c r="D76" s="41" t="str">
        <f t="shared" si="7"/>
        <v/>
      </c>
      <c r="E76" s="16">
        <v>2087.96</v>
      </c>
      <c r="F76" s="16">
        <v>276.77999999999997</v>
      </c>
      <c r="G76" s="16">
        <v>13.96</v>
      </c>
      <c r="H76" s="16">
        <v>1347.44</v>
      </c>
      <c r="I76" s="14">
        <v>632.99</v>
      </c>
      <c r="J76" s="14">
        <v>946.89</v>
      </c>
      <c r="K76" s="33"/>
      <c r="L76" s="33"/>
      <c r="M76" s="33"/>
      <c r="N76" s="33"/>
      <c r="O76" s="32"/>
      <c r="P76" s="32"/>
      <c r="Q76" s="32"/>
      <c r="R76" s="32"/>
      <c r="S76" s="32"/>
    </row>
    <row r="77" spans="1:19" ht="18" customHeight="1">
      <c r="A77" s="9">
        <v>43739</v>
      </c>
      <c r="B77" s="11">
        <v>0.85831400000000002</v>
      </c>
      <c r="C77" s="30" t="str">
        <f t="shared" si="6"/>
        <v>Risk</v>
      </c>
      <c r="D77" s="41" t="str">
        <f t="shared" si="7"/>
        <v/>
      </c>
      <c r="E77" s="16">
        <v>2083.48</v>
      </c>
      <c r="F77" s="16">
        <v>275.82</v>
      </c>
      <c r="G77" s="16">
        <v>13.59</v>
      </c>
      <c r="H77" s="16">
        <v>1342.34</v>
      </c>
      <c r="I77" s="14">
        <v>658.52</v>
      </c>
      <c r="J77" s="14">
        <v>1016.62</v>
      </c>
      <c r="K77" s="33"/>
      <c r="L77" s="33"/>
      <c r="M77" s="33"/>
      <c r="N77" s="33"/>
      <c r="O77" s="32"/>
      <c r="P77" s="32"/>
      <c r="Q77" s="32"/>
      <c r="R77" s="32"/>
      <c r="S77" s="32"/>
    </row>
    <row r="78" spans="1:19" ht="18" customHeight="1">
      <c r="A78" s="9">
        <v>43709</v>
      </c>
      <c r="B78" s="11">
        <v>0.84934799999999999</v>
      </c>
      <c r="C78" s="30" t="str">
        <f t="shared" si="6"/>
        <v>Risk</v>
      </c>
      <c r="D78" s="41" t="str">
        <f t="shared" si="7"/>
        <v>Risk</v>
      </c>
      <c r="E78" s="16">
        <v>2063.0500000000002</v>
      </c>
      <c r="F78" s="16">
        <v>273.55</v>
      </c>
      <c r="G78" s="16">
        <v>15.15</v>
      </c>
      <c r="H78" s="16">
        <v>1330.93</v>
      </c>
      <c r="I78" s="14">
        <v>621.76</v>
      </c>
      <c r="J78" s="14">
        <v>894.36</v>
      </c>
      <c r="K78" s="33"/>
      <c r="L78" s="33"/>
      <c r="M78" s="33"/>
      <c r="N78" s="33"/>
      <c r="O78" s="32"/>
      <c r="P78" s="32"/>
      <c r="Q78" s="32"/>
      <c r="R78" s="32"/>
      <c r="S78" s="32"/>
    </row>
    <row r="79" spans="1:19" ht="18" customHeight="1">
      <c r="A79" s="9">
        <v>43678</v>
      </c>
      <c r="B79" s="11">
        <v>0.826874</v>
      </c>
      <c r="C79" s="30" t="str">
        <f t="shared" si="6"/>
        <v>Risk</v>
      </c>
      <c r="D79" s="41" t="str">
        <f t="shared" si="7"/>
        <v>Risk</v>
      </c>
      <c r="E79" s="16">
        <v>1967.79</v>
      </c>
      <c r="F79" s="16">
        <v>259</v>
      </c>
      <c r="G79" s="16">
        <v>15.75</v>
      </c>
      <c r="H79" s="16">
        <v>1258.81</v>
      </c>
      <c r="I79" s="14">
        <v>610.54999999999995</v>
      </c>
      <c r="J79" s="14">
        <v>891.39</v>
      </c>
      <c r="K79" s="35">
        <f>1+(($H75/$H79)-1)*2</f>
        <v>1.2987106870774778</v>
      </c>
      <c r="L79" s="35">
        <f>1+(($H74/$H79)-1)*2</f>
        <v>1.2204462945162495</v>
      </c>
      <c r="M79" s="35">
        <f>1+(($H73/$H79)-1)*2</f>
        <v>1.0857317625376348</v>
      </c>
      <c r="N79" s="35">
        <f>1+(($H72/$H79)-1)*2</f>
        <v>0.84237494141292157</v>
      </c>
      <c r="O79" s="35">
        <f>1+(($H71/$H79)-1)*2</f>
        <v>1.0149029639103602</v>
      </c>
      <c r="P79" s="35">
        <f>1+(($H70/$H79)-1)*2</f>
        <v>1.0843812807333912</v>
      </c>
      <c r="Q79" s="35">
        <f>1+(($H69/$H79)-1)*2</f>
        <v>1.1977899762474085</v>
      </c>
      <c r="R79" s="35">
        <f>1+(($H68/$H79)-1)*2</f>
        <v>1.3429747142142183</v>
      </c>
      <c r="S79" s="35">
        <f>1+(($H67/$H79)-1)*2</f>
        <v>1.4005052390749997</v>
      </c>
    </row>
    <row r="80" spans="1:19" ht="18" customHeight="1">
      <c r="A80" s="9">
        <v>43647</v>
      </c>
      <c r="B80" s="3">
        <v>0.85062599999999999</v>
      </c>
      <c r="C80" s="30" t="str">
        <f t="shared" si="6"/>
        <v>Risk</v>
      </c>
      <c r="D80" s="41" t="str">
        <f t="shared" si="7"/>
        <v/>
      </c>
      <c r="E80" s="16">
        <v>2024.55</v>
      </c>
      <c r="F80" s="16">
        <v>266.33999999999997</v>
      </c>
      <c r="G80" s="16">
        <v>15.29</v>
      </c>
      <c r="H80" s="16">
        <v>1296.21</v>
      </c>
      <c r="I80" s="14">
        <v>630.17999999999995</v>
      </c>
      <c r="J80" s="14">
        <v>939.73</v>
      </c>
      <c r="K80" s="33"/>
      <c r="L80" s="33"/>
      <c r="M80" s="33"/>
      <c r="N80" s="33"/>
      <c r="O80" s="32"/>
      <c r="P80" s="32"/>
      <c r="Q80" s="32"/>
      <c r="R80" s="32"/>
      <c r="S80" s="32"/>
    </row>
    <row r="81" spans="1:19" ht="18" customHeight="1">
      <c r="A81" s="9">
        <v>43617</v>
      </c>
      <c r="B81" s="3">
        <v>0.89509099999999997</v>
      </c>
      <c r="C81" s="30" t="str">
        <f t="shared" si="6"/>
        <v>Risk</v>
      </c>
      <c r="D81" s="41" t="str">
        <f t="shared" si="7"/>
        <v/>
      </c>
      <c r="E81" s="16">
        <v>2130.62</v>
      </c>
      <c r="F81" s="16">
        <v>277.5</v>
      </c>
      <c r="G81" s="16">
        <v>14.43</v>
      </c>
      <c r="H81" s="16">
        <v>1352.31</v>
      </c>
      <c r="I81" s="14">
        <v>690.53</v>
      </c>
      <c r="J81" s="14">
        <v>1012.74</v>
      </c>
      <c r="K81" s="33"/>
      <c r="L81" s="33"/>
      <c r="M81" s="33"/>
      <c r="N81" s="33"/>
      <c r="O81" s="32"/>
      <c r="P81" s="32"/>
      <c r="Q81" s="32"/>
      <c r="R81" s="32"/>
      <c r="S81" s="32"/>
    </row>
    <row r="82" spans="1:19" ht="18" customHeight="1">
      <c r="A82" s="9">
        <v>43586</v>
      </c>
      <c r="B82" s="3">
        <v>0.87327999999999995</v>
      </c>
      <c r="C82" s="30" t="str">
        <f t="shared" si="6"/>
        <v>Risk</v>
      </c>
      <c r="D82" s="41" t="str">
        <f t="shared" si="7"/>
        <v/>
      </c>
      <c r="E82" s="16">
        <v>2041.74</v>
      </c>
      <c r="F82" s="16">
        <v>263.89</v>
      </c>
      <c r="G82" s="16">
        <v>17.32</v>
      </c>
      <c r="H82" s="16">
        <v>1280.67</v>
      </c>
      <c r="I82" s="14">
        <v>696.47</v>
      </c>
      <c r="J82" s="14">
        <v>1075.28</v>
      </c>
      <c r="K82" s="34">
        <f>$H79/$H82</f>
        <v>0.98293080965432145</v>
      </c>
      <c r="L82" s="34">
        <f t="shared" ref="L82:M82" si="8">$H79/$H82</f>
        <v>0.98293080965432145</v>
      </c>
      <c r="M82" s="34">
        <f t="shared" si="8"/>
        <v>0.98293080965432145</v>
      </c>
      <c r="N82" s="33"/>
      <c r="O82" s="33"/>
      <c r="P82" s="33"/>
      <c r="Q82" s="33"/>
      <c r="R82" s="33"/>
      <c r="S82" s="32"/>
    </row>
    <row r="83" spans="1:19" ht="18" customHeight="1">
      <c r="A83" s="9">
        <v>43556</v>
      </c>
      <c r="B83" s="3">
        <v>0.947048</v>
      </c>
      <c r="C83" s="30" t="str">
        <f t="shared" si="6"/>
        <v/>
      </c>
      <c r="D83" s="41" t="str">
        <f t="shared" si="7"/>
        <v/>
      </c>
      <c r="E83" s="16">
        <v>2203.59</v>
      </c>
      <c r="F83" s="16">
        <v>284.92</v>
      </c>
      <c r="G83" s="16">
        <v>13.28</v>
      </c>
      <c r="H83" s="16">
        <v>1387.11</v>
      </c>
      <c r="I83" s="14">
        <v>754.74</v>
      </c>
      <c r="J83" s="14">
        <v>1207.56</v>
      </c>
      <c r="M83" s="33"/>
      <c r="N83" s="33"/>
      <c r="O83" s="33"/>
      <c r="P83" s="33"/>
      <c r="Q83" s="33"/>
      <c r="R83" s="33"/>
      <c r="S83" s="32"/>
    </row>
    <row r="84" spans="1:19" ht="18" customHeight="1">
      <c r="A84" s="9">
        <v>43525</v>
      </c>
      <c r="B84" s="3">
        <v>0.91991199999999995</v>
      </c>
      <c r="C84" s="30" t="str">
        <f t="shared" si="6"/>
        <v/>
      </c>
      <c r="D84" s="41" t="str">
        <f t="shared" si="7"/>
        <v/>
      </c>
      <c r="E84" s="16">
        <v>2140.67</v>
      </c>
      <c r="F84" s="16">
        <v>276.48</v>
      </c>
      <c r="G84" s="16">
        <v>14.29</v>
      </c>
      <c r="H84" s="16">
        <v>1347.26</v>
      </c>
      <c r="I84" s="14">
        <v>729.31</v>
      </c>
      <c r="J84" s="13">
        <v>1193.9000000000001</v>
      </c>
      <c r="L84" s="33"/>
      <c r="M84" s="33"/>
      <c r="N84" s="33"/>
      <c r="O84" s="33"/>
      <c r="P84" s="33"/>
      <c r="Q84" s="33"/>
      <c r="R84" s="33"/>
      <c r="S84" s="32"/>
    </row>
    <row r="85" spans="1:19" ht="18" customHeight="1">
      <c r="A85" s="9">
        <v>43497</v>
      </c>
      <c r="B85" s="3">
        <v>0.94048799999999999</v>
      </c>
      <c r="C85" s="30" t="str">
        <f t="shared" si="6"/>
        <v/>
      </c>
      <c r="D85" s="41" t="str">
        <f t="shared" si="7"/>
        <v/>
      </c>
      <c r="E85" s="16">
        <v>2195.44</v>
      </c>
      <c r="F85" s="16">
        <v>283.8</v>
      </c>
      <c r="G85" s="16">
        <v>15.49</v>
      </c>
      <c r="H85" s="16">
        <v>1383.39</v>
      </c>
      <c r="I85" s="14">
        <v>731.25</v>
      </c>
      <c r="J85" s="14">
        <v>1235.26</v>
      </c>
      <c r="K85" s="33"/>
      <c r="L85" s="33"/>
      <c r="M85" s="33"/>
      <c r="N85" s="33"/>
      <c r="O85" s="32"/>
      <c r="P85" s="32"/>
      <c r="Q85" s="32"/>
      <c r="R85" s="32"/>
      <c r="S85" s="32"/>
    </row>
    <row r="86" spans="1:19" ht="18" customHeight="1">
      <c r="A86" s="9">
        <v>43466</v>
      </c>
      <c r="B86" s="3">
        <v>0.93744499999999997</v>
      </c>
      <c r="C86" s="30" t="str">
        <f t="shared" si="6"/>
        <v/>
      </c>
      <c r="D86" s="41" t="str">
        <f t="shared" si="7"/>
        <v/>
      </c>
      <c r="E86" s="16">
        <v>2204.85</v>
      </c>
      <c r="F86" s="16">
        <v>285.89</v>
      </c>
      <c r="G86" s="16">
        <v>15.51</v>
      </c>
      <c r="H86" s="16">
        <v>1398.5</v>
      </c>
      <c r="I86" s="14">
        <v>716.86</v>
      </c>
      <c r="J86" s="14">
        <v>1191.47</v>
      </c>
      <c r="K86" s="33"/>
      <c r="L86" s="33"/>
      <c r="M86" s="33"/>
      <c r="N86" s="33"/>
      <c r="O86" s="32"/>
      <c r="P86" s="32"/>
      <c r="Q86" s="32"/>
      <c r="R86" s="32"/>
      <c r="S86" s="32"/>
    </row>
    <row r="87" spans="1:19" ht="18" customHeight="1">
      <c r="A87" s="9">
        <v>43435</v>
      </c>
      <c r="B87" s="3">
        <v>0.867363</v>
      </c>
      <c r="C87" s="30" t="str">
        <f t="shared" si="6"/>
        <v>Risk</v>
      </c>
      <c r="D87" s="41" t="str">
        <f t="shared" si="7"/>
        <v/>
      </c>
      <c r="E87" s="16">
        <v>2041.04</v>
      </c>
      <c r="F87" s="16">
        <v>261.98</v>
      </c>
      <c r="G87" s="16">
        <v>18.989999999999998</v>
      </c>
      <c r="H87" s="16">
        <v>1276.9000000000001</v>
      </c>
      <c r="I87" s="14">
        <v>675.65</v>
      </c>
      <c r="J87" s="14">
        <v>1166.25</v>
      </c>
      <c r="K87" s="33"/>
      <c r="L87" s="33"/>
      <c r="M87" s="33"/>
      <c r="N87" s="33"/>
      <c r="O87" s="32"/>
      <c r="P87" s="32"/>
      <c r="Q87" s="32"/>
      <c r="R87" s="32"/>
      <c r="S87" s="32"/>
    </row>
    <row r="88" spans="1:19" ht="18" customHeight="1">
      <c r="A88" s="9">
        <v>43405</v>
      </c>
      <c r="B88" s="3">
        <v>0.92381400000000002</v>
      </c>
      <c r="C88" s="30" t="str">
        <f t="shared" si="6"/>
        <v/>
      </c>
      <c r="D88" s="41" t="str">
        <f t="shared" si="7"/>
        <v/>
      </c>
      <c r="E88" s="16">
        <v>2096.86</v>
      </c>
      <c r="F88" s="16">
        <v>271.35000000000002</v>
      </c>
      <c r="G88" s="16">
        <v>18.57</v>
      </c>
      <c r="H88" s="16">
        <v>1309.6300000000001</v>
      </c>
      <c r="I88" s="14">
        <v>695.76</v>
      </c>
      <c r="J88" s="14">
        <v>1186.6300000000001</v>
      </c>
      <c r="K88" s="33"/>
      <c r="L88" s="33"/>
      <c r="M88" s="33"/>
      <c r="N88" s="33"/>
      <c r="O88" s="32"/>
      <c r="P88" s="32"/>
      <c r="Q88" s="32"/>
      <c r="R88" s="32"/>
      <c r="S88" s="32"/>
    </row>
    <row r="89" spans="1:19" ht="18" customHeight="1">
      <c r="A89" s="9">
        <v>43374</v>
      </c>
      <c r="B89" s="3">
        <v>0.89380899999999996</v>
      </c>
      <c r="C89" s="30" t="str">
        <f t="shared" si="6"/>
        <v>Risk</v>
      </c>
      <c r="D89" s="41" t="str">
        <f t="shared" si="7"/>
        <v/>
      </c>
      <c r="E89" s="16">
        <v>2029.69</v>
      </c>
      <c r="F89" s="16">
        <v>264.01</v>
      </c>
      <c r="G89" s="16">
        <v>20.49</v>
      </c>
      <c r="H89" s="16">
        <v>1273.47</v>
      </c>
      <c r="I89" s="14">
        <v>648.66999999999996</v>
      </c>
      <c r="J89" s="14">
        <v>1124.49</v>
      </c>
      <c r="K89" s="34">
        <f>$H85/$H89</f>
        <v>1.0863153431176236</v>
      </c>
      <c r="L89" s="34">
        <f>$H84/$H89</f>
        <v>1.0579440426551077</v>
      </c>
      <c r="M89" s="34">
        <f>$H83/$H89</f>
        <v>1.089236495559377</v>
      </c>
      <c r="N89" s="34">
        <f>$H79/$H89</f>
        <v>0.98848814656018591</v>
      </c>
      <c r="O89" s="34">
        <f t="shared" ref="O89:S89" si="9">$H79/$H89</f>
        <v>0.98848814656018591</v>
      </c>
      <c r="P89" s="34">
        <f t="shared" si="9"/>
        <v>0.98848814656018591</v>
      </c>
      <c r="Q89" s="34">
        <f t="shared" si="9"/>
        <v>0.98848814656018591</v>
      </c>
      <c r="R89" s="34">
        <f t="shared" si="9"/>
        <v>0.98848814656018591</v>
      </c>
      <c r="S89" s="34">
        <f t="shared" si="9"/>
        <v>0.98848814656018591</v>
      </c>
    </row>
    <row r="90" spans="1:19" ht="18" customHeight="1">
      <c r="A90" s="9">
        <v>43344</v>
      </c>
      <c r="B90" s="3">
        <v>1.030465</v>
      </c>
      <c r="C90" s="30" t="str">
        <f t="shared" si="6"/>
        <v/>
      </c>
      <c r="D90" s="41" t="str">
        <f t="shared" si="7"/>
        <v/>
      </c>
      <c r="E90" s="16">
        <v>2343.0700000000002</v>
      </c>
      <c r="F90" s="16">
        <v>300.51</v>
      </c>
      <c r="G90" s="16">
        <v>11.24</v>
      </c>
      <c r="H90" s="16">
        <v>1454.29</v>
      </c>
      <c r="I90" s="14">
        <v>822.27</v>
      </c>
      <c r="J90" s="14">
        <v>1411.73</v>
      </c>
    </row>
    <row r="91" spans="1:19" ht="18" customHeight="1">
      <c r="A91" s="9">
        <v>43313</v>
      </c>
      <c r="B91" s="3">
        <v>1.0442990000000001</v>
      </c>
      <c r="C91" s="30" t="str">
        <f t="shared" si="6"/>
        <v/>
      </c>
      <c r="D91" s="41" t="str">
        <f t="shared" si="7"/>
        <v/>
      </c>
      <c r="E91" s="16">
        <v>2322.88</v>
      </c>
      <c r="F91" s="16">
        <v>300.07</v>
      </c>
      <c r="G91" s="16">
        <v>11.64</v>
      </c>
      <c r="H91" s="16">
        <v>1445.99</v>
      </c>
      <c r="I91" s="14">
        <v>816.97</v>
      </c>
      <c r="J91" s="14">
        <v>1376.46</v>
      </c>
    </row>
    <row r="92" spans="1:19" ht="18" customHeight="1">
      <c r="A92" s="9">
        <v>43282</v>
      </c>
      <c r="B92" s="3">
        <v>1.0321480000000001</v>
      </c>
      <c r="C92" s="30" t="str">
        <f t="shared" si="6"/>
        <v/>
      </c>
      <c r="D92" s="41" t="str">
        <f t="shared" si="7"/>
        <v/>
      </c>
      <c r="E92" s="16">
        <v>2295.2600000000002</v>
      </c>
      <c r="F92" s="16">
        <v>297.45</v>
      </c>
      <c r="G92" s="16">
        <v>13.05</v>
      </c>
      <c r="H92" s="16">
        <v>1438.27</v>
      </c>
      <c r="I92" s="14">
        <v>775.52</v>
      </c>
      <c r="J92" s="14">
        <v>1265.58</v>
      </c>
    </row>
    <row r="93" spans="1:19" ht="18" customHeight="1">
      <c r="A93" s="9">
        <v>43252</v>
      </c>
      <c r="B93" s="3">
        <v>1.0479160000000001</v>
      </c>
      <c r="C93" s="30" t="str">
        <f t="shared" si="6"/>
        <v/>
      </c>
      <c r="D93" s="41" t="str">
        <f t="shared" si="7"/>
        <v/>
      </c>
      <c r="E93" s="16">
        <v>2326.13</v>
      </c>
      <c r="F93" s="16">
        <v>299.66000000000003</v>
      </c>
      <c r="G93" s="16">
        <v>16.04</v>
      </c>
      <c r="H93" s="16">
        <v>1448.16</v>
      </c>
      <c r="I93" s="14">
        <v>818.22</v>
      </c>
      <c r="J93" s="14">
        <v>1391.83</v>
      </c>
    </row>
    <row r="94" spans="1:19" ht="18" customHeight="1">
      <c r="A94" s="9">
        <v>43221</v>
      </c>
      <c r="B94" s="3">
        <v>1.1065240000000001</v>
      </c>
      <c r="C94" s="30" t="str">
        <f t="shared" si="6"/>
        <v/>
      </c>
      <c r="D94" s="41" t="str">
        <f t="shared" si="7"/>
        <v/>
      </c>
      <c r="E94" s="16">
        <v>2423.0100000000002</v>
      </c>
      <c r="F94" s="16">
        <v>310.92</v>
      </c>
      <c r="G94" s="16">
        <v>14.55</v>
      </c>
      <c r="H94" s="16">
        <v>1498.26</v>
      </c>
      <c r="I94" s="14">
        <v>879.66</v>
      </c>
      <c r="J94" s="13">
        <v>1491.9</v>
      </c>
    </row>
    <row r="95" spans="1:19" ht="18" customHeight="1">
      <c r="A95" s="9">
        <v>43191</v>
      </c>
      <c r="B95" s="3">
        <v>1.1569799999999999</v>
      </c>
      <c r="C95" s="30" t="str">
        <f t="shared" si="6"/>
        <v/>
      </c>
      <c r="D95" s="41" t="str">
        <f t="shared" si="7"/>
        <v/>
      </c>
      <c r="E95" s="16">
        <v>2515.38</v>
      </c>
      <c r="F95" s="16">
        <v>323.56</v>
      </c>
      <c r="G95" s="16">
        <v>13.59</v>
      </c>
      <c r="H95" s="16">
        <v>1558.62</v>
      </c>
      <c r="I95" s="14">
        <v>875.95</v>
      </c>
      <c r="J95" s="14">
        <v>1495.09</v>
      </c>
    </row>
    <row r="96" spans="1:19" ht="18" customHeight="1">
      <c r="A96" s="9">
        <v>43160</v>
      </c>
      <c r="B96" s="3">
        <v>1.1228480000000001</v>
      </c>
      <c r="C96" s="30" t="str">
        <f t="shared" si="6"/>
        <v/>
      </c>
      <c r="D96" s="41" t="str">
        <f t="shared" si="7"/>
        <v/>
      </c>
      <c r="E96" s="16">
        <v>2445.85</v>
      </c>
      <c r="F96" s="16">
        <v>314.61</v>
      </c>
      <c r="G96" s="16">
        <v>17.54</v>
      </c>
      <c r="H96" s="16">
        <v>1524.33</v>
      </c>
      <c r="I96" s="14">
        <v>871.09</v>
      </c>
      <c r="J96" s="14">
        <v>1551.48</v>
      </c>
    </row>
    <row r="97" spans="1:10" ht="18" customHeight="1">
      <c r="A97" s="9">
        <v>43132</v>
      </c>
      <c r="B97" s="3">
        <v>1.113524</v>
      </c>
      <c r="C97" s="30" t="str">
        <f t="shared" si="6"/>
        <v/>
      </c>
      <c r="D97" s="41" t="str">
        <f t="shared" si="7"/>
        <v/>
      </c>
      <c r="E97" s="16">
        <v>2427.36</v>
      </c>
      <c r="F97" s="16">
        <v>312.86</v>
      </c>
      <c r="G97" s="16">
        <v>15.55</v>
      </c>
      <c r="H97" s="16">
        <v>1515.9</v>
      </c>
      <c r="I97" s="14">
        <v>857.06</v>
      </c>
      <c r="J97" s="13">
        <v>1535.3</v>
      </c>
    </row>
    <row r="98" spans="1:10" ht="18" customHeight="1">
      <c r="A98" s="9">
        <v>43101</v>
      </c>
      <c r="B98" s="3">
        <v>1.152892</v>
      </c>
      <c r="C98" s="30" t="str">
        <f t="shared" si="6"/>
        <v/>
      </c>
      <c r="D98" s="41" t="str">
        <f t="shared" si="7"/>
        <v/>
      </c>
      <c r="E98" s="16">
        <v>2566.46</v>
      </c>
      <c r="F98" s="16">
        <v>333.38</v>
      </c>
      <c r="G98" s="16">
        <v>14.54</v>
      </c>
      <c r="H98" s="16">
        <v>1622.47</v>
      </c>
      <c r="I98" s="14">
        <v>913.57</v>
      </c>
      <c r="J98" s="14">
        <v>1664.36</v>
      </c>
    </row>
    <row r="99" spans="1:10" ht="18" customHeight="1">
      <c r="A99" s="9">
        <v>43070</v>
      </c>
      <c r="B99" s="3">
        <v>1.1098110000000001</v>
      </c>
      <c r="C99" s="30" t="str">
        <f t="shared" si="6"/>
        <v/>
      </c>
      <c r="D99" s="41" t="str">
        <f t="shared" si="7"/>
        <v/>
      </c>
      <c r="E99" s="16">
        <v>2467.4899999999998</v>
      </c>
      <c r="F99" s="16">
        <v>324.74</v>
      </c>
      <c r="G99" s="16">
        <v>12.06</v>
      </c>
      <c r="H99" s="16">
        <v>1579.84</v>
      </c>
      <c r="I99" s="14">
        <v>798.42</v>
      </c>
      <c r="J99" s="13">
        <v>1413.8</v>
      </c>
    </row>
    <row r="100" spans="1:10" ht="18" customHeight="1">
      <c r="A100" s="9">
        <v>43040</v>
      </c>
      <c r="B100" s="3">
        <v>1.1375059999999999</v>
      </c>
      <c r="C100" s="30" t="str">
        <f t="shared" si="6"/>
        <v/>
      </c>
      <c r="D100" s="41" t="str">
        <f t="shared" si="7"/>
        <v/>
      </c>
      <c r="E100" s="16">
        <v>2476.37</v>
      </c>
      <c r="F100" s="16">
        <v>325.25</v>
      </c>
      <c r="G100" s="16">
        <v>13.2</v>
      </c>
      <c r="H100" s="16">
        <v>1565.29</v>
      </c>
      <c r="I100" s="14">
        <v>771.42</v>
      </c>
      <c r="J100" s="14">
        <v>1348.84</v>
      </c>
    </row>
    <row r="101" spans="1:10" ht="18" customHeight="1">
      <c r="A101" s="9">
        <v>43009</v>
      </c>
      <c r="B101" s="3">
        <v>1.1598539999999999</v>
      </c>
      <c r="C101" s="30" t="str">
        <f t="shared" si="6"/>
        <v/>
      </c>
      <c r="D101" s="41" t="str">
        <f t="shared" si="7"/>
        <v/>
      </c>
      <c r="E101" s="16">
        <v>2523.4299999999998</v>
      </c>
      <c r="F101" s="16">
        <v>333.57</v>
      </c>
      <c r="G101" s="16">
        <v>12.06</v>
      </c>
      <c r="H101" s="16">
        <v>1607.59</v>
      </c>
      <c r="I101" s="13">
        <v>694.2</v>
      </c>
      <c r="J101" s="14">
        <v>1196.8599999999999</v>
      </c>
    </row>
    <row r="102" spans="1:10" ht="18" customHeight="1">
      <c r="A102" s="9">
        <v>42979</v>
      </c>
      <c r="B102" s="3">
        <v>1.1000099999999999</v>
      </c>
      <c r="C102" s="30" t="str">
        <f t="shared" si="6"/>
        <v/>
      </c>
      <c r="D102" s="41" t="str">
        <f t="shared" si="7"/>
        <v/>
      </c>
      <c r="E102" s="16">
        <v>2394.4699999999998</v>
      </c>
      <c r="F102" s="16">
        <v>316.27</v>
      </c>
      <c r="G102" s="16">
        <v>13.41</v>
      </c>
      <c r="H102" s="16">
        <v>1527.07</v>
      </c>
      <c r="I102" s="14">
        <v>652.82000000000005</v>
      </c>
      <c r="J102" s="14">
        <v>1074.79</v>
      </c>
    </row>
    <row r="103" spans="1:10" ht="18" customHeight="1">
      <c r="A103" s="9">
        <v>42948</v>
      </c>
      <c r="B103" s="3">
        <v>1.1288959999999999</v>
      </c>
      <c r="C103" s="30" t="str">
        <f t="shared" si="6"/>
        <v/>
      </c>
      <c r="D103" s="41" t="str">
        <f t="shared" si="7"/>
        <v/>
      </c>
      <c r="E103" s="16">
        <v>2363.19</v>
      </c>
      <c r="F103" s="16">
        <v>308.27999999999997</v>
      </c>
      <c r="G103" s="16">
        <v>13.64</v>
      </c>
      <c r="H103" s="16">
        <v>1485.29</v>
      </c>
      <c r="I103" s="14">
        <v>657.83</v>
      </c>
      <c r="J103" s="14">
        <v>1034.49</v>
      </c>
    </row>
    <row r="104" spans="1:10" ht="18" customHeight="1">
      <c r="A104" s="9">
        <v>42917</v>
      </c>
      <c r="B104" s="3">
        <v>1.1488400000000001</v>
      </c>
      <c r="C104" s="30" t="str">
        <f t="shared" si="6"/>
        <v/>
      </c>
      <c r="D104" s="41" t="str">
        <f t="shared" si="7"/>
        <v/>
      </c>
      <c r="E104" s="16">
        <v>2402.71</v>
      </c>
      <c r="F104" s="16">
        <v>314.60000000000002</v>
      </c>
      <c r="G104" s="16">
        <v>12.79</v>
      </c>
      <c r="H104" s="16">
        <v>1518.56</v>
      </c>
      <c r="I104" s="14">
        <v>650.47</v>
      </c>
      <c r="J104" s="14">
        <v>1008.63</v>
      </c>
    </row>
    <row r="105" spans="1:10" ht="18" customHeight="1">
      <c r="A105" s="9">
        <v>42887</v>
      </c>
      <c r="B105" s="3">
        <v>1.144647</v>
      </c>
      <c r="C105" s="30" t="str">
        <f t="shared" si="6"/>
        <v/>
      </c>
      <c r="D105" s="41" t="str">
        <f t="shared" si="7"/>
        <v/>
      </c>
      <c r="E105" s="16">
        <v>2391.79</v>
      </c>
      <c r="F105" s="16">
        <v>311.76</v>
      </c>
      <c r="G105" s="16">
        <v>12</v>
      </c>
      <c r="H105" s="16">
        <v>1508.92</v>
      </c>
      <c r="I105" s="14">
        <v>669.04</v>
      </c>
      <c r="J105" s="14">
        <v>1031.51</v>
      </c>
    </row>
    <row r="106" spans="1:10" ht="18" customHeight="1">
      <c r="A106" s="9">
        <v>42856</v>
      </c>
      <c r="B106" s="3">
        <v>1.1169709999999999</v>
      </c>
      <c r="C106" s="30" t="str">
        <f t="shared" si="6"/>
        <v/>
      </c>
      <c r="D106" s="41" t="str">
        <f t="shared" si="7"/>
        <v/>
      </c>
      <c r="E106" s="16">
        <v>2347.38</v>
      </c>
      <c r="F106" s="16">
        <v>304.67</v>
      </c>
      <c r="G106" s="16">
        <v>13.18</v>
      </c>
      <c r="H106" s="16">
        <v>1475.69</v>
      </c>
      <c r="I106" s="14">
        <v>652.04</v>
      </c>
      <c r="J106" s="14">
        <v>988.04</v>
      </c>
    </row>
    <row r="107" spans="1:10" ht="18" customHeight="1">
      <c r="A107" s="9">
        <v>42826</v>
      </c>
      <c r="B107" s="3">
        <v>1.0832040000000001</v>
      </c>
      <c r="C107" s="30" t="str">
        <f t="shared" si="6"/>
        <v/>
      </c>
      <c r="D107" s="41" t="str">
        <f t="shared" si="7"/>
        <v/>
      </c>
      <c r="E107" s="16">
        <v>2205.44</v>
      </c>
      <c r="F107" s="16">
        <v>287.20999999999998</v>
      </c>
      <c r="G107" s="16">
        <v>12.27</v>
      </c>
      <c r="H107" s="16">
        <v>1392.27</v>
      </c>
      <c r="I107" s="14">
        <v>628.24</v>
      </c>
      <c r="J107" s="14">
        <v>940.33</v>
      </c>
    </row>
    <row r="108" spans="1:10" ht="18" customHeight="1">
      <c r="A108" s="9">
        <v>42795</v>
      </c>
      <c r="B108" s="3">
        <v>1.062262</v>
      </c>
      <c r="C108" s="30" t="str">
        <f t="shared" si="6"/>
        <v/>
      </c>
      <c r="D108" s="41" t="str">
        <f t="shared" si="7"/>
        <v/>
      </c>
      <c r="E108" s="16">
        <v>2160.23</v>
      </c>
      <c r="F108" s="16">
        <v>280.64</v>
      </c>
      <c r="G108" s="16">
        <v>11.06</v>
      </c>
      <c r="H108" s="16">
        <v>1362.28</v>
      </c>
      <c r="I108" s="14">
        <v>619.28</v>
      </c>
      <c r="J108" s="14">
        <v>921.26</v>
      </c>
    </row>
    <row r="109" spans="1:10" ht="18" customHeight="1">
      <c r="A109" s="9">
        <v>42767</v>
      </c>
      <c r="B109" s="3">
        <v>1.0296369999999999</v>
      </c>
      <c r="C109" s="30" t="str">
        <f t="shared" si="6"/>
        <v/>
      </c>
      <c r="D109" s="41" t="str">
        <f t="shared" si="7"/>
        <v/>
      </c>
      <c r="E109" s="16">
        <v>2091.64</v>
      </c>
      <c r="F109" s="16">
        <v>270.06</v>
      </c>
      <c r="G109" s="16">
        <v>10.64</v>
      </c>
      <c r="H109" s="16">
        <v>1307.68</v>
      </c>
      <c r="I109" s="13">
        <v>612.20000000000005</v>
      </c>
      <c r="J109" s="14">
        <v>916.75</v>
      </c>
    </row>
    <row r="110" spans="1:10" ht="18" customHeight="1">
      <c r="A110" s="9">
        <v>42736</v>
      </c>
      <c r="B110" s="3">
        <v>1.0175460000000001</v>
      </c>
      <c r="C110" s="30" t="str">
        <f t="shared" si="6"/>
        <v/>
      </c>
      <c r="D110" s="41" t="str">
        <f t="shared" si="7"/>
        <v/>
      </c>
      <c r="E110" s="16">
        <v>2067.5700000000002</v>
      </c>
      <c r="F110" s="16">
        <v>268.08999999999997</v>
      </c>
      <c r="G110" s="16">
        <v>12.53</v>
      </c>
      <c r="H110" s="16">
        <v>1305.02</v>
      </c>
      <c r="I110" s="14">
        <v>616.13</v>
      </c>
      <c r="J110" s="14">
        <v>904.84</v>
      </c>
    </row>
    <row r="111" spans="1:10" ht="18" customHeight="1">
      <c r="A111" s="9">
        <v>42705</v>
      </c>
      <c r="B111" s="3">
        <v>0.99650899999999998</v>
      </c>
      <c r="C111" s="30" t="str">
        <f t="shared" si="6"/>
        <v/>
      </c>
      <c r="D111" s="41" t="str">
        <f t="shared" si="7"/>
        <v/>
      </c>
      <c r="E111" s="16">
        <v>2026.46</v>
      </c>
      <c r="F111" s="16">
        <v>260.01</v>
      </c>
      <c r="G111" s="16">
        <v>11.51</v>
      </c>
      <c r="H111" s="16">
        <v>1260.6600000000001</v>
      </c>
      <c r="I111" s="14">
        <v>631.44000000000005</v>
      </c>
      <c r="J111" s="14">
        <v>936.09</v>
      </c>
    </row>
    <row r="112" spans="1:10" ht="18" customHeight="1">
      <c r="A112" s="9">
        <v>42675</v>
      </c>
      <c r="B112" s="3">
        <v>0.98469499999999999</v>
      </c>
      <c r="C112" s="30" t="str">
        <f t="shared" si="6"/>
        <v/>
      </c>
      <c r="D112" s="41" t="str">
        <f t="shared" si="7"/>
        <v/>
      </c>
      <c r="E112" s="16">
        <v>1983.48</v>
      </c>
      <c r="F112" s="16">
        <v>254.26</v>
      </c>
      <c r="G112" s="16">
        <v>12.8</v>
      </c>
      <c r="H112" s="16">
        <v>1218.23</v>
      </c>
      <c r="I112" s="14">
        <v>596.11</v>
      </c>
      <c r="J112" s="14">
        <v>892.08</v>
      </c>
    </row>
    <row r="113" spans="1:10" ht="18" customHeight="1">
      <c r="A113" s="9">
        <v>42644</v>
      </c>
      <c r="B113" s="3">
        <v>0.99016099999999996</v>
      </c>
      <c r="C113" s="30" t="str">
        <f t="shared" si="6"/>
        <v/>
      </c>
      <c r="D113" s="41" t="str">
        <f t="shared" si="7"/>
        <v/>
      </c>
      <c r="E113" s="16">
        <v>2008.19</v>
      </c>
      <c r="F113" s="16">
        <v>255.93</v>
      </c>
      <c r="G113" s="16">
        <v>14.61</v>
      </c>
      <c r="H113" s="16">
        <v>1229.5</v>
      </c>
      <c r="I113" s="14">
        <v>624.67999999999995</v>
      </c>
      <c r="J113" s="14">
        <v>939.76</v>
      </c>
    </row>
    <row r="114" spans="1:10" ht="18" customHeight="1">
      <c r="A114" s="9">
        <v>42614</v>
      </c>
      <c r="B114" s="3">
        <v>1.081105</v>
      </c>
      <c r="C114" s="30" t="str">
        <f t="shared" si="6"/>
        <v/>
      </c>
      <c r="D114" s="41" t="str">
        <f t="shared" si="7"/>
        <v/>
      </c>
      <c r="E114" s="16">
        <v>2043.63</v>
      </c>
      <c r="F114" s="16">
        <v>257.49</v>
      </c>
      <c r="G114" s="16">
        <v>14.11</v>
      </c>
      <c r="H114" s="16">
        <v>1237.6400000000001</v>
      </c>
      <c r="I114" s="14">
        <v>681.21</v>
      </c>
      <c r="J114" s="14">
        <v>1010.18</v>
      </c>
    </row>
    <row r="115" spans="1:10" ht="18" customHeight="1">
      <c r="A115" s="9">
        <v>42583</v>
      </c>
      <c r="B115" s="3">
        <v>1.076362</v>
      </c>
      <c r="C115" s="30" t="str">
        <f t="shared" si="6"/>
        <v/>
      </c>
      <c r="D115" s="41" t="str">
        <f t="shared" si="7"/>
        <v/>
      </c>
      <c r="E115" s="16">
        <v>2034.65</v>
      </c>
      <c r="F115" s="16">
        <v>256.87</v>
      </c>
      <c r="G115" s="16">
        <v>11.56</v>
      </c>
      <c r="H115" s="16">
        <v>1234.47</v>
      </c>
      <c r="I115" s="14">
        <v>663.69</v>
      </c>
      <c r="J115" s="13">
        <v>997.9</v>
      </c>
    </row>
    <row r="116" spans="1:10" ht="18" customHeight="1">
      <c r="A116" s="9">
        <v>42552</v>
      </c>
      <c r="B116" s="3">
        <v>1.0668260000000001</v>
      </c>
      <c r="C116" s="30" t="str">
        <f t="shared" si="6"/>
        <v/>
      </c>
      <c r="D116" s="41" t="str">
        <f t="shared" si="7"/>
        <v/>
      </c>
      <c r="E116" s="16">
        <v>2016.19</v>
      </c>
      <c r="F116" s="16">
        <v>251.48</v>
      </c>
      <c r="G116" s="16">
        <v>12.6</v>
      </c>
      <c r="H116" s="16">
        <v>1214.74</v>
      </c>
      <c r="I116" s="14">
        <v>706.24</v>
      </c>
      <c r="J116" s="15">
        <v>1058</v>
      </c>
    </row>
    <row r="117" spans="1:10" ht="18" customHeight="1">
      <c r="A117" s="9">
        <v>42522</v>
      </c>
      <c r="B117" s="3">
        <v>1.0395460000000001</v>
      </c>
      <c r="C117" s="30" t="str">
        <f t="shared" si="6"/>
        <v/>
      </c>
      <c r="D117" s="41" t="str">
        <f t="shared" si="7"/>
        <v/>
      </c>
      <c r="E117" s="16">
        <v>1970.35</v>
      </c>
      <c r="F117" s="16">
        <v>244.14</v>
      </c>
      <c r="G117" s="16">
        <v>13.9</v>
      </c>
      <c r="H117" s="16">
        <v>1175.52</v>
      </c>
      <c r="I117" s="14">
        <v>675.09</v>
      </c>
      <c r="J117" s="14">
        <v>1032.75</v>
      </c>
    </row>
    <row r="118" spans="1:10" ht="18" customHeight="1">
      <c r="A118" s="9">
        <v>42491</v>
      </c>
      <c r="B118" s="3">
        <v>1.0459909999999999</v>
      </c>
      <c r="C118" s="30" t="str">
        <f t="shared" si="6"/>
        <v/>
      </c>
      <c r="D118" s="41" t="str">
        <f t="shared" si="7"/>
        <v/>
      </c>
      <c r="E118" s="16">
        <v>1983.4</v>
      </c>
      <c r="F118" s="16">
        <v>243.63</v>
      </c>
      <c r="G118" s="16">
        <v>11.81</v>
      </c>
      <c r="H118" s="16">
        <v>1175.94</v>
      </c>
      <c r="I118" s="14">
        <v>698.45</v>
      </c>
      <c r="J118" s="14">
        <v>1068.73</v>
      </c>
    </row>
    <row r="119" spans="1:10" ht="18" customHeight="1">
      <c r="A119" s="9">
        <v>42461</v>
      </c>
      <c r="B119" s="3">
        <v>1.123364</v>
      </c>
      <c r="C119" s="30" t="str">
        <f t="shared" si="6"/>
        <v/>
      </c>
      <c r="D119" s="41" t="str">
        <f t="shared" si="7"/>
        <v/>
      </c>
      <c r="E119" s="16">
        <v>1994.15</v>
      </c>
      <c r="F119" s="16">
        <v>245.2</v>
      </c>
      <c r="G119" s="16">
        <v>12.42</v>
      </c>
      <c r="H119" s="16">
        <v>1185.6099999999999</v>
      </c>
      <c r="I119" s="14">
        <v>699.77</v>
      </c>
      <c r="J119" s="14">
        <v>1065.27</v>
      </c>
    </row>
    <row r="120" spans="1:10" ht="18" customHeight="1">
      <c r="A120" s="9">
        <v>42430</v>
      </c>
      <c r="B120" s="3">
        <v>1.1237200000000001</v>
      </c>
      <c r="C120" s="30" t="str">
        <f t="shared" si="6"/>
        <v/>
      </c>
      <c r="D120" s="41" t="str">
        <f t="shared" si="7"/>
        <v/>
      </c>
      <c r="E120" s="16">
        <v>1995.85</v>
      </c>
      <c r="F120" s="16">
        <v>245.86</v>
      </c>
      <c r="G120" s="16">
        <v>12.33</v>
      </c>
      <c r="H120" s="16">
        <v>1190.68</v>
      </c>
      <c r="I120" s="14">
        <v>688.38</v>
      </c>
      <c r="J120" s="14">
        <v>1073.68</v>
      </c>
    </row>
    <row r="121" spans="1:10" ht="18" customHeight="1">
      <c r="A121" s="9">
        <v>42401</v>
      </c>
      <c r="B121" s="3">
        <v>1.0790029999999999</v>
      </c>
      <c r="C121" s="30" t="str">
        <f t="shared" si="6"/>
        <v/>
      </c>
      <c r="D121" s="41" t="str">
        <f t="shared" si="7"/>
        <v/>
      </c>
      <c r="E121" s="16">
        <v>1916.66</v>
      </c>
      <c r="F121" s="16">
        <v>234.63</v>
      </c>
      <c r="G121" s="16">
        <v>17.559999999999999</v>
      </c>
      <c r="H121" s="16">
        <v>1142.04</v>
      </c>
      <c r="I121" s="14">
        <v>651.62</v>
      </c>
      <c r="J121" s="14">
        <v>1045.53</v>
      </c>
    </row>
    <row r="122" spans="1:10" ht="18" customHeight="1">
      <c r="A122" s="9">
        <v>42370</v>
      </c>
      <c r="B122" s="3">
        <v>1.0715060000000001</v>
      </c>
      <c r="C122" s="30" t="str">
        <f t="shared" si="6"/>
        <v/>
      </c>
      <c r="D122" s="41" t="str">
        <f t="shared" si="7"/>
        <v/>
      </c>
      <c r="E122" s="16">
        <v>1912.06</v>
      </c>
      <c r="F122" s="16">
        <v>232.1</v>
      </c>
      <c r="G122" s="16">
        <v>17.93</v>
      </c>
      <c r="H122" s="16">
        <v>1127.96</v>
      </c>
      <c r="I122" s="13">
        <v>682.8</v>
      </c>
      <c r="J122" s="14">
        <v>1128.24</v>
      </c>
    </row>
    <row r="123" spans="1:10" ht="18" customHeight="1">
      <c r="A123" s="9">
        <v>42339</v>
      </c>
      <c r="B123" s="3">
        <v>1.1016900000000001</v>
      </c>
      <c r="C123" s="30" t="str">
        <f t="shared" si="6"/>
        <v/>
      </c>
      <c r="D123" s="41" t="str">
        <f t="shared" si="7"/>
        <v/>
      </c>
      <c r="E123" s="16">
        <v>1961.31</v>
      </c>
      <c r="F123" s="16">
        <v>240.38</v>
      </c>
      <c r="G123" s="16">
        <v>14.18</v>
      </c>
      <c r="H123" s="16">
        <v>1167.53</v>
      </c>
      <c r="I123" s="14">
        <v>682.35</v>
      </c>
      <c r="J123" s="14">
        <v>1095.46</v>
      </c>
    </row>
    <row r="124" spans="1:10" ht="18" customHeight="1">
      <c r="A124" s="9">
        <v>42309</v>
      </c>
      <c r="B124" s="3">
        <v>1.1182080000000001</v>
      </c>
      <c r="C124" s="30" t="str">
        <f t="shared" si="6"/>
        <v/>
      </c>
      <c r="D124" s="41" t="str">
        <f t="shared" si="7"/>
        <v/>
      </c>
      <c r="E124" s="16">
        <v>1991.97</v>
      </c>
      <c r="F124" s="16">
        <v>244.24</v>
      </c>
      <c r="G124" s="16">
        <v>14.37</v>
      </c>
      <c r="H124" s="16">
        <v>1176.8</v>
      </c>
      <c r="I124" s="14">
        <v>688.38</v>
      </c>
      <c r="J124" s="14">
        <v>1102.28</v>
      </c>
    </row>
    <row r="125" spans="1:10" ht="18" customHeight="1">
      <c r="A125" s="9">
        <v>42278</v>
      </c>
      <c r="B125" s="3">
        <v>1.1388529999999999</v>
      </c>
      <c r="C125" s="30" t="str">
        <f t="shared" si="6"/>
        <v/>
      </c>
      <c r="D125" s="41" t="str">
        <f t="shared" si="7"/>
        <v/>
      </c>
      <c r="E125" s="16">
        <v>2029.47</v>
      </c>
      <c r="F125" s="16">
        <v>249.41</v>
      </c>
      <c r="G125" s="16">
        <v>14.22</v>
      </c>
      <c r="H125" s="16">
        <v>1207.32</v>
      </c>
      <c r="I125" s="14">
        <v>683.63</v>
      </c>
      <c r="J125" s="14">
        <v>1069.95</v>
      </c>
    </row>
    <row r="126" spans="1:10" ht="18" customHeight="1">
      <c r="A126" s="9">
        <v>42248</v>
      </c>
      <c r="B126" s="3">
        <v>1.100371</v>
      </c>
      <c r="C126" s="30" t="str">
        <f t="shared" si="6"/>
        <v/>
      </c>
      <c r="D126" s="41" t="str">
        <f t="shared" si="7"/>
        <v/>
      </c>
      <c r="E126" s="16">
        <v>1962.81</v>
      </c>
      <c r="F126" s="16">
        <v>236.71</v>
      </c>
      <c r="G126" s="16">
        <v>20.48</v>
      </c>
      <c r="H126" s="16">
        <v>1136.19</v>
      </c>
      <c r="I126" s="14">
        <v>678.48</v>
      </c>
      <c r="J126" s="14">
        <v>1068.3499999999999</v>
      </c>
    </row>
    <row r="127" spans="1:10" ht="18" customHeight="1">
      <c r="A127" s="9">
        <v>42217</v>
      </c>
      <c r="B127" s="3">
        <v>1.076578</v>
      </c>
      <c r="C127" s="30" t="str">
        <f t="shared" si="6"/>
        <v/>
      </c>
      <c r="D127" s="41" t="str">
        <f t="shared" si="7"/>
        <v/>
      </c>
      <c r="E127" s="16">
        <v>1941.49</v>
      </c>
      <c r="F127" s="16">
        <v>232.8</v>
      </c>
      <c r="G127" s="16">
        <v>19.75</v>
      </c>
      <c r="H127" s="16">
        <v>1113.48</v>
      </c>
      <c r="I127" s="14">
        <v>687.11</v>
      </c>
      <c r="J127" s="14">
        <v>1115.31</v>
      </c>
    </row>
    <row r="128" spans="1:10" ht="18" customHeight="1">
      <c r="A128" s="9">
        <v>42186</v>
      </c>
      <c r="B128" s="3">
        <v>1.118217</v>
      </c>
      <c r="C128" s="30" t="str">
        <f t="shared" si="6"/>
        <v/>
      </c>
      <c r="D128" s="41" t="str">
        <f t="shared" si="7"/>
        <v/>
      </c>
      <c r="E128" s="16">
        <v>2030.16</v>
      </c>
      <c r="F128" s="16">
        <v>244.3</v>
      </c>
      <c r="G128" s="16">
        <v>13.54</v>
      </c>
      <c r="H128" s="16">
        <v>1173</v>
      </c>
      <c r="I128" s="14">
        <v>725.06</v>
      </c>
      <c r="J128" s="14">
        <v>1163.3599999999999</v>
      </c>
    </row>
    <row r="129" spans="1:10" ht="18" customHeight="1">
      <c r="A129" s="9">
        <v>42156</v>
      </c>
      <c r="B129" s="3">
        <v>1.1449069999999999</v>
      </c>
      <c r="C129" s="30" t="str">
        <f t="shared" si="6"/>
        <v/>
      </c>
      <c r="D129" s="41" t="str">
        <f t="shared" si="7"/>
        <v/>
      </c>
      <c r="E129" s="16">
        <v>2074.1999999999998</v>
      </c>
      <c r="F129" s="16">
        <v>252.27</v>
      </c>
      <c r="G129" s="16">
        <v>14.45</v>
      </c>
      <c r="H129" s="16">
        <v>1215.6500000000001</v>
      </c>
      <c r="I129" s="14">
        <v>742.27</v>
      </c>
      <c r="J129" s="14">
        <v>1139.1500000000001</v>
      </c>
    </row>
    <row r="130" spans="1:10" ht="18" customHeight="1">
      <c r="A130" s="9">
        <v>42125</v>
      </c>
      <c r="B130" s="3">
        <v>1.1653309999999999</v>
      </c>
      <c r="C130" s="30" t="str">
        <f t="shared" si="6"/>
        <v/>
      </c>
      <c r="D130" s="41" t="str">
        <f t="shared" si="7"/>
        <v/>
      </c>
      <c r="E130" s="16">
        <v>2114.8000000000002</v>
      </c>
      <c r="F130" s="16">
        <v>260.39</v>
      </c>
      <c r="G130" s="16">
        <v>12.59</v>
      </c>
      <c r="H130" s="16">
        <v>1262.31</v>
      </c>
      <c r="I130" s="14">
        <v>711.39</v>
      </c>
      <c r="J130" s="14">
        <v>1129.76</v>
      </c>
    </row>
    <row r="131" spans="1:10" ht="18" customHeight="1">
      <c r="A131" s="9">
        <v>42095</v>
      </c>
      <c r="B131" s="3">
        <v>1.2403200000000001</v>
      </c>
      <c r="C131" s="30" t="str">
        <f t="shared" si="6"/>
        <v/>
      </c>
      <c r="D131" s="41" t="str">
        <f t="shared" si="7"/>
        <v/>
      </c>
      <c r="E131" s="16">
        <v>2127.17</v>
      </c>
      <c r="F131" s="16">
        <v>266.42</v>
      </c>
      <c r="G131" s="16">
        <v>11.76</v>
      </c>
      <c r="H131" s="16">
        <v>1295.9000000000001</v>
      </c>
      <c r="I131" s="14">
        <v>689.01</v>
      </c>
      <c r="J131" s="13">
        <v>1104.2</v>
      </c>
    </row>
    <row r="132" spans="1:10" ht="18" customHeight="1">
      <c r="A132" s="9">
        <v>42064</v>
      </c>
      <c r="B132" s="3">
        <v>1.1897869999999999</v>
      </c>
      <c r="C132" s="30" t="str">
        <f t="shared" ref="C132:C195" si="10">IF(B132&lt;=C$1, "Risk", "")</f>
        <v/>
      </c>
      <c r="D132" s="41" t="str">
        <f t="shared" si="7"/>
        <v/>
      </c>
      <c r="E132" s="16">
        <v>2041.03</v>
      </c>
      <c r="F132" s="16">
        <v>257.27999999999997</v>
      </c>
      <c r="G132" s="16">
        <v>11.09</v>
      </c>
      <c r="H132" s="16">
        <v>1244.9100000000001</v>
      </c>
      <c r="I132" s="14">
        <v>650.49</v>
      </c>
      <c r="J132" s="14">
        <v>1050.1199999999999</v>
      </c>
    </row>
    <row r="133" spans="1:10" ht="18" customHeight="1">
      <c r="A133" s="9">
        <v>42036</v>
      </c>
      <c r="B133" s="3">
        <v>1.1522790000000001</v>
      </c>
      <c r="C133" s="30" t="str">
        <f t="shared" si="10"/>
        <v/>
      </c>
      <c r="D133" s="41" t="str">
        <f t="shared" ref="D133:D196" si="11">IF(B133&lt;=D$1, "Risk", "")</f>
        <v/>
      </c>
      <c r="E133" s="16">
        <v>1985.8</v>
      </c>
      <c r="F133" s="16">
        <v>251.46</v>
      </c>
      <c r="G133" s="16">
        <v>11.11</v>
      </c>
      <c r="H133" s="16">
        <v>1223.93</v>
      </c>
      <c r="I133" s="14">
        <v>624.55999999999995</v>
      </c>
      <c r="J133" s="13">
        <v>1021.6</v>
      </c>
    </row>
    <row r="134" spans="1:10" ht="18" customHeight="1">
      <c r="A134" s="9">
        <v>42005</v>
      </c>
      <c r="B134" s="3">
        <v>1.1316949999999999</v>
      </c>
      <c r="C134" s="30" t="str">
        <f t="shared" si="10"/>
        <v/>
      </c>
      <c r="D134" s="41" t="str">
        <f t="shared" si="11"/>
        <v/>
      </c>
      <c r="E134" s="16">
        <v>1949.26</v>
      </c>
      <c r="F134" s="16">
        <v>249.88</v>
      </c>
      <c r="G134" s="16">
        <v>13.67</v>
      </c>
      <c r="H134" s="16">
        <v>1219.56</v>
      </c>
      <c r="I134" s="14">
        <v>591.58000000000004</v>
      </c>
      <c r="J134" s="14">
        <v>965.87</v>
      </c>
    </row>
    <row r="135" spans="1:10" ht="18" customHeight="1">
      <c r="A135" s="9">
        <v>41974</v>
      </c>
      <c r="B135" s="3">
        <v>1.1122719999999999</v>
      </c>
      <c r="C135" s="30" t="str">
        <f t="shared" si="10"/>
        <v/>
      </c>
      <c r="D135" s="41" t="str">
        <f t="shared" si="11"/>
        <v/>
      </c>
      <c r="E135" s="16">
        <v>1915.59</v>
      </c>
      <c r="F135" s="16">
        <v>244.05</v>
      </c>
      <c r="G135" s="16">
        <v>12.97</v>
      </c>
      <c r="H135" s="16">
        <v>1184.5999999999999</v>
      </c>
      <c r="I135" s="14">
        <v>542.97</v>
      </c>
      <c r="J135" s="14">
        <v>894.44</v>
      </c>
    </row>
    <row r="136" spans="1:10" ht="18" customHeight="1">
      <c r="A136" s="9">
        <v>41944</v>
      </c>
      <c r="B136" s="3">
        <v>1.139229</v>
      </c>
      <c r="C136" s="30" t="str">
        <f t="shared" si="10"/>
        <v/>
      </c>
      <c r="D136" s="41" t="str">
        <f t="shared" si="11"/>
        <v/>
      </c>
      <c r="E136" s="16">
        <v>1980.78</v>
      </c>
      <c r="F136" s="16">
        <v>253.7</v>
      </c>
      <c r="G136" s="16">
        <v>11.59</v>
      </c>
      <c r="H136" s="16">
        <v>1226.24</v>
      </c>
      <c r="I136" s="14">
        <v>545.08000000000004</v>
      </c>
      <c r="J136" s="14">
        <v>896.82</v>
      </c>
    </row>
    <row r="137" spans="1:10" ht="18" customHeight="1">
      <c r="A137" s="9">
        <v>41913</v>
      </c>
      <c r="B137" s="3">
        <v>1.113874</v>
      </c>
      <c r="C137" s="30" t="str">
        <f t="shared" si="10"/>
        <v/>
      </c>
      <c r="D137" s="41" t="str">
        <f t="shared" si="11"/>
        <v/>
      </c>
      <c r="E137" s="16">
        <v>1964.43</v>
      </c>
      <c r="F137" s="16">
        <v>250.45</v>
      </c>
      <c r="G137" s="16">
        <v>13.99</v>
      </c>
      <c r="H137" s="16">
        <v>1207.9000000000001</v>
      </c>
      <c r="I137" s="13">
        <v>558.70000000000005</v>
      </c>
      <c r="J137" s="14">
        <v>920.41</v>
      </c>
    </row>
    <row r="138" spans="1:10" ht="18" customHeight="1">
      <c r="A138" s="9">
        <v>41883</v>
      </c>
      <c r="B138" s="3">
        <v>1.145802</v>
      </c>
      <c r="C138" s="30" t="str">
        <f t="shared" si="10"/>
        <v/>
      </c>
      <c r="D138" s="41" t="str">
        <f t="shared" si="11"/>
        <v/>
      </c>
      <c r="E138" s="16">
        <v>2020.09</v>
      </c>
      <c r="F138" s="16">
        <v>256.77</v>
      </c>
      <c r="G138" s="16">
        <v>12.69</v>
      </c>
      <c r="H138" s="16">
        <v>1240.73</v>
      </c>
      <c r="I138" s="14">
        <v>573.22</v>
      </c>
      <c r="J138" s="14">
        <v>954.34</v>
      </c>
    </row>
    <row r="139" spans="1:10" ht="18" customHeight="1">
      <c r="A139" s="9">
        <v>41852</v>
      </c>
      <c r="B139" s="3">
        <v>1.1735180000000001</v>
      </c>
      <c r="C139" s="30" t="str">
        <f t="shared" si="10"/>
        <v/>
      </c>
      <c r="D139" s="41" t="str">
        <f t="shared" si="11"/>
        <v/>
      </c>
      <c r="E139" s="16">
        <v>2068.54</v>
      </c>
      <c r="F139" s="16">
        <v>265.41000000000003</v>
      </c>
      <c r="G139" s="16">
        <v>10.86</v>
      </c>
      <c r="H139" s="16">
        <v>1288.7</v>
      </c>
      <c r="I139" s="13">
        <v>570.20000000000005</v>
      </c>
      <c r="J139" s="14">
        <v>944.48</v>
      </c>
    </row>
    <row r="140" spans="1:10" ht="18" customHeight="1">
      <c r="A140" s="9">
        <v>41821</v>
      </c>
      <c r="B140" s="3">
        <v>1.176464</v>
      </c>
      <c r="C140" s="30" t="str">
        <f t="shared" si="10"/>
        <v/>
      </c>
      <c r="D140" s="41" t="str">
        <f t="shared" si="11"/>
        <v/>
      </c>
      <c r="E140" s="16">
        <v>2076.12</v>
      </c>
      <c r="F140" s="16">
        <v>269.68</v>
      </c>
      <c r="G140" s="16">
        <v>12.69</v>
      </c>
      <c r="H140" s="16">
        <v>1318.05</v>
      </c>
      <c r="I140" s="14">
        <v>536.32000000000005</v>
      </c>
      <c r="J140" s="14">
        <v>877.17</v>
      </c>
    </row>
    <row r="141" spans="1:10" ht="18" customHeight="1">
      <c r="A141" s="9">
        <v>41791</v>
      </c>
      <c r="B141" s="3">
        <v>1.14174</v>
      </c>
      <c r="C141" s="30" t="str">
        <f t="shared" si="10"/>
        <v/>
      </c>
      <c r="D141" s="41" t="str">
        <f t="shared" si="11"/>
        <v/>
      </c>
      <c r="E141" s="16">
        <v>2002.21</v>
      </c>
      <c r="F141" s="16">
        <v>260.56</v>
      </c>
      <c r="G141" s="16">
        <v>11.48</v>
      </c>
      <c r="H141" s="16">
        <v>1264.44</v>
      </c>
      <c r="I141" s="14">
        <v>537.05999999999995</v>
      </c>
      <c r="J141" s="14">
        <v>885.49</v>
      </c>
    </row>
    <row r="142" spans="1:10" ht="18" customHeight="1">
      <c r="A142" s="9">
        <v>41760</v>
      </c>
      <c r="B142" s="3">
        <v>1.137718</v>
      </c>
      <c r="C142" s="30" t="str">
        <f t="shared" si="10"/>
        <v/>
      </c>
      <c r="D142" s="41" t="str">
        <f t="shared" si="11"/>
        <v/>
      </c>
      <c r="E142" s="16">
        <v>1994.96</v>
      </c>
      <c r="F142" s="16">
        <v>259.94</v>
      </c>
      <c r="G142" s="16">
        <v>10.86</v>
      </c>
      <c r="H142" s="16">
        <v>1273.0899999999999</v>
      </c>
      <c r="I142" s="14">
        <v>546.53</v>
      </c>
      <c r="J142" s="14">
        <v>900.98</v>
      </c>
    </row>
    <row r="143" spans="1:10" ht="18" customHeight="1">
      <c r="A143" s="9">
        <v>41730</v>
      </c>
      <c r="B143" s="3">
        <v>1.091137</v>
      </c>
      <c r="C143" s="30" t="str">
        <f t="shared" si="10"/>
        <v/>
      </c>
      <c r="D143" s="41" t="str">
        <f t="shared" si="11"/>
        <v/>
      </c>
      <c r="E143" s="16">
        <v>1961.79</v>
      </c>
      <c r="F143" s="16">
        <v>255.33</v>
      </c>
      <c r="G143" s="16">
        <v>11.6</v>
      </c>
      <c r="H143" s="16">
        <v>1246.49</v>
      </c>
      <c r="I143" s="14">
        <v>559.34</v>
      </c>
      <c r="J143" s="14">
        <v>933.77</v>
      </c>
    </row>
    <row r="144" spans="1:10" ht="18" customHeight="1">
      <c r="A144" s="9">
        <v>41699</v>
      </c>
      <c r="B144" s="3">
        <v>1.179996</v>
      </c>
      <c r="C144" s="30" t="str">
        <f t="shared" si="10"/>
        <v/>
      </c>
      <c r="D144" s="41" t="str">
        <f t="shared" si="11"/>
        <v/>
      </c>
      <c r="E144" s="16">
        <v>1985.61</v>
      </c>
      <c r="F144" s="16">
        <v>258.11</v>
      </c>
      <c r="G144" s="16">
        <v>13.82</v>
      </c>
      <c r="H144" s="16">
        <v>1261.1300000000001</v>
      </c>
      <c r="I144" s="14">
        <v>541.58000000000004</v>
      </c>
      <c r="J144" s="14">
        <v>903.93</v>
      </c>
    </row>
    <row r="145" spans="1:10" ht="18" customHeight="1">
      <c r="A145" s="9">
        <v>41671</v>
      </c>
      <c r="B145" s="3">
        <v>1.172771</v>
      </c>
      <c r="C145" s="30" t="str">
        <f t="shared" si="10"/>
        <v/>
      </c>
      <c r="D145" s="41" t="str">
        <f t="shared" si="11"/>
        <v/>
      </c>
      <c r="E145" s="16">
        <v>1979.99</v>
      </c>
      <c r="F145" s="16">
        <v>258.41000000000003</v>
      </c>
      <c r="G145" s="16">
        <v>13.49</v>
      </c>
      <c r="H145" s="16">
        <v>1263.67</v>
      </c>
      <c r="I145" s="14">
        <v>528.96</v>
      </c>
      <c r="J145" s="14">
        <v>896.99</v>
      </c>
    </row>
    <row r="146" spans="1:10" ht="18" customHeight="1">
      <c r="A146" s="9">
        <v>41640</v>
      </c>
      <c r="B146" s="3">
        <v>1.150638</v>
      </c>
      <c r="C146" s="30" t="str">
        <f t="shared" si="10"/>
        <v/>
      </c>
      <c r="D146" s="41" t="str">
        <f t="shared" si="11"/>
        <v/>
      </c>
      <c r="E146" s="16">
        <v>1941.15</v>
      </c>
      <c r="F146" s="16">
        <v>252.89</v>
      </c>
      <c r="G146" s="16">
        <v>14.43</v>
      </c>
      <c r="H146" s="16">
        <v>1248.94</v>
      </c>
      <c r="I146" s="13">
        <v>515.20000000000005</v>
      </c>
      <c r="J146" s="14">
        <v>884.82</v>
      </c>
    </row>
    <row r="147" spans="1:10" ht="18" customHeight="1">
      <c r="A147" s="9">
        <v>41609</v>
      </c>
      <c r="B147" s="3">
        <v>1.1950190000000001</v>
      </c>
      <c r="C147" s="30" t="str">
        <f t="shared" si="10"/>
        <v/>
      </c>
      <c r="D147" s="41" t="str">
        <f t="shared" si="11"/>
        <v/>
      </c>
      <c r="E147" s="16">
        <v>2011.34</v>
      </c>
      <c r="F147" s="16">
        <v>264.24</v>
      </c>
      <c r="G147" s="16">
        <v>12.84</v>
      </c>
      <c r="H147" s="16">
        <v>1303.6600000000001</v>
      </c>
      <c r="I147" s="14">
        <v>499.99</v>
      </c>
      <c r="J147" s="14">
        <v>855.88</v>
      </c>
    </row>
    <row r="148" spans="1:10" ht="18" customHeight="1">
      <c r="A148" s="9">
        <v>41579</v>
      </c>
      <c r="B148" s="3">
        <v>1.2160010000000001</v>
      </c>
      <c r="C148" s="30" t="str">
        <f t="shared" si="10"/>
        <v/>
      </c>
      <c r="D148" s="41" t="str">
        <f t="shared" si="11"/>
        <v/>
      </c>
      <c r="E148" s="16">
        <v>2044.87</v>
      </c>
      <c r="F148" s="16">
        <v>269.57</v>
      </c>
      <c r="G148" s="16">
        <v>14.42</v>
      </c>
      <c r="H148" s="16">
        <v>1322.13</v>
      </c>
      <c r="I148" s="14">
        <v>517.05999999999995</v>
      </c>
      <c r="J148" s="14">
        <v>885.35</v>
      </c>
    </row>
    <row r="149" spans="1:10" ht="18" customHeight="1">
      <c r="A149" s="9">
        <v>41548</v>
      </c>
      <c r="B149" s="3">
        <v>1.201624</v>
      </c>
      <c r="C149" s="30" t="str">
        <f t="shared" si="10"/>
        <v/>
      </c>
      <c r="D149" s="41" t="str">
        <f t="shared" si="11"/>
        <v/>
      </c>
      <c r="E149" s="16">
        <v>2030.09</v>
      </c>
      <c r="F149" s="16">
        <v>266.91000000000003</v>
      </c>
      <c r="G149" s="16">
        <v>14.41</v>
      </c>
      <c r="H149" s="16">
        <v>1315.77</v>
      </c>
      <c r="I149" s="14">
        <v>532.44000000000005</v>
      </c>
      <c r="J149" s="14">
        <v>910.62</v>
      </c>
    </row>
    <row r="150" spans="1:10" ht="18" customHeight="1">
      <c r="A150" s="9">
        <v>41518</v>
      </c>
      <c r="B150" s="3">
        <v>1.1809989999999999</v>
      </c>
      <c r="C150" s="30" t="str">
        <f t="shared" si="10"/>
        <v/>
      </c>
      <c r="D150" s="41" t="str">
        <f t="shared" si="11"/>
        <v/>
      </c>
      <c r="E150" s="16">
        <v>1996.96</v>
      </c>
      <c r="F150" s="16">
        <v>260.91000000000003</v>
      </c>
      <c r="G150" s="16">
        <v>15.38</v>
      </c>
      <c r="H150" s="16">
        <v>1287.3800000000001</v>
      </c>
      <c r="I150" s="14">
        <v>534.89</v>
      </c>
      <c r="J150" s="14">
        <v>917.72</v>
      </c>
    </row>
    <row r="151" spans="1:10" ht="18" customHeight="1">
      <c r="A151" s="9">
        <v>41487</v>
      </c>
      <c r="B151" s="3">
        <v>1.140471</v>
      </c>
      <c r="C151" s="30" t="str">
        <f t="shared" si="10"/>
        <v/>
      </c>
      <c r="D151" s="41" t="str">
        <f t="shared" si="11"/>
        <v/>
      </c>
      <c r="E151" s="16">
        <v>1926.36</v>
      </c>
      <c r="F151" s="16">
        <v>251.74</v>
      </c>
      <c r="G151" s="16">
        <v>15.73</v>
      </c>
      <c r="H151" s="16">
        <v>1237.3499999999999</v>
      </c>
      <c r="I151" s="14">
        <v>516.74</v>
      </c>
      <c r="J151" s="13">
        <v>874.7</v>
      </c>
    </row>
    <row r="152" spans="1:10" ht="18" customHeight="1">
      <c r="A152" s="9">
        <v>41456</v>
      </c>
      <c r="B152" s="3">
        <v>1.1277759999999999</v>
      </c>
      <c r="C152" s="30" t="str">
        <f t="shared" si="10"/>
        <v/>
      </c>
      <c r="D152" s="41" t="str">
        <f t="shared" si="11"/>
        <v/>
      </c>
      <c r="E152" s="16">
        <v>1914.03</v>
      </c>
      <c r="F152" s="16">
        <v>247.99</v>
      </c>
      <c r="G152" s="16">
        <v>16.260000000000002</v>
      </c>
      <c r="H152" s="16">
        <v>1224.78</v>
      </c>
      <c r="I152" s="14">
        <v>554.30999999999995</v>
      </c>
      <c r="J152" s="14">
        <v>961.94</v>
      </c>
    </row>
    <row r="153" spans="1:10" ht="18" customHeight="1">
      <c r="A153" s="9">
        <v>41426</v>
      </c>
      <c r="B153" s="3">
        <v>1.1070580000000001</v>
      </c>
      <c r="C153" s="30" t="str">
        <f t="shared" si="10"/>
        <v/>
      </c>
      <c r="D153" s="41" t="str">
        <f t="shared" si="11"/>
        <v/>
      </c>
      <c r="E153" s="16">
        <v>1863.32</v>
      </c>
      <c r="F153" s="16">
        <v>242.27</v>
      </c>
      <c r="G153" s="16">
        <v>17.11</v>
      </c>
      <c r="H153" s="16">
        <v>1193.22</v>
      </c>
      <c r="I153" s="14">
        <v>519.05999999999995</v>
      </c>
      <c r="J153" s="14">
        <v>886.36</v>
      </c>
    </row>
    <row r="154" spans="1:10" ht="18" customHeight="1">
      <c r="A154" s="9">
        <v>41395</v>
      </c>
      <c r="B154" s="3">
        <v>1.186987</v>
      </c>
      <c r="C154" s="30" t="str">
        <f t="shared" si="10"/>
        <v/>
      </c>
      <c r="D154" s="41" t="str">
        <f t="shared" si="11"/>
        <v/>
      </c>
      <c r="E154" s="16">
        <v>2001.05</v>
      </c>
      <c r="F154" s="16">
        <v>261.47000000000003</v>
      </c>
      <c r="G154" s="16">
        <v>14.16</v>
      </c>
      <c r="H154" s="16">
        <v>1300.8900000000001</v>
      </c>
      <c r="I154" s="14">
        <v>577.87</v>
      </c>
      <c r="J154" s="14">
        <v>980.29</v>
      </c>
    </row>
    <row r="155" spans="1:10" ht="18" customHeight="1">
      <c r="A155" s="9">
        <v>41365</v>
      </c>
      <c r="B155" s="3">
        <v>1.1660159999999999</v>
      </c>
      <c r="C155" s="30" t="str">
        <f t="shared" si="10"/>
        <v/>
      </c>
      <c r="D155" s="41" t="str">
        <f t="shared" si="11"/>
        <v/>
      </c>
      <c r="E155" s="16">
        <v>1963.95</v>
      </c>
      <c r="F155" s="16">
        <v>255.72</v>
      </c>
      <c r="G155" s="16">
        <v>14.74</v>
      </c>
      <c r="H155" s="16">
        <v>1275.3499999999999</v>
      </c>
      <c r="I155" s="14">
        <v>563.87</v>
      </c>
      <c r="J155" s="14">
        <v>962.25</v>
      </c>
    </row>
    <row r="156" spans="1:10" ht="18" customHeight="1">
      <c r="A156" s="9">
        <v>41334</v>
      </c>
      <c r="B156" s="3">
        <v>1.2511699999999999</v>
      </c>
      <c r="C156" s="30" t="str">
        <f t="shared" si="10"/>
        <v/>
      </c>
      <c r="D156" s="41" t="str">
        <f t="shared" si="11"/>
        <v/>
      </c>
      <c r="E156" s="16">
        <v>2004.89</v>
      </c>
      <c r="F156" s="16">
        <v>263.39</v>
      </c>
      <c r="G156" s="16">
        <v>14.34</v>
      </c>
      <c r="H156" s="16">
        <v>1313.78</v>
      </c>
      <c r="I156" s="14">
        <v>555.02</v>
      </c>
      <c r="J156" s="14">
        <v>973.03</v>
      </c>
    </row>
    <row r="157" spans="1:10" ht="18" customHeight="1">
      <c r="A157" s="9">
        <v>41306</v>
      </c>
      <c r="B157" s="3">
        <v>1.2645219999999999</v>
      </c>
      <c r="C157" s="30" t="str">
        <f t="shared" si="10"/>
        <v/>
      </c>
      <c r="D157" s="41" t="str">
        <f t="shared" si="11"/>
        <v/>
      </c>
      <c r="E157" s="16">
        <v>2026.49</v>
      </c>
      <c r="F157" s="16">
        <v>268.01</v>
      </c>
      <c r="G157" s="16">
        <v>15.19</v>
      </c>
      <c r="H157" s="16">
        <v>1344.57</v>
      </c>
      <c r="I157" s="14">
        <v>535.87</v>
      </c>
      <c r="J157" s="14">
        <v>944.37</v>
      </c>
    </row>
    <row r="158" spans="1:10" ht="18" customHeight="1">
      <c r="A158" s="9">
        <v>41275</v>
      </c>
      <c r="B158" s="3">
        <v>1.22597</v>
      </c>
      <c r="C158" s="30" t="str">
        <f t="shared" si="10"/>
        <v/>
      </c>
      <c r="D158" s="41" t="str">
        <f t="shared" si="11"/>
        <v/>
      </c>
      <c r="E158" s="16">
        <v>1961.94</v>
      </c>
      <c r="F158" s="16">
        <v>258.07</v>
      </c>
      <c r="G158" s="16">
        <v>15.18</v>
      </c>
      <c r="H158" s="16">
        <v>1290.6099999999999</v>
      </c>
      <c r="I158" s="14">
        <v>503.67</v>
      </c>
      <c r="J158" s="14">
        <v>883.56</v>
      </c>
    </row>
    <row r="159" spans="1:10" ht="18" customHeight="1">
      <c r="A159" s="9">
        <v>41244</v>
      </c>
      <c r="B159" s="3">
        <v>1.248632</v>
      </c>
      <c r="C159" s="30" t="str">
        <f t="shared" si="10"/>
        <v/>
      </c>
      <c r="D159" s="41" t="str">
        <f t="shared" si="11"/>
        <v/>
      </c>
      <c r="E159" s="16">
        <v>1997.05</v>
      </c>
      <c r="F159" s="16">
        <v>263.92</v>
      </c>
      <c r="G159" s="16">
        <v>15.89</v>
      </c>
      <c r="H159" s="16">
        <v>1329.58</v>
      </c>
      <c r="I159" s="14">
        <v>496.32</v>
      </c>
      <c r="J159" s="13">
        <v>880.2</v>
      </c>
    </row>
    <row r="160" spans="1:10" ht="18" customHeight="1">
      <c r="A160" s="9">
        <v>41214</v>
      </c>
      <c r="B160" s="3">
        <v>1.2084109999999999</v>
      </c>
      <c r="C160" s="30" t="str">
        <f t="shared" si="10"/>
        <v/>
      </c>
      <c r="D160" s="41" t="str">
        <f t="shared" si="11"/>
        <v/>
      </c>
      <c r="E160" s="16">
        <v>1932.9</v>
      </c>
      <c r="F160" s="16">
        <v>254.25</v>
      </c>
      <c r="G160" s="16">
        <v>14.87</v>
      </c>
      <c r="H160" s="16">
        <v>1273.51</v>
      </c>
      <c r="I160" s="14">
        <v>499.37</v>
      </c>
      <c r="J160" s="14">
        <v>876.85</v>
      </c>
    </row>
    <row r="161" spans="1:10" ht="18" customHeight="1">
      <c r="A161" s="9">
        <v>41183</v>
      </c>
      <c r="B161" s="3">
        <v>1.194307</v>
      </c>
      <c r="C161" s="30" t="str">
        <f t="shared" si="10"/>
        <v/>
      </c>
      <c r="D161" s="41" t="str">
        <f t="shared" si="11"/>
        <v/>
      </c>
      <c r="E161" s="16">
        <v>1912.06</v>
      </c>
      <c r="F161" s="16">
        <v>250.18</v>
      </c>
      <c r="G161" s="16">
        <v>18.37</v>
      </c>
      <c r="H161" s="16">
        <v>1249.08</v>
      </c>
      <c r="I161" s="14">
        <v>508.31</v>
      </c>
      <c r="J161" s="14">
        <v>893.42</v>
      </c>
    </row>
    <row r="162" spans="1:10" ht="18" customHeight="1">
      <c r="A162" s="9">
        <v>41153</v>
      </c>
      <c r="B162" s="3">
        <v>1.2496210000000001</v>
      </c>
      <c r="C162" s="30" t="str">
        <f t="shared" si="10"/>
        <v/>
      </c>
      <c r="D162" s="41" t="str">
        <f t="shared" si="11"/>
        <v/>
      </c>
      <c r="E162" s="16">
        <v>1996.21</v>
      </c>
      <c r="F162" s="16">
        <v>262.49</v>
      </c>
      <c r="G162" s="16">
        <v>17.23</v>
      </c>
      <c r="H162" s="16">
        <v>1317.13</v>
      </c>
      <c r="I162" s="14">
        <v>523.78</v>
      </c>
      <c r="J162" s="14">
        <v>925.14</v>
      </c>
    </row>
    <row r="163" spans="1:10" ht="18" customHeight="1">
      <c r="A163" s="9">
        <v>41122</v>
      </c>
      <c r="B163" s="3">
        <v>1.1915880000000001</v>
      </c>
      <c r="C163" s="30" t="str">
        <f t="shared" si="10"/>
        <v/>
      </c>
      <c r="D163" s="41" t="str">
        <f t="shared" si="11"/>
        <v/>
      </c>
      <c r="E163" s="16">
        <v>1905.12</v>
      </c>
      <c r="F163" s="16">
        <v>250.56</v>
      </c>
      <c r="G163" s="16">
        <v>20.350000000000001</v>
      </c>
      <c r="H163" s="16">
        <v>1254.68</v>
      </c>
      <c r="I163" s="14">
        <v>508.35</v>
      </c>
      <c r="J163" s="14">
        <v>922.68</v>
      </c>
    </row>
    <row r="164" spans="1:10" ht="18" customHeight="1">
      <c r="A164" s="9">
        <v>41091</v>
      </c>
      <c r="B164" s="3">
        <v>1.1835039999999999</v>
      </c>
      <c r="C164" s="30" t="str">
        <f t="shared" si="10"/>
        <v/>
      </c>
      <c r="D164" s="41" t="str">
        <f t="shared" si="11"/>
        <v/>
      </c>
      <c r="E164" s="16">
        <v>1881.99</v>
      </c>
      <c r="F164" s="16">
        <v>250.08</v>
      </c>
      <c r="G164" s="16">
        <v>20.32</v>
      </c>
      <c r="H164" s="16">
        <v>1256.44</v>
      </c>
      <c r="I164" s="14">
        <v>467.61</v>
      </c>
      <c r="J164" s="14">
        <v>841.13</v>
      </c>
    </row>
    <row r="165" spans="1:10" ht="18" customHeight="1">
      <c r="A165" s="9">
        <v>41061</v>
      </c>
      <c r="B165" s="3">
        <v>1.165116</v>
      </c>
      <c r="C165" s="30" t="str">
        <f t="shared" si="10"/>
        <v/>
      </c>
      <c r="D165" s="41" t="str">
        <f t="shared" si="11"/>
        <v/>
      </c>
      <c r="E165" s="16">
        <v>1854.01</v>
      </c>
      <c r="F165" s="16">
        <v>244.9</v>
      </c>
      <c r="G165" s="16">
        <v>20.03</v>
      </c>
      <c r="H165" s="16">
        <v>1232.6099999999999</v>
      </c>
      <c r="I165" s="14">
        <v>489.16</v>
      </c>
      <c r="J165" s="13">
        <v>882.8</v>
      </c>
    </row>
    <row r="166" spans="1:10" ht="18" customHeight="1">
      <c r="A166" s="9">
        <v>41030</v>
      </c>
      <c r="B166" s="3">
        <v>1.158393</v>
      </c>
      <c r="C166" s="30" t="str">
        <f t="shared" si="10"/>
        <v/>
      </c>
      <c r="D166" s="41" t="str">
        <f t="shared" si="11"/>
        <v/>
      </c>
      <c r="E166" s="16">
        <v>1843.47</v>
      </c>
      <c r="F166" s="16">
        <v>244.05</v>
      </c>
      <c r="G166" s="16">
        <v>22.69</v>
      </c>
      <c r="H166" s="16">
        <v>1228.04</v>
      </c>
      <c r="I166" s="14">
        <v>471.94</v>
      </c>
      <c r="J166" s="14">
        <v>873.73</v>
      </c>
    </row>
    <row r="167" spans="1:10" ht="18" customHeight="1">
      <c r="A167" s="9">
        <v>41000</v>
      </c>
      <c r="B167" s="3">
        <v>1.2452559999999999</v>
      </c>
      <c r="C167" s="30" t="str">
        <f t="shared" si="10"/>
        <v/>
      </c>
      <c r="D167" s="41" t="str">
        <f t="shared" si="11"/>
        <v/>
      </c>
      <c r="E167" s="16">
        <v>1981.99</v>
      </c>
      <c r="F167" s="16">
        <v>264.35000000000002</v>
      </c>
      <c r="G167" s="16">
        <v>17.309999999999999</v>
      </c>
      <c r="H167" s="16">
        <v>1339.72</v>
      </c>
      <c r="I167" s="14">
        <v>478.89</v>
      </c>
      <c r="J167" s="14">
        <v>864.72</v>
      </c>
    </row>
    <row r="168" spans="1:10" ht="18" customHeight="1">
      <c r="A168" s="9">
        <v>40969</v>
      </c>
      <c r="B168" s="3">
        <v>1.3139989999999999</v>
      </c>
      <c r="C168" s="30" t="str">
        <f t="shared" si="10"/>
        <v/>
      </c>
      <c r="D168" s="41" t="str">
        <f t="shared" si="11"/>
        <v/>
      </c>
      <c r="E168" s="16">
        <v>2014.04</v>
      </c>
      <c r="F168" s="16">
        <v>266.58</v>
      </c>
      <c r="G168" s="16">
        <v>17.559999999999999</v>
      </c>
      <c r="H168" s="16">
        <v>1353.11</v>
      </c>
      <c r="I168" s="14">
        <v>519.55999999999995</v>
      </c>
      <c r="J168" s="14">
        <v>943.42</v>
      </c>
    </row>
    <row r="169" spans="1:10" ht="18" customHeight="1">
      <c r="A169" s="9">
        <v>40940</v>
      </c>
      <c r="B169" s="3">
        <v>1.3252440000000001</v>
      </c>
      <c r="C169" s="30" t="str">
        <f t="shared" si="10"/>
        <v/>
      </c>
      <c r="D169" s="41" t="str">
        <f t="shared" si="11"/>
        <v/>
      </c>
      <c r="E169" s="16">
        <v>2030.25</v>
      </c>
      <c r="F169" s="16">
        <v>267.13</v>
      </c>
      <c r="G169" s="16">
        <v>19.399999999999999</v>
      </c>
      <c r="H169" s="16">
        <v>1361.87</v>
      </c>
      <c r="I169" s="13">
        <v>542.29999999999995</v>
      </c>
      <c r="J169" s="14">
        <v>988.15</v>
      </c>
    </row>
    <row r="170" spans="1:10" ht="18" customHeight="1">
      <c r="A170" s="9">
        <v>40909</v>
      </c>
      <c r="B170" s="3">
        <v>1.2748459999999999</v>
      </c>
      <c r="C170" s="30" t="str">
        <f t="shared" si="10"/>
        <v/>
      </c>
      <c r="D170" s="41" t="str">
        <f t="shared" si="11"/>
        <v/>
      </c>
      <c r="E170" s="16">
        <v>1955.79</v>
      </c>
      <c r="F170" s="16">
        <v>256.89999999999998</v>
      </c>
      <c r="G170" s="16">
        <v>23.36</v>
      </c>
      <c r="H170" s="16">
        <v>1316.01</v>
      </c>
      <c r="I170" s="14">
        <v>513.99</v>
      </c>
      <c r="J170" s="14">
        <v>966.47</v>
      </c>
    </row>
    <row r="171" spans="1:10" ht="18" customHeight="1">
      <c r="A171" s="9">
        <v>40878</v>
      </c>
      <c r="B171" s="3">
        <v>1.1906669999999999</v>
      </c>
      <c r="C171" s="30" t="str">
        <f t="shared" si="10"/>
        <v/>
      </c>
      <c r="D171" s="41" t="str">
        <f t="shared" si="11"/>
        <v/>
      </c>
      <c r="E171" s="16">
        <v>1825.74</v>
      </c>
      <c r="F171" s="16">
        <v>238.08</v>
      </c>
      <c r="G171" s="16">
        <v>26.4</v>
      </c>
      <c r="H171" s="16">
        <v>1215.8800000000001</v>
      </c>
      <c r="I171" s="14">
        <v>500.18</v>
      </c>
      <c r="J171" s="14">
        <v>965.62</v>
      </c>
    </row>
    <row r="172" spans="1:10" ht="18" customHeight="1">
      <c r="A172" s="9">
        <v>40848</v>
      </c>
      <c r="B172" s="3">
        <v>1.2039150000000001</v>
      </c>
      <c r="C172" s="30" t="str">
        <f t="shared" si="10"/>
        <v/>
      </c>
      <c r="D172" s="41" t="str">
        <f t="shared" si="11"/>
        <v/>
      </c>
      <c r="E172" s="16">
        <v>1847.51</v>
      </c>
      <c r="F172" s="16">
        <v>241.19</v>
      </c>
      <c r="G172" s="16">
        <v>29.04</v>
      </c>
      <c r="H172" s="16">
        <v>1223.58</v>
      </c>
      <c r="I172" s="14">
        <v>492.81</v>
      </c>
      <c r="J172" s="14">
        <v>973.91</v>
      </c>
    </row>
    <row r="173" spans="1:10" ht="18" customHeight="1">
      <c r="A173" s="9">
        <v>40817</v>
      </c>
      <c r="B173" s="3">
        <v>1.2442869999999999</v>
      </c>
      <c r="C173" s="30" t="str">
        <f t="shared" si="10"/>
        <v/>
      </c>
      <c r="D173" s="41" t="str">
        <f t="shared" si="11"/>
        <v/>
      </c>
      <c r="E173" s="16">
        <v>1909.03</v>
      </c>
      <c r="F173" s="16">
        <v>249.88</v>
      </c>
      <c r="G173" s="16">
        <v>31.02</v>
      </c>
      <c r="H173" s="16">
        <v>1276.67</v>
      </c>
      <c r="I173" s="14">
        <v>490.69</v>
      </c>
      <c r="J173" s="13">
        <v>983.8</v>
      </c>
    </row>
    <row r="174" spans="1:10" ht="18" customHeight="1">
      <c r="A174" s="9">
        <v>40787</v>
      </c>
      <c r="B174" s="3">
        <v>1.151486</v>
      </c>
      <c r="C174" s="30" t="str">
        <f t="shared" si="10"/>
        <v/>
      </c>
      <c r="D174" s="41" t="str">
        <f t="shared" si="11"/>
        <v/>
      </c>
      <c r="E174" s="16">
        <v>1769.65</v>
      </c>
      <c r="F174" s="16">
        <v>230.41</v>
      </c>
      <c r="G174" s="16">
        <v>40.56</v>
      </c>
      <c r="H174" s="16">
        <v>1162.3599999999999</v>
      </c>
      <c r="I174" s="14">
        <v>449.66</v>
      </c>
      <c r="J174" s="14">
        <v>916.17</v>
      </c>
    </row>
    <row r="175" spans="1:10" ht="18" customHeight="1">
      <c r="A175" s="9">
        <v>40756</v>
      </c>
      <c r="B175" s="3">
        <v>1.224227</v>
      </c>
      <c r="C175" s="30" t="str">
        <f t="shared" si="10"/>
        <v/>
      </c>
      <c r="D175" s="41" t="str">
        <f t="shared" si="11"/>
        <v/>
      </c>
      <c r="E175" s="16">
        <v>1880.11</v>
      </c>
      <c r="F175" s="16">
        <v>242.16</v>
      </c>
      <c r="G175" s="16">
        <v>28.05</v>
      </c>
      <c r="H175" s="16">
        <v>1216.98</v>
      </c>
      <c r="I175" s="14">
        <v>493.44</v>
      </c>
      <c r="J175" s="13">
        <v>987.9</v>
      </c>
    </row>
    <row r="176" spans="1:10" ht="18" customHeight="1">
      <c r="A176" s="9">
        <v>40725</v>
      </c>
      <c r="B176" s="3">
        <v>1.3914200000000001</v>
      </c>
      <c r="C176" s="30" t="str">
        <f t="shared" si="10"/>
        <v/>
      </c>
      <c r="D176" s="41" t="str">
        <f t="shared" si="11"/>
        <v/>
      </c>
      <c r="E176" s="16">
        <v>2133.21</v>
      </c>
      <c r="F176" s="16">
        <v>277.11</v>
      </c>
      <c r="G176" s="16">
        <v>21</v>
      </c>
      <c r="H176" s="16">
        <v>1401.67</v>
      </c>
      <c r="I176" s="14">
        <v>536.04999999999995</v>
      </c>
      <c r="J176" s="14">
        <v>1070.3900000000001</v>
      </c>
    </row>
    <row r="177" spans="1:10" ht="18" customHeight="1">
      <c r="A177" s="9">
        <v>40695</v>
      </c>
      <c r="B177" s="3">
        <v>1.3809899999999999</v>
      </c>
      <c r="C177" s="30" t="str">
        <f t="shared" si="10"/>
        <v/>
      </c>
      <c r="D177" s="41" t="str">
        <f t="shared" si="11"/>
        <v/>
      </c>
      <c r="E177" s="16">
        <v>2100.69</v>
      </c>
      <c r="F177" s="16">
        <v>275.17</v>
      </c>
      <c r="G177" s="16">
        <v>19.239999999999998</v>
      </c>
      <c r="H177" s="16">
        <v>1393.86</v>
      </c>
      <c r="I177" s="14">
        <v>479.55</v>
      </c>
      <c r="J177" s="14">
        <v>952.97</v>
      </c>
    </row>
    <row r="178" spans="1:10" ht="18" customHeight="1">
      <c r="A178" s="9">
        <v>40664</v>
      </c>
      <c r="B178" s="3">
        <v>1.4063650000000001</v>
      </c>
      <c r="C178" s="30" t="str">
        <f t="shared" si="10"/>
        <v/>
      </c>
      <c r="D178" s="41" t="str">
        <f t="shared" si="11"/>
        <v/>
      </c>
      <c r="E178" s="16">
        <v>2142.4699999999998</v>
      </c>
      <c r="F178" s="16">
        <v>282.76</v>
      </c>
      <c r="G178" s="16">
        <v>18.559999999999999</v>
      </c>
      <c r="H178" s="16">
        <v>1429.99</v>
      </c>
      <c r="I178" s="14">
        <v>484.54</v>
      </c>
      <c r="J178" s="14">
        <v>948.75</v>
      </c>
    </row>
    <row r="179" spans="1:10" ht="18" customHeight="1">
      <c r="A179" s="9">
        <v>40634</v>
      </c>
      <c r="B179" s="3">
        <v>1.4379519999999999</v>
      </c>
      <c r="C179" s="30" t="str">
        <f t="shared" si="10"/>
        <v/>
      </c>
      <c r="D179" s="41" t="str">
        <f t="shared" si="11"/>
        <v/>
      </c>
      <c r="E179" s="16">
        <v>2192.36</v>
      </c>
      <c r="F179" s="16">
        <v>290.39</v>
      </c>
      <c r="G179" s="16">
        <v>18.36</v>
      </c>
      <c r="H179" s="16">
        <v>1470.69</v>
      </c>
      <c r="I179" s="15">
        <v>511</v>
      </c>
      <c r="J179" s="14">
        <v>994.75</v>
      </c>
    </row>
    <row r="180" spans="1:10" ht="18" customHeight="1">
      <c r="A180" s="9">
        <v>40603</v>
      </c>
      <c r="B180" s="3">
        <v>1.549609</v>
      </c>
      <c r="C180" s="30" t="str">
        <f t="shared" si="10"/>
        <v/>
      </c>
      <c r="D180" s="41" t="str">
        <f t="shared" si="11"/>
        <v/>
      </c>
      <c r="E180" s="16">
        <v>2106.6999999999998</v>
      </c>
      <c r="F180" s="16">
        <v>278.87</v>
      </c>
      <c r="G180" s="16">
        <v>16.57</v>
      </c>
      <c r="H180" s="16">
        <v>1419.37</v>
      </c>
      <c r="I180" s="14">
        <v>525.41999999999996</v>
      </c>
      <c r="J180" s="14">
        <v>1033.07</v>
      </c>
    </row>
    <row r="181" spans="1:10" ht="18" customHeight="1">
      <c r="A181" s="9">
        <v>40575</v>
      </c>
      <c r="B181" s="3">
        <v>1.4250750000000001</v>
      </c>
      <c r="C181" s="30" t="str">
        <f t="shared" si="10"/>
        <v/>
      </c>
      <c r="D181" s="41" t="str">
        <f t="shared" si="11"/>
        <v/>
      </c>
      <c r="E181" s="16">
        <v>1939.3</v>
      </c>
      <c r="F181" s="16">
        <v>256.36</v>
      </c>
      <c r="G181" s="16">
        <v>20.059999999999999</v>
      </c>
      <c r="H181" s="16">
        <v>1298.24</v>
      </c>
      <c r="I181" s="14">
        <v>504.46</v>
      </c>
      <c r="J181" s="14">
        <v>999.69</v>
      </c>
    </row>
    <row r="182" spans="1:10" ht="18" customHeight="1">
      <c r="A182" s="9">
        <v>40544</v>
      </c>
      <c r="B182" s="3">
        <v>1.521261</v>
      </c>
      <c r="C182" s="30" t="str">
        <f t="shared" si="10"/>
        <v/>
      </c>
      <c r="D182" s="41" t="str">
        <f t="shared" si="11"/>
        <v/>
      </c>
      <c r="E182" s="16">
        <v>2069.73</v>
      </c>
      <c r="F182" s="16">
        <v>273.12</v>
      </c>
      <c r="G182" s="16">
        <v>16.3</v>
      </c>
      <c r="H182" s="16">
        <v>1392.19</v>
      </c>
      <c r="I182" s="14">
        <v>521.38</v>
      </c>
      <c r="J182" s="14">
        <v>1037.72</v>
      </c>
    </row>
    <row r="183" spans="1:10" ht="18" customHeight="1">
      <c r="A183" s="9">
        <v>40513</v>
      </c>
      <c r="B183" s="3">
        <v>1.5031829999999999</v>
      </c>
      <c r="C183" s="30" t="str">
        <f t="shared" si="10"/>
        <v/>
      </c>
      <c r="D183" s="41" t="str">
        <f t="shared" si="11"/>
        <v/>
      </c>
      <c r="E183" s="16">
        <v>2051</v>
      </c>
      <c r="F183" s="16">
        <v>271.19</v>
      </c>
      <c r="G183" s="16">
        <v>15.83</v>
      </c>
      <c r="H183" s="16">
        <v>1391.42</v>
      </c>
      <c r="I183" s="14">
        <v>510.69</v>
      </c>
      <c r="J183" s="13">
        <v>997.9</v>
      </c>
    </row>
    <row r="184" spans="1:10" ht="18" customHeight="1">
      <c r="A184" s="9">
        <v>40483</v>
      </c>
      <c r="B184" s="3">
        <v>1.3943779999999999</v>
      </c>
      <c r="C184" s="30" t="str">
        <f t="shared" si="10"/>
        <v/>
      </c>
      <c r="D184" s="41" t="str">
        <f t="shared" si="11"/>
        <v/>
      </c>
      <c r="E184" s="16">
        <v>1904.63</v>
      </c>
      <c r="F184" s="16">
        <v>249.64</v>
      </c>
      <c r="G184" s="16">
        <v>22.76</v>
      </c>
      <c r="H184" s="16">
        <v>1269.1500000000001</v>
      </c>
      <c r="I184" s="14">
        <v>498.39</v>
      </c>
      <c r="J184" s="14">
        <v>971.73</v>
      </c>
    </row>
    <row r="185" spans="1:10" ht="18" customHeight="1">
      <c r="A185" s="9">
        <v>40452</v>
      </c>
      <c r="B185" s="3">
        <v>1.3795040000000001</v>
      </c>
      <c r="C185" s="30" t="str">
        <f t="shared" si="10"/>
        <v/>
      </c>
      <c r="D185" s="41" t="str">
        <f t="shared" si="11"/>
        <v/>
      </c>
      <c r="E185" s="16">
        <v>1882.95</v>
      </c>
      <c r="F185" s="16">
        <v>242.98</v>
      </c>
      <c r="G185" s="16">
        <v>18.600000000000001</v>
      </c>
      <c r="H185" s="16">
        <v>1226.1099999999999</v>
      </c>
      <c r="I185" s="14">
        <v>526.45000000000005</v>
      </c>
      <c r="J185" s="14">
        <v>1019.44</v>
      </c>
    </row>
    <row r="186" spans="1:10" ht="18" customHeight="1">
      <c r="A186" s="9">
        <v>40422</v>
      </c>
      <c r="B186" s="3">
        <v>1.371021</v>
      </c>
      <c r="C186" s="30" t="str">
        <f t="shared" si="10"/>
        <v/>
      </c>
      <c r="D186" s="41" t="str">
        <f t="shared" si="11"/>
        <v/>
      </c>
      <c r="E186" s="16">
        <v>1872.81</v>
      </c>
      <c r="F186" s="16">
        <v>242.95</v>
      </c>
      <c r="G186" s="16">
        <v>16.77</v>
      </c>
      <c r="H186" s="16">
        <v>1234.21</v>
      </c>
      <c r="I186" s="14">
        <v>492.75</v>
      </c>
      <c r="J186" s="14">
        <v>963.37</v>
      </c>
    </row>
    <row r="187" spans="1:10" ht="18" customHeight="1">
      <c r="A187" s="9">
        <v>40391</v>
      </c>
      <c r="B187" s="3">
        <v>1.2758419999999999</v>
      </c>
      <c r="C187" s="30" t="str">
        <f t="shared" si="10"/>
        <v/>
      </c>
      <c r="D187" s="41" t="str">
        <f t="shared" si="11"/>
        <v/>
      </c>
      <c r="E187" s="16">
        <v>1742.75</v>
      </c>
      <c r="F187" s="16">
        <v>226.81</v>
      </c>
      <c r="G187" s="16">
        <v>18.79</v>
      </c>
      <c r="H187" s="16">
        <v>1149.3499999999999</v>
      </c>
      <c r="I187" s="14">
        <v>464.71</v>
      </c>
      <c r="J187" s="14">
        <v>889.81</v>
      </c>
    </row>
    <row r="188" spans="1:10" ht="18" customHeight="1">
      <c r="A188" s="9">
        <v>40360</v>
      </c>
      <c r="B188" s="3">
        <v>1.286538</v>
      </c>
      <c r="C188" s="30" t="str">
        <f t="shared" si="10"/>
        <v/>
      </c>
      <c r="D188" s="41" t="str">
        <f t="shared" si="11"/>
        <v/>
      </c>
      <c r="E188" s="16">
        <v>1759.33</v>
      </c>
      <c r="F188" s="16">
        <v>229.25</v>
      </c>
      <c r="G188" s="16">
        <v>19.260000000000002</v>
      </c>
      <c r="H188" s="16">
        <v>1167.8699999999999</v>
      </c>
      <c r="I188" s="14">
        <v>481.45</v>
      </c>
      <c r="J188" s="14">
        <v>918.99</v>
      </c>
    </row>
    <row r="189" spans="1:10" ht="18" customHeight="1">
      <c r="A189" s="9">
        <v>40330</v>
      </c>
      <c r="B189" s="3">
        <v>1.260346</v>
      </c>
      <c r="C189" s="30" t="str">
        <f t="shared" si="10"/>
        <v/>
      </c>
      <c r="D189" s="41" t="str">
        <f t="shared" si="11"/>
        <v/>
      </c>
      <c r="E189" s="16">
        <v>1698.29</v>
      </c>
      <c r="F189" s="16">
        <v>220.85</v>
      </c>
      <c r="G189" s="16">
        <v>21.9</v>
      </c>
      <c r="H189" s="16">
        <v>1119.93</v>
      </c>
      <c r="I189" s="14">
        <v>489.98</v>
      </c>
      <c r="J189" s="14">
        <v>943.44</v>
      </c>
    </row>
    <row r="190" spans="1:10" ht="18" customHeight="1">
      <c r="A190" s="9">
        <v>40299</v>
      </c>
      <c r="B190" s="3">
        <v>1.2201850000000001</v>
      </c>
      <c r="C190" s="30" t="str">
        <f t="shared" si="10"/>
        <v/>
      </c>
      <c r="D190" s="41" t="str">
        <f t="shared" si="11"/>
        <v/>
      </c>
      <c r="E190" s="16">
        <v>1641.25</v>
      </c>
      <c r="F190" s="16">
        <v>214.34</v>
      </c>
      <c r="G190" s="16">
        <v>24.01</v>
      </c>
      <c r="H190" s="16">
        <v>1079.8599999999999</v>
      </c>
      <c r="I190" s="14">
        <v>489.42</v>
      </c>
      <c r="J190" s="14">
        <v>939.54</v>
      </c>
    </row>
    <row r="191" spans="1:10" ht="18" customHeight="1">
      <c r="A191" s="9">
        <v>40269</v>
      </c>
      <c r="B191" s="3">
        <v>1.273026</v>
      </c>
      <c r="C191" s="30" t="str">
        <f t="shared" si="10"/>
        <v/>
      </c>
      <c r="D191" s="41" t="str">
        <f t="shared" si="11"/>
        <v/>
      </c>
      <c r="E191" s="16">
        <v>1741.56</v>
      </c>
      <c r="F191" s="16">
        <v>227.95</v>
      </c>
      <c r="G191" s="16">
        <v>18.27</v>
      </c>
      <c r="H191" s="16">
        <v>1159.4100000000001</v>
      </c>
      <c r="I191" s="14">
        <v>523.75</v>
      </c>
      <c r="J191" s="14">
        <v>985.47</v>
      </c>
    </row>
    <row r="192" spans="1:10" ht="18" customHeight="1">
      <c r="A192" s="9">
        <v>40238</v>
      </c>
      <c r="B192" s="3">
        <v>1.3561719999999999</v>
      </c>
      <c r="C192" s="30" t="str">
        <f t="shared" si="10"/>
        <v/>
      </c>
      <c r="D192" s="41" t="str">
        <f t="shared" si="11"/>
        <v/>
      </c>
      <c r="E192" s="16">
        <v>1692.85</v>
      </c>
      <c r="F192" s="16">
        <v>221.58</v>
      </c>
      <c r="G192" s="16">
        <v>17.68</v>
      </c>
      <c r="H192" s="16">
        <v>1128.25</v>
      </c>
      <c r="I192" s="14">
        <v>515.74</v>
      </c>
      <c r="J192" s="37">
        <v>957.81</v>
      </c>
    </row>
    <row r="193" spans="1:19" ht="18" customHeight="1">
      <c r="A193" s="9">
        <v>40210</v>
      </c>
      <c r="B193" s="3">
        <v>1.2761750000000001</v>
      </c>
      <c r="C193" s="30" t="str">
        <f t="shared" si="10"/>
        <v/>
      </c>
      <c r="D193" s="41" t="str">
        <f t="shared" si="11"/>
        <v/>
      </c>
      <c r="E193" s="16">
        <v>1594.58</v>
      </c>
      <c r="F193" s="16">
        <v>208.36</v>
      </c>
      <c r="G193" s="16">
        <v>20.59</v>
      </c>
      <c r="H193" s="16">
        <v>1054.43</v>
      </c>
      <c r="I193" s="14">
        <v>507.03</v>
      </c>
      <c r="J193" s="37">
        <v>928.29</v>
      </c>
    </row>
    <row r="194" spans="1:19" ht="18" customHeight="1">
      <c r="A194" s="9">
        <v>40179</v>
      </c>
      <c r="B194" s="3">
        <v>1.2835559999999999</v>
      </c>
      <c r="C194" s="30" t="str">
        <f t="shared" si="10"/>
        <v/>
      </c>
      <c r="D194" s="41" t="str">
        <f t="shared" si="11"/>
        <v/>
      </c>
      <c r="E194" s="16">
        <v>1602.43</v>
      </c>
      <c r="F194" s="16">
        <v>210.34</v>
      </c>
      <c r="G194" s="16">
        <v>23.29</v>
      </c>
      <c r="H194" s="16">
        <v>1062.81</v>
      </c>
      <c r="I194" s="14">
        <v>496.57</v>
      </c>
      <c r="J194" s="37">
        <v>922.07</v>
      </c>
    </row>
    <row r="195" spans="1:19" ht="18" customHeight="1">
      <c r="A195" s="9">
        <v>40148</v>
      </c>
      <c r="B195" s="3">
        <v>1.3417349999999999</v>
      </c>
      <c r="C195" s="30" t="str">
        <f t="shared" si="10"/>
        <v/>
      </c>
      <c r="D195" s="41" t="str">
        <f t="shared" si="11"/>
        <v/>
      </c>
      <c r="E195" s="16">
        <v>1682.77</v>
      </c>
      <c r="F195" s="16">
        <v>221.86</v>
      </c>
      <c r="G195" s="16">
        <v>20.350000000000001</v>
      </c>
      <c r="H195" s="16">
        <v>1129.3</v>
      </c>
      <c r="I195" s="14">
        <v>513.57000000000005</v>
      </c>
      <c r="J195" s="38">
        <f>(I195/I194)*J194</f>
        <v>953.63692913385842</v>
      </c>
    </row>
    <row r="196" spans="1:19" ht="18" customHeight="1">
      <c r="A196" s="9">
        <v>40118</v>
      </c>
      <c r="B196" s="3">
        <v>1.2312620000000001</v>
      </c>
      <c r="C196" s="30" t="str">
        <f t="shared" ref="C196:C259" si="12">IF(B196&lt;=C$1, "Risk", "")</f>
        <v/>
      </c>
      <c r="D196" s="41" t="str">
        <f t="shared" si="11"/>
        <v/>
      </c>
      <c r="E196" s="16">
        <v>1555.6</v>
      </c>
      <c r="F196" s="16">
        <v>204.75</v>
      </c>
      <c r="G196" s="16">
        <v>21.94</v>
      </c>
      <c r="H196" s="16">
        <v>1025.05</v>
      </c>
      <c r="I196" s="14">
        <v>464.32</v>
      </c>
      <c r="J196" s="38">
        <f t="shared" ref="J196:J259" si="13">(I196/I195)*J195</f>
        <v>862.18567855488652</v>
      </c>
      <c r="S196" s="32"/>
    </row>
    <row r="197" spans="1:19" ht="18" customHeight="1">
      <c r="A197" s="9">
        <v>40087</v>
      </c>
      <c r="B197" s="3">
        <v>1.2495289999999999</v>
      </c>
      <c r="C197" s="30" t="str">
        <f t="shared" si="12"/>
        <v/>
      </c>
      <c r="D197" s="41" t="str">
        <f t="shared" ref="D197:D260" si="14">IF(B197&lt;=D$1, "Risk", "")</f>
        <v/>
      </c>
      <c r="E197" s="16">
        <v>1580.69</v>
      </c>
      <c r="F197" s="16">
        <v>206.81</v>
      </c>
      <c r="G197" s="16">
        <v>25.41</v>
      </c>
      <c r="H197" s="16">
        <v>1032.8399999999999</v>
      </c>
      <c r="I197" s="14">
        <v>486.46</v>
      </c>
      <c r="J197" s="38">
        <f t="shared" si="13"/>
        <v>903.29696155627596</v>
      </c>
      <c r="R197" s="33"/>
      <c r="S197" s="32"/>
    </row>
    <row r="198" spans="1:19" ht="18" customHeight="1">
      <c r="A198" s="9">
        <v>40057</v>
      </c>
      <c r="B198" s="3">
        <v>1.3212820000000001</v>
      </c>
      <c r="C198" s="30" t="str">
        <f t="shared" si="12"/>
        <v/>
      </c>
      <c r="D198" s="41" t="str">
        <f t="shared" si="14"/>
        <v/>
      </c>
      <c r="E198" s="16">
        <v>1673.14</v>
      </c>
      <c r="F198" s="16">
        <v>219.75</v>
      </c>
      <c r="G198" s="16">
        <v>22.85</v>
      </c>
      <c r="H198" s="16">
        <v>1112.79</v>
      </c>
      <c r="I198" s="14">
        <v>505.94</v>
      </c>
      <c r="J198" s="38">
        <f t="shared" si="13"/>
        <v>939.468948587309</v>
      </c>
      <c r="Q198" s="33"/>
      <c r="R198" s="33"/>
      <c r="S198" s="32"/>
    </row>
    <row r="199" spans="1:19" ht="18" customHeight="1">
      <c r="A199" s="9">
        <v>40026</v>
      </c>
      <c r="B199" s="11">
        <v>1.2603839999999999</v>
      </c>
      <c r="C199" s="30" t="str">
        <f t="shared" si="12"/>
        <v/>
      </c>
      <c r="D199" s="41" t="str">
        <f t="shared" si="14"/>
        <v/>
      </c>
      <c r="E199" s="16">
        <v>1591.85</v>
      </c>
      <c r="F199" s="16">
        <v>207.44</v>
      </c>
      <c r="G199" s="16">
        <v>23.97</v>
      </c>
      <c r="H199" s="16">
        <v>1041.1099999999999</v>
      </c>
      <c r="I199" s="13">
        <v>514.70000000000005</v>
      </c>
      <c r="J199" s="38">
        <f t="shared" si="13"/>
        <v>955.73520148216789</v>
      </c>
      <c r="P199" s="33"/>
      <c r="Q199" s="33"/>
      <c r="R199" s="33"/>
      <c r="S199" s="32"/>
    </row>
    <row r="200" spans="1:19" ht="18" customHeight="1">
      <c r="A200" s="9">
        <v>39995</v>
      </c>
      <c r="B200" s="11">
        <v>1.2340770000000001</v>
      </c>
      <c r="C200" s="30" t="str">
        <f t="shared" si="12"/>
        <v/>
      </c>
      <c r="D200" s="41" t="str">
        <f t="shared" si="14"/>
        <v/>
      </c>
      <c r="E200" s="16">
        <v>1557.29</v>
      </c>
      <c r="F200" s="16">
        <v>202.96</v>
      </c>
      <c r="G200" s="16">
        <v>25.62</v>
      </c>
      <c r="H200" s="16">
        <v>1023.23</v>
      </c>
      <c r="I200" s="14">
        <v>504.35</v>
      </c>
      <c r="J200" s="38">
        <f t="shared" si="13"/>
        <v>936.5165122742012</v>
      </c>
      <c r="O200" s="33"/>
      <c r="P200" s="33"/>
      <c r="Q200" s="33"/>
      <c r="R200" s="33"/>
      <c r="S200" s="32"/>
    </row>
    <row r="201" spans="1:19" ht="18" customHeight="1">
      <c r="A201" s="9">
        <v>39965</v>
      </c>
      <c r="B201" s="11">
        <v>1.103451</v>
      </c>
      <c r="C201" s="30" t="str">
        <f t="shared" si="12"/>
        <v/>
      </c>
      <c r="D201" s="41" t="str">
        <f t="shared" si="14"/>
        <v/>
      </c>
      <c r="E201" s="16">
        <v>1390.07</v>
      </c>
      <c r="F201" s="16">
        <v>178.99</v>
      </c>
      <c r="G201" s="16">
        <v>27.26</v>
      </c>
      <c r="H201" s="16">
        <v>899.36</v>
      </c>
      <c r="I201" s="14">
        <v>485.15</v>
      </c>
      <c r="J201" s="38">
        <f t="shared" si="13"/>
        <v>900.86445113478464</v>
      </c>
      <c r="N201" s="33"/>
      <c r="O201" s="32"/>
      <c r="P201" s="32"/>
      <c r="Q201" s="32"/>
      <c r="R201" s="32"/>
      <c r="S201" s="32"/>
    </row>
    <row r="202" spans="1:19" ht="18" customHeight="1">
      <c r="A202" s="9">
        <v>39934</v>
      </c>
      <c r="B202" s="11">
        <v>1.108449</v>
      </c>
      <c r="C202" s="30" t="str">
        <f t="shared" si="12"/>
        <v/>
      </c>
      <c r="D202" s="41" t="str">
        <f t="shared" si="14"/>
        <v/>
      </c>
      <c r="E202" s="16">
        <v>1395.89</v>
      </c>
      <c r="F202" s="16">
        <v>178.7</v>
      </c>
      <c r="G202" s="16">
        <v>33.42</v>
      </c>
      <c r="H202" s="16">
        <v>895.72</v>
      </c>
      <c r="I202" s="13">
        <v>528.79999999999995</v>
      </c>
      <c r="J202" s="38">
        <f t="shared" si="13"/>
        <v>981.91718388142658</v>
      </c>
      <c r="M202" s="33"/>
      <c r="N202" s="33"/>
      <c r="O202" s="32"/>
      <c r="P202" s="32"/>
      <c r="Q202" s="32"/>
      <c r="R202" s="32"/>
      <c r="S202" s="32"/>
    </row>
    <row r="203" spans="1:19" ht="18" customHeight="1">
      <c r="A203" s="9">
        <v>39904</v>
      </c>
      <c r="B203" s="11">
        <v>1.148882</v>
      </c>
      <c r="C203" s="30" t="str">
        <f t="shared" si="12"/>
        <v/>
      </c>
      <c r="D203" s="41" t="str">
        <f t="shared" si="14"/>
        <v/>
      </c>
      <c r="E203" s="16">
        <v>1369.36</v>
      </c>
      <c r="F203" s="16">
        <v>176</v>
      </c>
      <c r="G203" s="16">
        <v>34.57</v>
      </c>
      <c r="H203" s="16">
        <v>891.93</v>
      </c>
      <c r="I203" s="14">
        <v>500.98</v>
      </c>
      <c r="J203" s="38">
        <f t="shared" si="13"/>
        <v>930.25883279295988</v>
      </c>
      <c r="L203" s="33"/>
      <c r="M203" s="33"/>
      <c r="N203" s="33"/>
      <c r="O203" s="32"/>
      <c r="P203" s="32"/>
      <c r="Q203" s="32"/>
      <c r="R203" s="32"/>
      <c r="S203" s="32"/>
    </row>
    <row r="204" spans="1:19" ht="18" customHeight="1">
      <c r="A204" s="9">
        <v>39873</v>
      </c>
      <c r="B204" s="11">
        <v>1.0096160000000001</v>
      </c>
      <c r="C204" s="30" t="str">
        <f t="shared" si="12"/>
        <v/>
      </c>
      <c r="D204" s="41" t="str">
        <f t="shared" si="14"/>
        <v/>
      </c>
      <c r="E204" s="16">
        <v>1206.26</v>
      </c>
      <c r="F204" s="16">
        <v>157.01</v>
      </c>
      <c r="G204" s="16">
        <v>39.56</v>
      </c>
      <c r="H204" s="16">
        <v>798.32</v>
      </c>
      <c r="I204" s="14">
        <v>421.44</v>
      </c>
      <c r="J204" s="38">
        <f t="shared" si="13"/>
        <v>782.56274201019005</v>
      </c>
      <c r="K204" s="33"/>
      <c r="L204" s="33"/>
      <c r="M204" s="33"/>
      <c r="N204" s="33"/>
      <c r="O204" s="32"/>
      <c r="P204" s="32"/>
      <c r="Q204" s="32"/>
      <c r="R204" s="32"/>
      <c r="S204" s="32"/>
    </row>
    <row r="205" spans="1:19" ht="18" customHeight="1">
      <c r="A205" s="9">
        <v>39845</v>
      </c>
      <c r="B205" s="3">
        <v>0.89</v>
      </c>
      <c r="C205" s="30" t="str">
        <f t="shared" si="12"/>
        <v>Risk</v>
      </c>
      <c r="D205" s="41" t="str">
        <f t="shared" si="14"/>
        <v/>
      </c>
      <c r="E205" s="16">
        <v>1063.03</v>
      </c>
      <c r="F205" s="16">
        <v>138.07</v>
      </c>
      <c r="G205" s="16">
        <v>47.36</v>
      </c>
      <c r="H205" s="16">
        <v>694.11</v>
      </c>
      <c r="I205" s="14">
        <v>363.21</v>
      </c>
      <c r="J205" s="38">
        <f t="shared" si="13"/>
        <v>674.43672533580377</v>
      </c>
      <c r="K205" s="33"/>
      <c r="L205" s="33"/>
      <c r="M205" s="33"/>
      <c r="N205" s="33"/>
      <c r="O205" s="32"/>
      <c r="P205" s="32"/>
      <c r="Q205" s="32"/>
      <c r="R205" s="32"/>
      <c r="S205" s="32"/>
    </row>
    <row r="206" spans="1:19" ht="18" customHeight="1">
      <c r="A206" s="9">
        <v>39814</v>
      </c>
      <c r="B206" s="3">
        <v>0.97</v>
      </c>
      <c r="C206" s="30" t="str">
        <f t="shared" si="12"/>
        <v/>
      </c>
      <c r="D206" s="41" t="str">
        <f t="shared" si="14"/>
        <v/>
      </c>
      <c r="E206" s="16">
        <v>1162.1099999999999</v>
      </c>
      <c r="F206" s="16">
        <v>151.33000000000001</v>
      </c>
      <c r="G206" s="16">
        <v>48.21</v>
      </c>
      <c r="H206" s="16">
        <v>768.59</v>
      </c>
      <c r="I206" s="13">
        <v>364.9</v>
      </c>
      <c r="J206" s="28">
        <f t="shared" si="13"/>
        <v>677.5748494673461</v>
      </c>
      <c r="K206" s="33"/>
      <c r="L206" s="33"/>
      <c r="M206" s="33"/>
      <c r="N206" s="33"/>
      <c r="O206" s="32"/>
      <c r="P206" s="32"/>
      <c r="Q206" s="32"/>
      <c r="R206" s="32"/>
      <c r="S206" s="32"/>
    </row>
    <row r="207" spans="1:19" ht="18" customHeight="1">
      <c r="A207" s="9">
        <v>39783</v>
      </c>
      <c r="B207" s="3">
        <v>0.94</v>
      </c>
      <c r="C207" s="30" t="str">
        <f t="shared" si="12"/>
        <v/>
      </c>
      <c r="D207" s="41" t="str">
        <f t="shared" si="14"/>
        <v/>
      </c>
      <c r="E207" s="16">
        <v>1124.47</v>
      </c>
      <c r="F207" s="16">
        <v>146.35</v>
      </c>
      <c r="G207" s="16">
        <v>48.61</v>
      </c>
      <c r="H207" s="16">
        <v>744.27</v>
      </c>
      <c r="I207" s="14">
        <v>332.05</v>
      </c>
      <c r="J207" s="28">
        <f t="shared" si="13"/>
        <v>616.57640111162596</v>
      </c>
      <c r="K207" s="33"/>
      <c r="L207" s="33"/>
      <c r="M207" s="33"/>
      <c r="N207" s="33"/>
      <c r="O207" s="32"/>
      <c r="P207" s="32"/>
      <c r="Q207" s="32"/>
      <c r="R207" s="32"/>
      <c r="S207" s="32"/>
    </row>
    <row r="208" spans="1:19" ht="18" customHeight="1">
      <c r="A208" s="9">
        <v>39753</v>
      </c>
      <c r="B208" s="3">
        <v>0.9</v>
      </c>
      <c r="C208" s="30" t="str">
        <f t="shared" si="12"/>
        <v>Risk</v>
      </c>
      <c r="D208" s="41" t="str">
        <f t="shared" si="14"/>
        <v/>
      </c>
      <c r="E208" s="16">
        <v>1076.07</v>
      </c>
      <c r="F208" s="16">
        <v>140.66</v>
      </c>
      <c r="G208" s="16">
        <v>57.79</v>
      </c>
      <c r="H208" s="16">
        <v>706.45</v>
      </c>
      <c r="I208" s="14">
        <v>307.48</v>
      </c>
      <c r="J208" s="28">
        <f t="shared" si="13"/>
        <v>570.95290412227905</v>
      </c>
      <c r="K208" s="34">
        <f>$H204/$H208</f>
        <v>1.1300445891428976</v>
      </c>
      <c r="L208" s="34">
        <f>$H203/$H208</f>
        <v>1.2625521976077569</v>
      </c>
      <c r="M208" s="34">
        <f>$H202/$H208</f>
        <v>1.267917050038927</v>
      </c>
      <c r="N208" s="34">
        <f>$H201/$H208</f>
        <v>1.2730695732182036</v>
      </c>
      <c r="O208" s="34">
        <f>$H200/$H208</f>
        <v>1.4484110694316652</v>
      </c>
      <c r="P208" s="34">
        <f>$H199/$H208</f>
        <v>1.4737207162573429</v>
      </c>
      <c r="Q208" s="34">
        <f>$H198/$H208</f>
        <v>1.5751857880954065</v>
      </c>
      <c r="R208" s="34">
        <f>$H197/$H208</f>
        <v>1.4620142968362939</v>
      </c>
      <c r="S208" s="34">
        <f>$H196/$H208</f>
        <v>1.4509873310213035</v>
      </c>
    </row>
    <row r="209" spans="1:10" ht="18" customHeight="1">
      <c r="A209" s="9">
        <v>39722</v>
      </c>
      <c r="B209" s="3">
        <v>0.93</v>
      </c>
      <c r="C209" s="30" t="str">
        <f t="shared" si="12"/>
        <v/>
      </c>
      <c r="D209" s="41" t="str">
        <f t="shared" si="14"/>
        <v/>
      </c>
      <c r="E209" s="16">
        <v>1113.06</v>
      </c>
      <c r="F209" s="16">
        <v>147.5</v>
      </c>
      <c r="G209" s="16">
        <v>81.27</v>
      </c>
      <c r="H209" s="16">
        <v>740.18</v>
      </c>
      <c r="I209" s="14">
        <v>308.02999999999997</v>
      </c>
      <c r="J209" s="28">
        <f t="shared" si="13"/>
        <v>571.97418712366857</v>
      </c>
    </row>
    <row r="210" spans="1:10" ht="18" customHeight="1">
      <c r="A210" s="9">
        <v>39692</v>
      </c>
      <c r="B210" s="3">
        <v>1.2</v>
      </c>
      <c r="C210" s="30" t="str">
        <f t="shared" si="12"/>
        <v/>
      </c>
      <c r="D210" s="41" t="str">
        <f t="shared" si="14"/>
        <v/>
      </c>
      <c r="E210" s="16">
        <v>1448.06</v>
      </c>
      <c r="F210" s="16">
        <v>186.62</v>
      </c>
      <c r="G210" s="16">
        <v>36.78</v>
      </c>
      <c r="H210" s="16">
        <v>936.31</v>
      </c>
      <c r="I210" s="14">
        <v>440.77</v>
      </c>
      <c r="J210" s="28">
        <f t="shared" si="13"/>
        <v>818.45619731357147</v>
      </c>
    </row>
    <row r="211" spans="1:10" ht="18" customHeight="1">
      <c r="A211" s="9">
        <v>39661</v>
      </c>
      <c r="B211" s="3">
        <v>1.22</v>
      </c>
      <c r="C211" s="30" t="str">
        <f t="shared" si="12"/>
        <v/>
      </c>
      <c r="D211" s="41" t="str">
        <f t="shared" si="14"/>
        <v/>
      </c>
      <c r="E211" s="16">
        <v>1474.24</v>
      </c>
      <c r="F211" s="16">
        <v>188.96</v>
      </c>
      <c r="G211" s="16">
        <v>25.66</v>
      </c>
      <c r="H211" s="16">
        <v>967.11</v>
      </c>
      <c r="I211" s="14">
        <v>470.28</v>
      </c>
      <c r="J211" s="28">
        <f t="shared" si="13"/>
        <v>873.25267253358072</v>
      </c>
    </row>
    <row r="212" spans="1:10" ht="18" customHeight="1">
      <c r="A212" s="9">
        <v>39630</v>
      </c>
      <c r="B212" s="3">
        <v>1.33</v>
      </c>
      <c r="C212" s="30" t="str">
        <f t="shared" si="12"/>
        <v/>
      </c>
      <c r="D212" s="41" t="str">
        <f t="shared" si="14"/>
        <v/>
      </c>
      <c r="E212" s="16">
        <v>1594.67</v>
      </c>
      <c r="F212" s="16">
        <v>204.12</v>
      </c>
      <c r="G212" s="16">
        <v>23.82</v>
      </c>
      <c r="H212" s="16">
        <v>1048.68</v>
      </c>
      <c r="I212" s="14">
        <v>539.44000000000005</v>
      </c>
      <c r="J212" s="28">
        <f t="shared" si="13"/>
        <v>1001.6743677628539</v>
      </c>
    </row>
    <row r="213" spans="1:10" ht="18" customHeight="1">
      <c r="A213" s="9">
        <v>39600</v>
      </c>
      <c r="B213" s="3">
        <v>1.4</v>
      </c>
      <c r="C213" s="30" t="str">
        <f t="shared" si="12"/>
        <v/>
      </c>
      <c r="D213" s="41" t="str">
        <f t="shared" si="14"/>
        <v/>
      </c>
      <c r="E213" s="16">
        <v>1674.92</v>
      </c>
      <c r="F213" s="16">
        <v>213.52</v>
      </c>
      <c r="G213" s="16">
        <v>25.15</v>
      </c>
      <c r="H213" s="16">
        <v>1099.31</v>
      </c>
      <c r="I213" s="14">
        <v>590.19000000000005</v>
      </c>
      <c r="J213" s="28">
        <f t="shared" si="13"/>
        <v>1095.9109356183426</v>
      </c>
    </row>
    <row r="214" spans="1:10" ht="18" customHeight="1">
      <c r="A214" s="9">
        <v>39569</v>
      </c>
      <c r="B214" s="3">
        <v>1.54</v>
      </c>
      <c r="C214" s="30" t="str">
        <f t="shared" si="12"/>
        <v/>
      </c>
      <c r="D214" s="41" t="str">
        <f t="shared" si="14"/>
        <v/>
      </c>
      <c r="E214" s="16">
        <v>1852.02</v>
      </c>
      <c r="F214" s="16">
        <v>237.46</v>
      </c>
      <c r="G214" s="16">
        <v>23.06</v>
      </c>
      <c r="H214" s="16">
        <v>1222.8699999999999</v>
      </c>
      <c r="I214" s="14">
        <v>652.15</v>
      </c>
      <c r="J214" s="28">
        <f t="shared" si="13"/>
        <v>1210.9631079203341</v>
      </c>
    </row>
    <row r="215" spans="1:10" ht="18" customHeight="1">
      <c r="A215" s="9">
        <v>39539</v>
      </c>
      <c r="B215" s="3">
        <v>1.52</v>
      </c>
      <c r="C215" s="30" t="str">
        <f t="shared" si="12"/>
        <v/>
      </c>
      <c r="D215" s="41" t="str">
        <f t="shared" si="14"/>
        <v/>
      </c>
      <c r="E215" s="16">
        <v>1825.47</v>
      </c>
      <c r="F215" s="16">
        <v>235</v>
      </c>
      <c r="G215" s="16">
        <v>22.04</v>
      </c>
      <c r="H215" s="16">
        <v>1221.06</v>
      </c>
      <c r="I215" s="14">
        <v>647.02</v>
      </c>
      <c r="J215" s="28">
        <f t="shared" si="13"/>
        <v>1201.4373228346462</v>
      </c>
    </row>
    <row r="216" spans="1:10" ht="18" customHeight="1">
      <c r="A216" s="9">
        <v>39508</v>
      </c>
      <c r="B216" s="3">
        <v>1.59</v>
      </c>
      <c r="C216" s="30" t="str">
        <f t="shared" si="12"/>
        <v/>
      </c>
      <c r="D216" s="41" t="str">
        <f t="shared" si="14"/>
        <v/>
      </c>
      <c r="E216" s="16">
        <v>1703.99</v>
      </c>
      <c r="F216" s="16">
        <v>217.65</v>
      </c>
      <c r="G216" s="16">
        <v>27.05</v>
      </c>
      <c r="H216" s="16">
        <v>1121.1099999999999</v>
      </c>
      <c r="I216" s="14">
        <v>644.45000000000005</v>
      </c>
      <c r="J216" s="28">
        <f t="shared" si="13"/>
        <v>1196.6651459008808</v>
      </c>
    </row>
    <row r="217" spans="1:10" ht="18" customHeight="1">
      <c r="A217" s="9">
        <v>39479</v>
      </c>
      <c r="B217" s="3">
        <v>1.58</v>
      </c>
      <c r="C217" s="30" t="str">
        <f t="shared" si="12"/>
        <v/>
      </c>
      <c r="D217" s="41" t="str">
        <f t="shared" si="14"/>
        <v/>
      </c>
      <c r="E217" s="16">
        <v>1711.62</v>
      </c>
      <c r="F217" s="16">
        <v>216.85</v>
      </c>
      <c r="G217" s="16">
        <v>29.21</v>
      </c>
      <c r="H217" s="16">
        <v>1122.94</v>
      </c>
      <c r="I217" s="14">
        <v>655.94</v>
      </c>
      <c r="J217" s="28">
        <f t="shared" si="13"/>
        <v>1218.0006762390003</v>
      </c>
    </row>
    <row r="218" spans="1:10" ht="18" customHeight="1">
      <c r="A218" s="9">
        <v>39448</v>
      </c>
      <c r="B218" s="3">
        <v>1.51</v>
      </c>
      <c r="C218" s="30" t="str">
        <f t="shared" si="12"/>
        <v/>
      </c>
      <c r="D218" s="41" t="str">
        <f t="shared" si="14"/>
        <v/>
      </c>
      <c r="E218" s="16">
        <v>1624.68</v>
      </c>
      <c r="F218" s="16">
        <v>207.77</v>
      </c>
      <c r="G218" s="16">
        <v>31.39</v>
      </c>
      <c r="H218" s="16">
        <v>1076.3499999999999</v>
      </c>
      <c r="I218" s="14">
        <v>608.84</v>
      </c>
      <c r="J218" s="28">
        <f t="shared" si="13"/>
        <v>1130.5417137563693</v>
      </c>
    </row>
    <row r="219" spans="1:10" ht="18" customHeight="1">
      <c r="A219" s="9">
        <v>39417</v>
      </c>
      <c r="B219" s="3">
        <v>1.75</v>
      </c>
      <c r="C219" s="30" t="str">
        <f t="shared" si="12"/>
        <v/>
      </c>
      <c r="D219" s="41" t="str">
        <f t="shared" si="14"/>
        <v/>
      </c>
      <c r="E219" s="16">
        <v>1897.13</v>
      </c>
      <c r="F219" s="16">
        <v>241.27</v>
      </c>
      <c r="G219" s="16">
        <v>25.13</v>
      </c>
      <c r="H219" s="16">
        <v>1252.6300000000001</v>
      </c>
      <c r="I219" s="14">
        <v>704.23</v>
      </c>
      <c r="J219" s="28">
        <f t="shared" si="13"/>
        <v>1307.6693237610011</v>
      </c>
    </row>
    <row r="220" spans="1:10" ht="18" customHeight="1">
      <c r="A220" s="9">
        <v>39387</v>
      </c>
      <c r="B220" s="3">
        <v>1.76</v>
      </c>
      <c r="C220" s="30" t="str">
        <f t="shared" si="12"/>
        <v/>
      </c>
      <c r="D220" s="41" t="str">
        <f t="shared" si="14"/>
        <v/>
      </c>
      <c r="E220" s="16">
        <v>1906</v>
      </c>
      <c r="F220" s="16">
        <v>241.91</v>
      </c>
      <c r="G220" s="16">
        <v>32.76</v>
      </c>
      <c r="H220" s="16">
        <v>1254.6099999999999</v>
      </c>
      <c r="I220" s="14">
        <v>741.84</v>
      </c>
      <c r="J220" s="28">
        <f t="shared" si="13"/>
        <v>1377.5065122742017</v>
      </c>
    </row>
    <row r="221" spans="1:10" ht="18" customHeight="1">
      <c r="A221" s="9">
        <v>39356</v>
      </c>
      <c r="B221" s="3">
        <v>1.9</v>
      </c>
      <c r="C221" s="30" t="str">
        <f t="shared" si="12"/>
        <v/>
      </c>
      <c r="D221" s="41" t="str">
        <f t="shared" si="14"/>
        <v/>
      </c>
      <c r="E221" s="16">
        <v>2064.85</v>
      </c>
      <c r="F221" s="16">
        <v>260.42</v>
      </c>
      <c r="G221" s="16">
        <v>34.049999999999997</v>
      </c>
      <c r="H221" s="16">
        <v>1353.07</v>
      </c>
      <c r="I221" s="14">
        <v>810.07</v>
      </c>
      <c r="J221" s="28">
        <f t="shared" si="13"/>
        <v>1504.2013107920341</v>
      </c>
    </row>
    <row r="222" spans="1:10" ht="18" customHeight="1">
      <c r="A222" s="9">
        <v>39326</v>
      </c>
      <c r="B222" s="3">
        <v>1.8</v>
      </c>
      <c r="C222" s="30" t="str">
        <f t="shared" si="12"/>
        <v/>
      </c>
      <c r="D222" s="41" t="str">
        <f t="shared" si="14"/>
        <v/>
      </c>
      <c r="E222" s="16">
        <v>1946.48</v>
      </c>
      <c r="F222" s="16">
        <v>247.2</v>
      </c>
      <c r="G222" s="16">
        <v>25.78</v>
      </c>
      <c r="H222" s="16">
        <v>1290.02</v>
      </c>
      <c r="I222" s="14">
        <v>794.56</v>
      </c>
      <c r="J222" s="28">
        <f t="shared" si="13"/>
        <v>1475.401130152849</v>
      </c>
    </row>
    <row r="223" spans="1:10" ht="18" customHeight="1">
      <c r="A223" s="9">
        <v>39295</v>
      </c>
      <c r="B223" s="3">
        <v>1.73</v>
      </c>
      <c r="C223" s="30" t="str">
        <f t="shared" si="12"/>
        <v/>
      </c>
      <c r="D223" s="41" t="str">
        <f t="shared" si="14"/>
        <v/>
      </c>
      <c r="E223" s="16">
        <v>1873.24</v>
      </c>
      <c r="F223" s="16">
        <v>238.28</v>
      </c>
      <c r="G223" s="16">
        <v>32.33</v>
      </c>
      <c r="H223" s="16">
        <v>1244.42</v>
      </c>
      <c r="I223" s="14">
        <v>775.13</v>
      </c>
      <c r="J223" s="28">
        <f t="shared" si="13"/>
        <v>1439.3219870310334</v>
      </c>
    </row>
    <row r="224" spans="1:10" ht="18" customHeight="1">
      <c r="A224" s="9">
        <v>39264</v>
      </c>
      <c r="B224" s="3">
        <v>1.79</v>
      </c>
      <c r="C224" s="30" t="str">
        <f t="shared" si="12"/>
        <v/>
      </c>
      <c r="D224" s="41" t="str">
        <f t="shared" si="14"/>
        <v/>
      </c>
      <c r="E224" s="16">
        <v>1933.27</v>
      </c>
      <c r="F224" s="16">
        <v>244.32</v>
      </c>
      <c r="G224" s="16">
        <v>27.71</v>
      </c>
      <c r="H224" s="16">
        <v>1277.22</v>
      </c>
      <c r="I224" s="14">
        <v>811.52</v>
      </c>
      <c r="J224" s="28">
        <f t="shared" si="13"/>
        <v>1506.8937841593336</v>
      </c>
    </row>
    <row r="225" spans="1:10" ht="18" customHeight="1">
      <c r="A225" s="9">
        <v>39234</v>
      </c>
      <c r="B225" s="3">
        <v>1.61</v>
      </c>
      <c r="C225" s="30" t="str">
        <f t="shared" si="12"/>
        <v/>
      </c>
      <c r="D225" s="41" t="str">
        <f t="shared" si="14"/>
        <v/>
      </c>
      <c r="E225" s="16">
        <v>1743.6</v>
      </c>
      <c r="F225" s="16">
        <v>221.31</v>
      </c>
      <c r="G225" s="16">
        <v>19.95</v>
      </c>
      <c r="H225" s="16">
        <v>1154.8599999999999</v>
      </c>
      <c r="I225" s="14">
        <v>778.69</v>
      </c>
      <c r="J225" s="28">
        <f t="shared" si="13"/>
        <v>1445.9324733673004</v>
      </c>
    </row>
    <row r="226" spans="1:10" ht="18" customHeight="1">
      <c r="A226" s="9">
        <v>39203</v>
      </c>
      <c r="B226" s="3">
        <v>1.57</v>
      </c>
      <c r="C226" s="30" t="str">
        <f t="shared" si="12"/>
        <v/>
      </c>
      <c r="D226" s="41" t="str">
        <f t="shared" si="14"/>
        <v/>
      </c>
      <c r="E226" s="16">
        <v>1700.91</v>
      </c>
      <c r="F226" s="16">
        <v>216.45</v>
      </c>
      <c r="G226" s="16">
        <v>18.59</v>
      </c>
      <c r="H226" s="16">
        <v>1144.5999999999999</v>
      </c>
      <c r="I226" s="14">
        <v>747.87</v>
      </c>
      <c r="J226" s="28">
        <f t="shared" si="13"/>
        <v>1388.7034877257995</v>
      </c>
    </row>
    <row r="227" spans="1:10" ht="18" customHeight="1">
      <c r="A227" s="9">
        <v>39173</v>
      </c>
      <c r="B227" s="3">
        <v>1.42</v>
      </c>
      <c r="C227" s="30" t="str">
        <f t="shared" si="12"/>
        <v/>
      </c>
      <c r="D227" s="41" t="str">
        <f t="shared" si="14"/>
        <v/>
      </c>
      <c r="E227" s="16">
        <v>1542.24</v>
      </c>
      <c r="F227" s="16">
        <v>198.55</v>
      </c>
      <c r="G227" s="16">
        <v>18.989999999999998</v>
      </c>
      <c r="H227" s="16">
        <v>1053.69</v>
      </c>
      <c r="I227" s="14">
        <v>675.88</v>
      </c>
      <c r="J227" s="28">
        <f t="shared" si="13"/>
        <v>1255.0268272348314</v>
      </c>
    </row>
    <row r="228" spans="1:10" ht="18" customHeight="1">
      <c r="A228" s="9">
        <v>39142</v>
      </c>
      <c r="B228" s="3">
        <v>1.48</v>
      </c>
      <c r="C228" s="30" t="str">
        <f t="shared" si="12"/>
        <v/>
      </c>
      <c r="D228" s="41" t="str">
        <f t="shared" si="14"/>
        <v/>
      </c>
      <c r="E228" s="16">
        <v>1452.55</v>
      </c>
      <c r="F228" s="16">
        <v>187.6</v>
      </c>
      <c r="G228" s="16">
        <v>19.64</v>
      </c>
      <c r="H228" s="16">
        <v>994.41</v>
      </c>
      <c r="I228" s="14">
        <v>648.99</v>
      </c>
      <c r="J228" s="28">
        <f t="shared" si="13"/>
        <v>1205.0953728578049</v>
      </c>
    </row>
    <row r="229" spans="1:10" ht="18" customHeight="1">
      <c r="A229" s="9">
        <v>39114</v>
      </c>
      <c r="B229" s="3">
        <v>1.45</v>
      </c>
      <c r="C229" s="30" t="str">
        <f t="shared" si="12"/>
        <v/>
      </c>
      <c r="D229" s="41" t="str">
        <f t="shared" si="14"/>
        <v/>
      </c>
      <c r="E229" s="16">
        <v>1417.34</v>
      </c>
      <c r="F229" s="16">
        <v>183.2</v>
      </c>
      <c r="G229" s="16">
        <v>20.38</v>
      </c>
      <c r="H229" s="16">
        <v>979.68</v>
      </c>
      <c r="I229" s="14">
        <v>600.92999999999995</v>
      </c>
      <c r="J229" s="28">
        <f t="shared" si="13"/>
        <v>1115.8538073182031</v>
      </c>
    </row>
    <row r="230" spans="1:10" ht="18" customHeight="1">
      <c r="A230" s="9">
        <v>39083</v>
      </c>
      <c r="B230" s="3">
        <v>1.39</v>
      </c>
      <c r="C230" s="30" t="str">
        <f t="shared" si="12"/>
        <v/>
      </c>
      <c r="D230" s="41" t="str">
        <f t="shared" si="14"/>
        <v/>
      </c>
      <c r="E230" s="16">
        <v>1360.23</v>
      </c>
      <c r="F230" s="16">
        <v>175.99</v>
      </c>
      <c r="G230" s="16">
        <v>17.989999999999998</v>
      </c>
      <c r="H230" s="16">
        <v>947.06</v>
      </c>
      <c r="I230" s="14">
        <v>576.37</v>
      </c>
      <c r="J230" s="28">
        <f t="shared" si="13"/>
        <v>1070.2488791106998</v>
      </c>
    </row>
    <row r="231" spans="1:10" ht="18" customHeight="1">
      <c r="A231" s="9">
        <v>39052</v>
      </c>
      <c r="B231" s="3">
        <v>1.46</v>
      </c>
      <c r="C231" s="30" t="str">
        <f t="shared" si="12"/>
        <v/>
      </c>
      <c r="D231" s="41" t="str">
        <f t="shared" si="14"/>
        <v/>
      </c>
      <c r="E231" s="16">
        <v>1434.46</v>
      </c>
      <c r="F231" s="16">
        <v>185.39</v>
      </c>
      <c r="G231" s="16">
        <v>15.4</v>
      </c>
      <c r="H231" s="16">
        <v>1000</v>
      </c>
      <c r="I231" s="14">
        <v>606.15</v>
      </c>
      <c r="J231" s="28">
        <f t="shared" si="13"/>
        <v>1125.5467114404821</v>
      </c>
    </row>
    <row r="232" spans="1:10" ht="18" customHeight="1">
      <c r="A232" s="9">
        <v>39022</v>
      </c>
      <c r="B232" s="3">
        <v>1.46</v>
      </c>
      <c r="C232" s="30" t="str">
        <f t="shared" si="12"/>
        <v/>
      </c>
      <c r="D232" s="41" t="str">
        <f t="shared" si="14"/>
        <v/>
      </c>
      <c r="E232" s="16">
        <v>1432.21</v>
      </c>
      <c r="F232" s="16">
        <v>184.96</v>
      </c>
      <c r="G232" s="16">
        <v>14.68</v>
      </c>
      <c r="H232" s="28">
        <f>(F232/F231)*H231</f>
        <v>997.68056529478406</v>
      </c>
      <c r="I232" s="14">
        <v>622.16999999999996</v>
      </c>
      <c r="J232" s="28">
        <f t="shared" si="13"/>
        <v>1155.2938999536825</v>
      </c>
    </row>
    <row r="233" spans="1:10" ht="18" customHeight="1">
      <c r="A233" s="9">
        <v>38991</v>
      </c>
      <c r="B233" s="3">
        <v>1.4</v>
      </c>
      <c r="C233" s="30" t="str">
        <f t="shared" si="12"/>
        <v/>
      </c>
      <c r="D233" s="41" t="str">
        <f t="shared" si="14"/>
        <v/>
      </c>
      <c r="E233" s="16">
        <v>1364.55</v>
      </c>
      <c r="F233" s="16">
        <v>176.84</v>
      </c>
      <c r="G233" s="16">
        <v>16.84</v>
      </c>
      <c r="H233" s="28">
        <f t="shared" ref="H233:H271" si="15">(F233/F232)*H232</f>
        <v>953.88100760558825</v>
      </c>
      <c r="I233" s="13">
        <v>586.1</v>
      </c>
      <c r="J233" s="28">
        <f t="shared" si="13"/>
        <v>1088.3163038443729</v>
      </c>
    </row>
    <row r="234" spans="1:10" ht="18" customHeight="1">
      <c r="A234" s="9">
        <v>38961</v>
      </c>
      <c r="B234" s="3">
        <v>1.4</v>
      </c>
      <c r="C234" s="30" t="str">
        <f t="shared" si="12"/>
        <v/>
      </c>
      <c r="D234" s="41" t="str">
        <f t="shared" si="14"/>
        <v/>
      </c>
      <c r="E234" s="16">
        <v>1371.41</v>
      </c>
      <c r="F234" s="16">
        <v>178.05</v>
      </c>
      <c r="G234" s="16">
        <v>16.71</v>
      </c>
      <c r="H234" s="28">
        <f t="shared" si="15"/>
        <v>960.40778898538224</v>
      </c>
      <c r="I234" s="14">
        <v>600.41999999999996</v>
      </c>
      <c r="J234" s="28">
        <f t="shared" si="13"/>
        <v>1114.9067994441875</v>
      </c>
    </row>
    <row r="235" spans="1:10" ht="18" customHeight="1">
      <c r="A235" s="9">
        <v>38930</v>
      </c>
      <c r="B235" s="3">
        <v>1.38</v>
      </c>
      <c r="C235" s="30" t="str">
        <f t="shared" si="12"/>
        <v/>
      </c>
      <c r="D235" s="41" t="str">
        <f t="shared" si="14"/>
        <v/>
      </c>
      <c r="E235" s="16">
        <v>1352.74</v>
      </c>
      <c r="F235" s="16">
        <v>175.44</v>
      </c>
      <c r="G235" s="16">
        <v>17.899999999999999</v>
      </c>
      <c r="H235" s="28">
        <f t="shared" si="15"/>
        <v>946.32935972814062</v>
      </c>
      <c r="I235" s="14">
        <v>572.83000000000004</v>
      </c>
      <c r="J235" s="28">
        <f t="shared" si="13"/>
        <v>1063.6755303381201</v>
      </c>
    </row>
    <row r="236" spans="1:10" ht="18" customHeight="1">
      <c r="A236" s="9">
        <v>38899</v>
      </c>
      <c r="B236" s="3">
        <v>1.33</v>
      </c>
      <c r="C236" s="30" t="str">
        <f t="shared" si="12"/>
        <v/>
      </c>
      <c r="D236" s="41" t="str">
        <f t="shared" si="14"/>
        <v/>
      </c>
      <c r="E236" s="16">
        <v>1297.82</v>
      </c>
      <c r="F236" s="16">
        <v>168.51</v>
      </c>
      <c r="G236" s="16">
        <v>23.75</v>
      </c>
      <c r="H236" s="28">
        <f t="shared" si="15"/>
        <v>908.94870273477522</v>
      </c>
      <c r="I236" s="14">
        <v>557.66</v>
      </c>
      <c r="J236" s="28">
        <f t="shared" si="13"/>
        <v>1035.5066882816122</v>
      </c>
    </row>
    <row r="237" spans="1:10" ht="18" customHeight="1">
      <c r="A237" s="9">
        <v>38869</v>
      </c>
      <c r="B237" s="3">
        <v>1.33</v>
      </c>
      <c r="C237" s="30" t="str">
        <f t="shared" si="12"/>
        <v/>
      </c>
      <c r="D237" s="41" t="str">
        <f t="shared" si="14"/>
        <v/>
      </c>
      <c r="E237" s="16">
        <v>1295.1500000000001</v>
      </c>
      <c r="F237" s="16">
        <v>167.45</v>
      </c>
      <c r="G237" s="16">
        <v>22.72</v>
      </c>
      <c r="H237" s="28">
        <f t="shared" si="15"/>
        <v>903.23102648470774</v>
      </c>
      <c r="I237" s="14">
        <v>590.67999999999995</v>
      </c>
      <c r="J237" s="28">
        <f t="shared" si="13"/>
        <v>1096.8208059286712</v>
      </c>
    </row>
    <row r="238" spans="1:10" ht="18" customHeight="1">
      <c r="A238" s="9">
        <v>38838</v>
      </c>
      <c r="B238" s="3">
        <v>1.36</v>
      </c>
      <c r="C238" s="30" t="str">
        <f t="shared" si="12"/>
        <v/>
      </c>
      <c r="D238" s="41" t="str">
        <f t="shared" si="14"/>
        <v/>
      </c>
      <c r="E238" s="16">
        <v>1317.7</v>
      </c>
      <c r="F238" s="16">
        <v>171.01</v>
      </c>
      <c r="G238" s="16">
        <v>21.21</v>
      </c>
      <c r="H238" s="28">
        <f t="shared" si="15"/>
        <v>922.43378823021726</v>
      </c>
      <c r="I238" s="13">
        <v>630.5</v>
      </c>
      <c r="J238" s="28">
        <f t="shared" si="13"/>
        <v>1170.7616952292733</v>
      </c>
    </row>
    <row r="239" spans="1:10" ht="18" customHeight="1">
      <c r="A239" s="9">
        <v>38808</v>
      </c>
      <c r="B239" s="3">
        <v>1.46</v>
      </c>
      <c r="C239" s="30" t="str">
        <f t="shared" si="12"/>
        <v/>
      </c>
      <c r="D239" s="41" t="str">
        <f t="shared" si="14"/>
        <v/>
      </c>
      <c r="E239" s="16">
        <v>1419.73</v>
      </c>
      <c r="F239" s="16">
        <v>184.1</v>
      </c>
      <c r="G239" s="16">
        <v>17.98</v>
      </c>
      <c r="H239" s="28">
        <f t="shared" si="15"/>
        <v>993.04169588435184</v>
      </c>
      <c r="I239" s="14">
        <v>685.44</v>
      </c>
      <c r="J239" s="28">
        <f t="shared" si="13"/>
        <v>1272.778582677166</v>
      </c>
    </row>
    <row r="240" spans="1:10" ht="18" customHeight="1">
      <c r="A240" s="9">
        <v>38777</v>
      </c>
      <c r="B240" s="3">
        <v>1.63</v>
      </c>
      <c r="C240" s="30" t="str">
        <f t="shared" si="12"/>
        <v/>
      </c>
      <c r="D240" s="41" t="str">
        <f t="shared" si="14"/>
        <v/>
      </c>
      <c r="E240" s="16">
        <v>1359.6</v>
      </c>
      <c r="F240" s="16">
        <v>176.21</v>
      </c>
      <c r="G240" s="16">
        <v>18.190000000000001</v>
      </c>
      <c r="H240" s="28">
        <f t="shared" si="15"/>
        <v>950.48276606073682</v>
      </c>
      <c r="I240" s="14">
        <v>665.21</v>
      </c>
      <c r="J240" s="28">
        <f t="shared" si="13"/>
        <v>1235.2139370078746</v>
      </c>
    </row>
    <row r="241" spans="1:10" ht="18" customHeight="1">
      <c r="A241" s="9">
        <v>38749</v>
      </c>
      <c r="B241" s="3">
        <v>1.64</v>
      </c>
      <c r="C241" s="30" t="str">
        <f t="shared" si="12"/>
        <v/>
      </c>
      <c r="D241" s="41" t="str">
        <f t="shared" si="14"/>
        <v/>
      </c>
      <c r="E241" s="16">
        <v>1371.59</v>
      </c>
      <c r="F241" s="16">
        <v>177.45</v>
      </c>
      <c r="G241" s="16">
        <v>19.899999999999999</v>
      </c>
      <c r="H241" s="28">
        <f t="shared" si="15"/>
        <v>957.171368466476</v>
      </c>
      <c r="I241" s="14">
        <v>682.36</v>
      </c>
      <c r="J241" s="28">
        <f t="shared" si="13"/>
        <v>1267.0593978693844</v>
      </c>
    </row>
    <row r="242" spans="1:10" ht="18" customHeight="1">
      <c r="A242" s="9">
        <v>38718</v>
      </c>
      <c r="B242" s="3">
        <v>1.65</v>
      </c>
      <c r="C242" s="30" t="str">
        <f t="shared" si="12"/>
        <v/>
      </c>
      <c r="D242" s="41" t="str">
        <f t="shared" si="14"/>
        <v/>
      </c>
      <c r="E242" s="16">
        <v>1399.83</v>
      </c>
      <c r="F242" s="16">
        <v>180.65</v>
      </c>
      <c r="G242" s="16">
        <v>21.57</v>
      </c>
      <c r="H242" s="28">
        <f t="shared" si="15"/>
        <v>974.43227790064191</v>
      </c>
      <c r="I242" s="14">
        <v>690.24</v>
      </c>
      <c r="J242" s="28">
        <f t="shared" si="13"/>
        <v>1281.6915979620198</v>
      </c>
    </row>
    <row r="243" spans="1:10" ht="18" customHeight="1">
      <c r="A243" s="9">
        <v>38687</v>
      </c>
      <c r="B243" s="3">
        <v>1.63</v>
      </c>
      <c r="C243" s="30" t="str">
        <f t="shared" si="12"/>
        <v/>
      </c>
      <c r="D243" s="41" t="str">
        <f t="shared" si="14"/>
        <v/>
      </c>
      <c r="E243" s="16">
        <v>1379.37</v>
      </c>
      <c r="F243" s="16">
        <v>177.43</v>
      </c>
      <c r="G243" s="16">
        <v>19.440000000000001</v>
      </c>
      <c r="H243" s="28">
        <f t="shared" si="15"/>
        <v>957.06348778251254</v>
      </c>
      <c r="I243" s="14">
        <v>701.79</v>
      </c>
      <c r="J243" s="28">
        <f t="shared" si="13"/>
        <v>1303.1385409912</v>
      </c>
    </row>
    <row r="244" spans="1:10" ht="18" customHeight="1">
      <c r="A244" s="9">
        <v>38657</v>
      </c>
      <c r="B244" s="3">
        <v>1.53</v>
      </c>
      <c r="C244" s="30" t="str">
        <f t="shared" si="12"/>
        <v/>
      </c>
      <c r="D244" s="41" t="str">
        <f t="shared" si="14"/>
        <v/>
      </c>
      <c r="E244" s="16">
        <v>1297.44</v>
      </c>
      <c r="F244" s="16">
        <v>165.95</v>
      </c>
      <c r="G244" s="16">
        <v>23.38</v>
      </c>
      <c r="H244" s="28">
        <f t="shared" si="15"/>
        <v>895.13997518744259</v>
      </c>
      <c r="I244" s="14">
        <v>712.39</v>
      </c>
      <c r="J244" s="28">
        <f t="shared" si="13"/>
        <v>1322.8214497452527</v>
      </c>
    </row>
    <row r="245" spans="1:10" ht="18" customHeight="1">
      <c r="A245" s="9">
        <v>38626</v>
      </c>
      <c r="B245" s="3">
        <v>1.35</v>
      </c>
      <c r="C245" s="30" t="str">
        <f t="shared" si="12"/>
        <v/>
      </c>
      <c r="D245" s="41" t="str">
        <f t="shared" si="14"/>
        <v/>
      </c>
      <c r="E245" s="16">
        <v>1158.1099999999999</v>
      </c>
      <c r="F245" s="16">
        <v>148.84</v>
      </c>
      <c r="G245" s="16">
        <v>25.85</v>
      </c>
      <c r="H245" s="28">
        <f t="shared" si="15"/>
        <v>802.84805005663725</v>
      </c>
      <c r="I245" s="14">
        <v>587.46</v>
      </c>
      <c r="J245" s="28">
        <f t="shared" si="13"/>
        <v>1090.8416581750814</v>
      </c>
    </row>
    <row r="246" spans="1:10" ht="18" customHeight="1">
      <c r="A246" s="9">
        <v>38596</v>
      </c>
      <c r="B246" s="3">
        <v>1.43</v>
      </c>
      <c r="C246" s="30" t="str">
        <f t="shared" si="12"/>
        <v/>
      </c>
      <c r="D246" s="41" t="str">
        <f t="shared" si="14"/>
        <v/>
      </c>
      <c r="E246" s="16">
        <v>1221.01</v>
      </c>
      <c r="F246" s="16">
        <v>157.55000000000001</v>
      </c>
      <c r="G246" s="16">
        <v>23.82</v>
      </c>
      <c r="H246" s="28">
        <f t="shared" si="15"/>
        <v>849.83008792275734</v>
      </c>
      <c r="I246" s="14">
        <v>571.95000000000005</v>
      </c>
      <c r="J246" s="28">
        <f t="shared" si="13"/>
        <v>1062.0414775358968</v>
      </c>
    </row>
    <row r="247" spans="1:10" ht="18" customHeight="1">
      <c r="A247" s="9">
        <v>38565</v>
      </c>
      <c r="B247" s="3">
        <v>1.27</v>
      </c>
      <c r="C247" s="30" t="str">
        <f t="shared" si="12"/>
        <v/>
      </c>
      <c r="D247" s="41" t="str">
        <f t="shared" si="14"/>
        <v/>
      </c>
      <c r="E247" s="16">
        <v>1083.33</v>
      </c>
      <c r="F247" s="16">
        <v>140.09</v>
      </c>
      <c r="G247" s="16">
        <v>21.12</v>
      </c>
      <c r="H247" s="28">
        <f t="shared" si="15"/>
        <v>755.65025082259012</v>
      </c>
      <c r="I247" s="14">
        <v>503.95</v>
      </c>
      <c r="J247" s="28">
        <f t="shared" si="13"/>
        <v>935.77376100046365</v>
      </c>
    </row>
    <row r="248" spans="1:10" ht="18" customHeight="1">
      <c r="A248" s="9">
        <v>38534</v>
      </c>
      <c r="B248" s="3">
        <v>1.3</v>
      </c>
      <c r="C248" s="30" t="str">
        <f t="shared" si="12"/>
        <v/>
      </c>
      <c r="D248" s="41" t="str">
        <f t="shared" si="14"/>
        <v/>
      </c>
      <c r="E248" s="16">
        <v>1111.29</v>
      </c>
      <c r="F248" s="16">
        <v>143.32</v>
      </c>
      <c r="G248" s="16">
        <v>16.88</v>
      </c>
      <c r="H248" s="28">
        <f t="shared" si="15"/>
        <v>773.07298128270122</v>
      </c>
      <c r="I248" s="14">
        <v>546.67999999999995</v>
      </c>
      <c r="J248" s="28">
        <f t="shared" si="13"/>
        <v>1015.1181658175085</v>
      </c>
    </row>
    <row r="249" spans="1:10" ht="18" customHeight="1">
      <c r="A249" s="9">
        <v>38504</v>
      </c>
      <c r="B249" s="3">
        <v>1.18</v>
      </c>
      <c r="C249" s="30" t="str">
        <f t="shared" si="12"/>
        <v/>
      </c>
      <c r="D249" s="41" t="str">
        <f t="shared" si="14"/>
        <v/>
      </c>
      <c r="E249" s="16">
        <v>1008.16</v>
      </c>
      <c r="F249" s="16">
        <v>129.43</v>
      </c>
      <c r="G249" s="16">
        <v>15.76</v>
      </c>
      <c r="H249" s="28">
        <f t="shared" si="15"/>
        <v>698.14984627002536</v>
      </c>
      <c r="I249" s="14">
        <v>503.21</v>
      </c>
      <c r="J249" s="28">
        <f t="shared" si="13"/>
        <v>934.39967114404863</v>
      </c>
    </row>
    <row r="250" spans="1:10" ht="18" customHeight="1">
      <c r="A250" s="9">
        <v>38473</v>
      </c>
      <c r="B250" s="3">
        <v>1.1399999999999999</v>
      </c>
      <c r="C250" s="30" t="str">
        <f t="shared" si="12"/>
        <v/>
      </c>
      <c r="D250" s="41" t="str">
        <f t="shared" si="14"/>
        <v/>
      </c>
      <c r="E250" s="16">
        <v>970.21</v>
      </c>
      <c r="F250" s="16">
        <v>124.84</v>
      </c>
      <c r="G250" s="16">
        <v>16.350000000000001</v>
      </c>
      <c r="H250" s="28">
        <f t="shared" si="15"/>
        <v>673.39122930039377</v>
      </c>
      <c r="I250" s="14">
        <v>471.48</v>
      </c>
      <c r="J250" s="28">
        <f t="shared" si="13"/>
        <v>875.48092635479441</v>
      </c>
    </row>
    <row r="251" spans="1:10" ht="18" customHeight="1">
      <c r="A251" s="9">
        <v>38443</v>
      </c>
      <c r="B251" s="3">
        <v>1.07</v>
      </c>
      <c r="C251" s="30" t="str">
        <f t="shared" si="12"/>
        <v/>
      </c>
      <c r="D251" s="41" t="str">
        <f t="shared" si="14"/>
        <v/>
      </c>
      <c r="E251" s="16">
        <v>911.3</v>
      </c>
      <c r="F251" s="16">
        <v>117.58</v>
      </c>
      <c r="G251" s="16">
        <v>22.48</v>
      </c>
      <c r="H251" s="28">
        <f t="shared" si="15"/>
        <v>634.23054102163007</v>
      </c>
      <c r="I251" s="13">
        <v>424.4</v>
      </c>
      <c r="J251" s="28">
        <f t="shared" si="13"/>
        <v>788.05910143585038</v>
      </c>
    </row>
    <row r="252" spans="1:10" ht="18" customHeight="1">
      <c r="A252" s="9">
        <v>38412</v>
      </c>
      <c r="B252" s="3">
        <v>1.27</v>
      </c>
      <c r="C252" s="30" t="str">
        <f t="shared" si="12"/>
        <v/>
      </c>
      <c r="D252" s="41" t="str">
        <f t="shared" si="14"/>
        <v/>
      </c>
      <c r="E252" s="16">
        <v>965.68</v>
      </c>
      <c r="F252" s="16">
        <v>124.78</v>
      </c>
      <c r="G252" s="16">
        <v>19.690000000000001</v>
      </c>
      <c r="H252" s="28">
        <f t="shared" si="15"/>
        <v>673.06758724850317</v>
      </c>
      <c r="I252" s="14">
        <v>455.03</v>
      </c>
      <c r="J252" s="28">
        <f t="shared" si="13"/>
        <v>844.93528022232556</v>
      </c>
    </row>
    <row r="253" spans="1:10" ht="18" customHeight="1">
      <c r="A253" s="9">
        <v>38384</v>
      </c>
      <c r="B253" s="3">
        <v>1.33</v>
      </c>
      <c r="C253" s="30" t="str">
        <f t="shared" si="12"/>
        <v/>
      </c>
      <c r="D253" s="41" t="str">
        <f t="shared" si="14"/>
        <v/>
      </c>
      <c r="E253" s="16">
        <v>1011.36</v>
      </c>
      <c r="F253" s="16">
        <v>130.85</v>
      </c>
      <c r="G253" s="16">
        <v>16.670000000000002</v>
      </c>
      <c r="H253" s="28">
        <f t="shared" si="15"/>
        <v>705.80937483143634</v>
      </c>
      <c r="I253" s="14">
        <v>498.38</v>
      </c>
      <c r="J253" s="28">
        <f t="shared" si="13"/>
        <v>925.43094951366425</v>
      </c>
    </row>
    <row r="254" spans="1:10" ht="18" customHeight="1">
      <c r="A254" s="9">
        <v>38353</v>
      </c>
      <c r="B254" s="3">
        <v>1.23</v>
      </c>
      <c r="C254" s="30" t="str">
        <f t="shared" si="12"/>
        <v/>
      </c>
      <c r="D254" s="41" t="str">
        <f t="shared" si="14"/>
        <v/>
      </c>
      <c r="E254" s="16">
        <v>932.7</v>
      </c>
      <c r="F254" s="16">
        <v>121.06</v>
      </c>
      <c r="G254" s="16">
        <v>18.12</v>
      </c>
      <c r="H254" s="28">
        <f t="shared" si="15"/>
        <v>653.00178003128542</v>
      </c>
      <c r="I254" s="14">
        <v>472.95</v>
      </c>
      <c r="J254" s="28">
        <f t="shared" si="13"/>
        <v>878.2105372857809</v>
      </c>
    </row>
    <row r="255" spans="1:10" ht="18" customHeight="1">
      <c r="A255" s="9">
        <v>38322</v>
      </c>
      <c r="B255" s="3">
        <v>1.1599999999999999</v>
      </c>
      <c r="C255" s="30" t="str">
        <f t="shared" si="12"/>
        <v/>
      </c>
      <c r="D255" s="41" t="str">
        <f t="shared" si="14"/>
        <v/>
      </c>
      <c r="E255" s="16">
        <v>895.92</v>
      </c>
      <c r="F255" s="16">
        <v>115.25</v>
      </c>
      <c r="G255" s="16">
        <v>21.29</v>
      </c>
      <c r="H255" s="28">
        <f t="shared" si="15"/>
        <v>621.66244133987811</v>
      </c>
      <c r="I255" s="14">
        <v>380.33</v>
      </c>
      <c r="J255" s="28">
        <f t="shared" si="13"/>
        <v>706.22647985178367</v>
      </c>
    </row>
    <row r="256" spans="1:10" ht="18" customHeight="1">
      <c r="A256" s="9">
        <v>38292</v>
      </c>
      <c r="B256" s="3">
        <v>1.1299999999999999</v>
      </c>
      <c r="C256" s="30" t="str">
        <f t="shared" si="12"/>
        <v/>
      </c>
      <c r="D256" s="41" t="str">
        <f t="shared" si="14"/>
        <v/>
      </c>
      <c r="E256" s="16">
        <v>878.06</v>
      </c>
      <c r="F256" s="16">
        <v>113.4</v>
      </c>
      <c r="G256" s="16">
        <v>25.05</v>
      </c>
      <c r="H256" s="28">
        <f t="shared" si="15"/>
        <v>611.68347807325108</v>
      </c>
      <c r="I256" s="14">
        <v>373.43</v>
      </c>
      <c r="J256" s="28">
        <f t="shared" si="13"/>
        <v>693.41402037980595</v>
      </c>
    </row>
    <row r="257" spans="1:19" ht="18" customHeight="1">
      <c r="A257" s="9">
        <v>38261</v>
      </c>
      <c r="B257" s="3">
        <v>1.08</v>
      </c>
      <c r="C257" s="30" t="str">
        <f t="shared" si="12"/>
        <v/>
      </c>
      <c r="D257" s="41" t="str">
        <f t="shared" si="14"/>
        <v/>
      </c>
      <c r="E257" s="16">
        <v>834.84</v>
      </c>
      <c r="F257" s="16">
        <v>107.99</v>
      </c>
      <c r="G257" s="16">
        <v>27.17</v>
      </c>
      <c r="H257" s="28">
        <f t="shared" si="15"/>
        <v>582.50175306111441</v>
      </c>
      <c r="I257" s="14">
        <v>357.04</v>
      </c>
      <c r="J257" s="28">
        <f t="shared" si="13"/>
        <v>662.97978693839787</v>
      </c>
    </row>
    <row r="258" spans="1:19" ht="18" customHeight="1">
      <c r="A258" s="9">
        <v>38231</v>
      </c>
      <c r="B258" s="3">
        <v>1.08</v>
      </c>
      <c r="C258" s="30" t="str">
        <f t="shared" si="12"/>
        <v/>
      </c>
      <c r="D258" s="41" t="str">
        <f t="shared" si="14"/>
        <v/>
      </c>
      <c r="E258" s="16">
        <v>835.09</v>
      </c>
      <c r="F258" s="16">
        <v>107.69</v>
      </c>
      <c r="G258" s="21">
        <v>23.73</v>
      </c>
      <c r="H258" s="28">
        <f t="shared" si="15"/>
        <v>580.88354280166141</v>
      </c>
      <c r="I258" s="14">
        <v>362.08</v>
      </c>
      <c r="J258" s="28">
        <f t="shared" si="13"/>
        <v>672.33845298749463</v>
      </c>
    </row>
    <row r="259" spans="1:19" ht="18" customHeight="1">
      <c r="A259" s="9">
        <v>38200</v>
      </c>
      <c r="B259" s="3">
        <v>1.03</v>
      </c>
      <c r="C259" s="30" t="str">
        <f t="shared" si="12"/>
        <v/>
      </c>
      <c r="D259" s="41" t="str">
        <f t="shared" si="14"/>
        <v/>
      </c>
      <c r="E259" s="16">
        <v>803.57</v>
      </c>
      <c r="F259" s="16">
        <v>102.89</v>
      </c>
      <c r="G259" s="21">
        <v>22.76</v>
      </c>
      <c r="H259" s="28">
        <f t="shared" si="15"/>
        <v>554.99217865041271</v>
      </c>
      <c r="I259" s="14">
        <v>355.66</v>
      </c>
      <c r="J259" s="28">
        <f t="shared" si="13"/>
        <v>660.41729504400234</v>
      </c>
    </row>
    <row r="260" spans="1:19" ht="18" customHeight="1">
      <c r="A260" s="9">
        <v>38169</v>
      </c>
      <c r="B260" s="3">
        <v>0.96</v>
      </c>
      <c r="C260" s="30" t="str">
        <f t="shared" ref="C260:C323" si="16">IF(B260&lt;=C$1, "Risk", "")</f>
        <v/>
      </c>
      <c r="D260" s="41" t="str">
        <f t="shared" si="14"/>
        <v/>
      </c>
      <c r="E260" s="16">
        <v>735.34</v>
      </c>
      <c r="F260" s="16">
        <v>95.27</v>
      </c>
      <c r="G260" s="21">
        <v>28.62</v>
      </c>
      <c r="H260" s="28">
        <f t="shared" si="15"/>
        <v>513.8896380603054</v>
      </c>
      <c r="I260" s="14">
        <v>331.21</v>
      </c>
      <c r="J260" s="28">
        <f t="shared" ref="J260:J265" si="17">(I260/I259)*J259</f>
        <v>615.01662343677663</v>
      </c>
    </row>
    <row r="261" spans="1:19" ht="18" customHeight="1">
      <c r="A261" s="9">
        <v>38139</v>
      </c>
      <c r="B261" s="3">
        <v>1.01</v>
      </c>
      <c r="C261" s="30" t="str">
        <f t="shared" si="16"/>
        <v/>
      </c>
      <c r="D261" s="41" t="str">
        <f t="shared" ref="D261:D324" si="18">IF(B261&lt;=D$1, "Risk", "")</f>
        <v/>
      </c>
      <c r="E261" s="16">
        <v>785.79</v>
      </c>
      <c r="F261" s="16">
        <v>101.85</v>
      </c>
      <c r="G261" s="21">
        <v>32.36</v>
      </c>
      <c r="H261" s="28">
        <f t="shared" si="15"/>
        <v>549.38238308430891</v>
      </c>
      <c r="I261" s="14">
        <v>385.18</v>
      </c>
      <c r="J261" s="28">
        <f t="shared" si="17"/>
        <v>715.23233904585504</v>
      </c>
    </row>
    <row r="262" spans="1:19" ht="18" customHeight="1">
      <c r="A262" s="9">
        <v>38108</v>
      </c>
      <c r="B262" s="3">
        <v>1.02</v>
      </c>
      <c r="C262" s="30" t="str">
        <f t="shared" si="16"/>
        <v/>
      </c>
      <c r="D262" s="41" t="str">
        <f t="shared" si="18"/>
        <v/>
      </c>
      <c r="E262" s="16">
        <v>803.84</v>
      </c>
      <c r="F262" s="16">
        <v>104.14</v>
      </c>
      <c r="G262" s="21">
        <v>30.14</v>
      </c>
      <c r="H262" s="28">
        <f t="shared" si="15"/>
        <v>561.73472139813396</v>
      </c>
      <c r="I262" s="14">
        <v>400.92</v>
      </c>
      <c r="J262" s="28">
        <f t="shared" si="17"/>
        <v>744.45960166743907</v>
      </c>
    </row>
    <row r="263" spans="1:19" ht="18" customHeight="1">
      <c r="A263" s="9">
        <v>38078</v>
      </c>
      <c r="B263" s="3">
        <v>1.1000000000000001</v>
      </c>
      <c r="C263" s="30" t="str">
        <f t="shared" si="16"/>
        <v/>
      </c>
      <c r="D263" s="41" t="str">
        <f t="shared" si="18"/>
        <v/>
      </c>
      <c r="E263" s="16">
        <v>862.84</v>
      </c>
      <c r="F263" s="16">
        <v>112.4</v>
      </c>
      <c r="G263" s="21">
        <v>24.47</v>
      </c>
      <c r="H263" s="28">
        <f t="shared" si="15"/>
        <v>606.28944387507454</v>
      </c>
      <c r="I263" s="14">
        <v>453.47</v>
      </c>
      <c r="J263" s="28">
        <f t="shared" si="17"/>
        <v>842.03855025474809</v>
      </c>
      <c r="S263" s="32"/>
    </row>
    <row r="264" spans="1:19" ht="18" customHeight="1">
      <c r="A264" s="9">
        <v>38047</v>
      </c>
      <c r="B264" s="3">
        <v>1.1100000000000001</v>
      </c>
      <c r="C264" s="30" t="str">
        <f t="shared" si="16"/>
        <v/>
      </c>
      <c r="D264" s="41" t="str">
        <f t="shared" si="18"/>
        <v/>
      </c>
      <c r="E264" s="16">
        <v>880.5</v>
      </c>
      <c r="F264" s="16">
        <v>115.98</v>
      </c>
      <c r="G264" s="21">
        <v>24.66</v>
      </c>
      <c r="H264" s="28">
        <f t="shared" si="15"/>
        <v>625.60008630454752</v>
      </c>
      <c r="I264" s="14">
        <v>434.16</v>
      </c>
      <c r="J264" s="28">
        <f t="shared" si="17"/>
        <v>806.18223251505378</v>
      </c>
      <c r="R264" s="33"/>
      <c r="S264" s="32"/>
    </row>
    <row r="265" spans="1:19" ht="18" customHeight="1">
      <c r="A265" s="9">
        <v>38018</v>
      </c>
      <c r="B265" s="3">
        <v>1.08</v>
      </c>
      <c r="C265" s="30" t="str">
        <f t="shared" si="16"/>
        <v/>
      </c>
      <c r="D265" s="41" t="str">
        <f t="shared" si="18"/>
        <v/>
      </c>
      <c r="E265" s="16">
        <v>883.42</v>
      </c>
      <c r="F265" s="16">
        <v>115.92</v>
      </c>
      <c r="G265" s="21">
        <v>19.95</v>
      </c>
      <c r="H265" s="28">
        <f t="shared" si="15"/>
        <v>625.27644425265692</v>
      </c>
      <c r="I265" s="14">
        <v>428.68</v>
      </c>
      <c r="J265" s="28">
        <f t="shared" si="17"/>
        <v>796.00654006484535</v>
      </c>
      <c r="Q265" s="33"/>
      <c r="R265" s="33"/>
      <c r="S265" s="32"/>
    </row>
    <row r="266" spans="1:19" ht="18" customHeight="1">
      <c r="A266" s="9">
        <v>37987</v>
      </c>
      <c r="B266" s="3">
        <v>1.07</v>
      </c>
      <c r="C266" s="30" t="str">
        <f t="shared" si="16"/>
        <v/>
      </c>
      <c r="D266" s="41" t="str">
        <f t="shared" si="18"/>
        <v/>
      </c>
      <c r="E266" s="16">
        <v>848.5</v>
      </c>
      <c r="F266" s="16">
        <v>110.89</v>
      </c>
      <c r="G266" s="21">
        <v>21.23</v>
      </c>
      <c r="H266" s="28">
        <f t="shared" si="15"/>
        <v>598.14445223582754</v>
      </c>
      <c r="I266" s="14">
        <v>441.45</v>
      </c>
      <c r="J266" s="28">
        <f>(I266/I265)*J265</f>
        <v>819.71887447892595</v>
      </c>
      <c r="P266" s="33"/>
      <c r="Q266" s="33"/>
      <c r="R266" s="33"/>
      <c r="S266" s="32"/>
    </row>
    <row r="267" spans="1:19" ht="18" customHeight="1">
      <c r="A267" s="9">
        <v>37956</v>
      </c>
      <c r="B267" s="4">
        <v>1.02</v>
      </c>
      <c r="C267" s="30" t="str">
        <f t="shared" si="16"/>
        <v/>
      </c>
      <c r="D267" s="41" t="str">
        <f t="shared" si="18"/>
        <v/>
      </c>
      <c r="E267" s="17">
        <v>811</v>
      </c>
      <c r="F267" s="27">
        <v>105.21</v>
      </c>
      <c r="G267" s="17">
        <v>22.5</v>
      </c>
      <c r="H267" s="28">
        <f t="shared" si="15"/>
        <v>567.50633799018317</v>
      </c>
      <c r="I267" s="29">
        <f>(E267/E266)*I266</f>
        <v>421.93983500294632</v>
      </c>
      <c r="J267" s="29">
        <f>(H267/H266)*J266</f>
        <v>777.73129032309305</v>
      </c>
      <c r="O267" s="33"/>
      <c r="P267" s="33"/>
      <c r="Q267" s="33"/>
      <c r="R267" s="33"/>
      <c r="S267" s="32"/>
    </row>
    <row r="268" spans="1:19" ht="18" customHeight="1">
      <c r="A268" s="9">
        <v>37926</v>
      </c>
      <c r="B268" s="4">
        <v>1.01</v>
      </c>
      <c r="C268" s="30" t="str">
        <f t="shared" si="16"/>
        <v/>
      </c>
      <c r="D268" s="41" t="str">
        <f t="shared" si="18"/>
        <v/>
      </c>
      <c r="E268" s="17">
        <v>796</v>
      </c>
      <c r="F268" s="27">
        <v>103.61</v>
      </c>
      <c r="G268" s="17">
        <v>25.4</v>
      </c>
      <c r="H268" s="28">
        <f t="shared" si="15"/>
        <v>558.87588327310027</v>
      </c>
      <c r="I268" s="29">
        <f t="shared" ref="I268:I326" si="19">(E268/E267)*I267</f>
        <v>414.13576900412488</v>
      </c>
      <c r="J268" s="29">
        <f t="shared" ref="J268:J326" si="20">(H268/H267)*J267</f>
        <v>765.90380182849231</v>
      </c>
      <c r="N268" s="33"/>
      <c r="O268" s="32"/>
      <c r="P268" s="32"/>
      <c r="Q268" s="32"/>
      <c r="R268" s="32"/>
      <c r="S268" s="32"/>
    </row>
    <row r="269" spans="1:19" ht="18" customHeight="1">
      <c r="A269" s="9">
        <v>37895</v>
      </c>
      <c r="B269" s="7">
        <v>0.99</v>
      </c>
      <c r="C269" s="30" t="str">
        <f t="shared" si="16"/>
        <v/>
      </c>
      <c r="D269" s="41" t="str">
        <f t="shared" si="18"/>
        <v/>
      </c>
      <c r="E269" s="18">
        <v>782</v>
      </c>
      <c r="F269" s="27">
        <v>101.44</v>
      </c>
      <c r="G269" s="18">
        <v>28.3</v>
      </c>
      <c r="H269" s="28">
        <f t="shared" si="15"/>
        <v>547.17082906305654</v>
      </c>
      <c r="I269" s="29">
        <f t="shared" si="19"/>
        <v>406.8519740718915</v>
      </c>
      <c r="J269" s="29">
        <f t="shared" si="20"/>
        <v>749.86277055768994</v>
      </c>
      <c r="M269" s="33"/>
      <c r="N269" s="33"/>
      <c r="O269" s="32"/>
      <c r="P269" s="32"/>
      <c r="Q269" s="32"/>
      <c r="R269" s="32"/>
      <c r="S269" s="32"/>
    </row>
    <row r="270" spans="1:19" ht="18" customHeight="1">
      <c r="A270" s="9">
        <v>37865</v>
      </c>
      <c r="B270" s="7">
        <v>0.89</v>
      </c>
      <c r="C270" s="30" t="str">
        <f t="shared" si="16"/>
        <v>Risk</v>
      </c>
      <c r="D270" s="41" t="str">
        <f t="shared" si="18"/>
        <v/>
      </c>
      <c r="E270" s="18">
        <v>698</v>
      </c>
      <c r="F270" s="27">
        <v>89.55</v>
      </c>
      <c r="G270" s="18">
        <v>27</v>
      </c>
      <c r="H270" s="28">
        <f t="shared" si="15"/>
        <v>483.03576244673417</v>
      </c>
      <c r="I270" s="29">
        <f t="shared" si="19"/>
        <v>363.14920447849141</v>
      </c>
      <c r="J270" s="29">
        <f t="shared" si="20"/>
        <v>661.96974668218786</v>
      </c>
      <c r="L270" s="33"/>
      <c r="M270" s="33"/>
      <c r="N270" s="33"/>
      <c r="O270" s="32"/>
      <c r="P270" s="32"/>
      <c r="Q270" s="32"/>
      <c r="R270" s="32"/>
      <c r="S270" s="32"/>
    </row>
    <row r="271" spans="1:19" ht="18" customHeight="1">
      <c r="A271" s="9">
        <v>37834</v>
      </c>
      <c r="B271" s="7">
        <v>0.96</v>
      </c>
      <c r="C271" s="30" t="str">
        <f t="shared" si="16"/>
        <v/>
      </c>
      <c r="D271" s="41" t="str">
        <f t="shared" si="18"/>
        <v/>
      </c>
      <c r="E271" s="18">
        <v>759</v>
      </c>
      <c r="F271" s="27">
        <v>97.59</v>
      </c>
      <c r="G271" s="18">
        <v>20.8</v>
      </c>
      <c r="H271" s="28">
        <f t="shared" si="15"/>
        <v>526.40379740007586</v>
      </c>
      <c r="I271" s="29">
        <f t="shared" si="19"/>
        <v>394.88573954036531</v>
      </c>
      <c r="J271" s="29">
        <f t="shared" si="20"/>
        <v>721.40287636755693</v>
      </c>
      <c r="K271" s="33"/>
      <c r="L271" s="33"/>
      <c r="M271" s="33"/>
      <c r="N271" s="33"/>
      <c r="O271" s="32"/>
      <c r="P271" s="32"/>
      <c r="Q271" s="32"/>
      <c r="R271" s="32"/>
      <c r="S271" s="32"/>
    </row>
    <row r="272" spans="1:19" ht="18" customHeight="1">
      <c r="A272" s="9">
        <v>37803</v>
      </c>
      <c r="B272" s="7">
        <v>0.9</v>
      </c>
      <c r="C272" s="30" t="str">
        <f t="shared" si="16"/>
        <v>Risk</v>
      </c>
      <c r="D272" s="41" t="str">
        <f t="shared" si="18"/>
        <v/>
      </c>
      <c r="E272" s="18">
        <v>714</v>
      </c>
      <c r="F272" s="27">
        <v>91.52</v>
      </c>
      <c r="G272" s="18">
        <v>25.5</v>
      </c>
      <c r="H272" s="28">
        <f>(F272/F271)*H271</f>
        <v>493.66200981714252</v>
      </c>
      <c r="I272" s="29">
        <f t="shared" si="19"/>
        <v>371.47354154390098</v>
      </c>
      <c r="J272" s="29">
        <f t="shared" si="20"/>
        <v>676.53234189116506</v>
      </c>
      <c r="K272" s="33"/>
      <c r="L272" s="33"/>
      <c r="M272" s="33"/>
      <c r="N272" s="33"/>
      <c r="O272" s="32"/>
      <c r="P272" s="32"/>
      <c r="Q272" s="32"/>
      <c r="R272" s="32"/>
      <c r="S272" s="32"/>
    </row>
    <row r="273" spans="1:19" ht="18" customHeight="1">
      <c r="A273" s="9">
        <v>37773</v>
      </c>
      <c r="B273" s="7">
        <v>0.84</v>
      </c>
      <c r="C273" s="30" t="str">
        <f t="shared" si="16"/>
        <v>Risk</v>
      </c>
      <c r="D273" s="41" t="str">
        <f t="shared" si="18"/>
        <v>Risk</v>
      </c>
      <c r="E273" s="18">
        <v>670</v>
      </c>
      <c r="F273" s="27">
        <v>85.47</v>
      </c>
      <c r="G273" s="18">
        <v>28.3</v>
      </c>
      <c r="H273" s="28">
        <f t="shared" ref="H273:H326" si="21">(F273/F272)*H272</f>
        <v>461.02810291817281</v>
      </c>
      <c r="I273" s="29">
        <f t="shared" si="19"/>
        <v>348.58161461402472</v>
      </c>
      <c r="J273" s="29">
        <f t="shared" si="20"/>
        <v>631.80965102095593</v>
      </c>
      <c r="K273" s="33"/>
      <c r="L273" s="33"/>
      <c r="M273" s="33"/>
      <c r="N273" s="33"/>
      <c r="O273" s="32"/>
      <c r="P273" s="32"/>
      <c r="Q273" s="32"/>
      <c r="R273" s="32"/>
      <c r="S273" s="32"/>
    </row>
    <row r="274" spans="1:19" ht="18" customHeight="1">
      <c r="A274" s="9">
        <v>37742</v>
      </c>
      <c r="B274" s="7">
        <v>0.79</v>
      </c>
      <c r="C274" s="30" t="str">
        <f t="shared" si="16"/>
        <v>Risk</v>
      </c>
      <c r="D274" s="41" t="str">
        <f t="shared" si="18"/>
        <v>Risk</v>
      </c>
      <c r="E274" s="18">
        <v>633</v>
      </c>
      <c r="F274" s="27">
        <v>80.53</v>
      </c>
      <c r="G274" s="18">
        <v>32.4</v>
      </c>
      <c r="H274" s="28">
        <f t="shared" si="21"/>
        <v>434.38157397917934</v>
      </c>
      <c r="I274" s="29">
        <f t="shared" si="19"/>
        <v>329.33158515026514</v>
      </c>
      <c r="J274" s="29">
        <f t="shared" si="20"/>
        <v>595.29228029387593</v>
      </c>
      <c r="K274" s="33"/>
      <c r="L274" s="33"/>
      <c r="M274" s="33"/>
      <c r="N274" s="33"/>
      <c r="O274" s="32"/>
      <c r="P274" s="32"/>
      <c r="Q274" s="32"/>
      <c r="R274" s="32"/>
      <c r="S274" s="32"/>
    </row>
    <row r="275" spans="1:19" ht="18" customHeight="1">
      <c r="A275" s="9">
        <v>37712</v>
      </c>
      <c r="B275" s="4">
        <v>0.76</v>
      </c>
      <c r="C275" s="30" t="str">
        <f t="shared" si="16"/>
        <v>Risk</v>
      </c>
      <c r="D275" s="41" t="str">
        <f t="shared" si="18"/>
        <v>Risk</v>
      </c>
      <c r="E275" s="17">
        <v>599</v>
      </c>
      <c r="F275" s="27">
        <v>76.45</v>
      </c>
      <c r="G275" s="17">
        <v>34.5</v>
      </c>
      <c r="H275" s="28">
        <f t="shared" si="21"/>
        <v>412.37391445061792</v>
      </c>
      <c r="I275" s="29">
        <f t="shared" si="19"/>
        <v>311.64236888626982</v>
      </c>
      <c r="J275" s="29">
        <f t="shared" si="20"/>
        <v>565.13218463264388</v>
      </c>
      <c r="K275" s="35">
        <f>1+(($H271/$H275)-1)*2</f>
        <v>1.5530412034009156</v>
      </c>
      <c r="L275" s="35">
        <f>1+(($H270/$H275)-1)*2</f>
        <v>1.3427076520601697</v>
      </c>
      <c r="M275" s="35">
        <f>1+(($H269/$H275)-1)*2</f>
        <v>1.6537606278613466</v>
      </c>
      <c r="N275" s="35">
        <f>1+(($H268/$H275)-1)*2</f>
        <v>1.7105297580117718</v>
      </c>
      <c r="O275" s="35">
        <f>1+(($H267/$H275)-1)*2</f>
        <v>1.7523871811641589</v>
      </c>
      <c r="P275" s="35">
        <f>1+(($H266/$H275)-1)*2</f>
        <v>1.9009810333551336</v>
      </c>
      <c r="Q275" s="35">
        <f>1+(($H265/$H275)-1)*2</f>
        <v>2.0325703073904506</v>
      </c>
      <c r="R275" s="35">
        <f>1+(($H264/$H275)-1)*2</f>
        <v>2.0341399607586652</v>
      </c>
      <c r="S275" s="35">
        <f>1+(($H263/$H275)-1)*2</f>
        <v>1.9404839764551993</v>
      </c>
    </row>
    <row r="276" spans="1:19" ht="18" customHeight="1">
      <c r="A276" s="9">
        <v>37681</v>
      </c>
      <c r="B276" s="4">
        <v>0.89</v>
      </c>
      <c r="C276" s="30" t="str">
        <f t="shared" si="16"/>
        <v>Risk</v>
      </c>
      <c r="D276" s="41" t="str">
        <f t="shared" si="18"/>
        <v/>
      </c>
      <c r="E276" s="17">
        <v>536</v>
      </c>
      <c r="F276" s="27">
        <v>68.05</v>
      </c>
      <c r="G276" s="17">
        <v>41</v>
      </c>
      <c r="H276" s="28">
        <f t="shared" si="21"/>
        <v>367.06402718593262</v>
      </c>
      <c r="I276" s="29">
        <f t="shared" si="19"/>
        <v>278.86529169121974</v>
      </c>
      <c r="J276" s="29">
        <f t="shared" si="20"/>
        <v>503.03787003598973</v>
      </c>
      <c r="K276" s="34">
        <f>$H275/$H276</f>
        <v>1.1234386480529024</v>
      </c>
      <c r="L276" s="34">
        <f t="shared" ref="L276:S276" si="22">$H275/$H276</f>
        <v>1.1234386480529024</v>
      </c>
      <c r="M276" s="34">
        <f t="shared" si="22"/>
        <v>1.1234386480529024</v>
      </c>
      <c r="N276" s="34">
        <f t="shared" si="22"/>
        <v>1.1234386480529024</v>
      </c>
      <c r="O276" s="34">
        <f t="shared" si="22"/>
        <v>1.1234386480529024</v>
      </c>
      <c r="P276" s="34">
        <f t="shared" si="22"/>
        <v>1.1234386480529024</v>
      </c>
      <c r="Q276" s="34">
        <f t="shared" si="22"/>
        <v>1.1234386480529024</v>
      </c>
      <c r="R276" s="34">
        <f t="shared" si="22"/>
        <v>1.1234386480529024</v>
      </c>
      <c r="S276" s="34">
        <f t="shared" si="22"/>
        <v>1.1234386480529024</v>
      </c>
    </row>
    <row r="277" spans="1:19" ht="18" customHeight="1">
      <c r="A277" s="9">
        <v>37653</v>
      </c>
      <c r="B277" s="4">
        <v>0.96</v>
      </c>
      <c r="C277" s="30" t="str">
        <f t="shared" si="16"/>
        <v/>
      </c>
      <c r="D277" s="41" t="str">
        <f t="shared" si="18"/>
        <v/>
      </c>
      <c r="E277" s="17">
        <v>575</v>
      </c>
      <c r="F277" s="27">
        <v>72.849999999999994</v>
      </c>
      <c r="G277" s="17">
        <v>35.5</v>
      </c>
      <c r="H277" s="28">
        <f t="shared" si="21"/>
        <v>392.95539133718131</v>
      </c>
      <c r="I277" s="29">
        <f t="shared" si="19"/>
        <v>299.1558632881555</v>
      </c>
      <c r="J277" s="29">
        <f t="shared" si="20"/>
        <v>538.52033551979207</v>
      </c>
    </row>
    <row r="278" spans="1:19" ht="18" customHeight="1">
      <c r="A278" s="9">
        <v>37622</v>
      </c>
      <c r="B278" s="4">
        <v>0.98</v>
      </c>
      <c r="C278" s="30" t="str">
        <f t="shared" si="16"/>
        <v/>
      </c>
      <c r="D278" s="41" t="str">
        <f t="shared" si="18"/>
        <v/>
      </c>
      <c r="E278" s="17">
        <v>592</v>
      </c>
      <c r="F278" s="27">
        <v>75.22</v>
      </c>
      <c r="G278" s="17">
        <v>35.9</v>
      </c>
      <c r="H278" s="28">
        <f t="shared" si="21"/>
        <v>405.73925238686036</v>
      </c>
      <c r="I278" s="29">
        <f t="shared" si="19"/>
        <v>308.00047142015313</v>
      </c>
      <c r="J278" s="29">
        <f t="shared" si="20"/>
        <v>556.03980285241948</v>
      </c>
    </row>
    <row r="279" spans="1:19" ht="18" customHeight="1">
      <c r="A279" s="9">
        <v>37591</v>
      </c>
      <c r="B279" s="4">
        <v>1.05</v>
      </c>
      <c r="C279" s="30" t="str">
        <f t="shared" si="16"/>
        <v/>
      </c>
      <c r="D279" s="41" t="str">
        <f t="shared" si="18"/>
        <v/>
      </c>
      <c r="E279" s="17">
        <v>628</v>
      </c>
      <c r="F279" s="27">
        <v>79.87</v>
      </c>
      <c r="G279" s="17">
        <v>35.6</v>
      </c>
      <c r="H279" s="28">
        <f t="shared" si="21"/>
        <v>430.82151140838261</v>
      </c>
      <c r="I279" s="29">
        <f t="shared" si="19"/>
        <v>326.73022981732458</v>
      </c>
      <c r="J279" s="29">
        <f t="shared" si="20"/>
        <v>590.41344128985304</v>
      </c>
    </row>
    <row r="280" spans="1:19" ht="18" customHeight="1">
      <c r="A280" s="9">
        <v>37561</v>
      </c>
      <c r="B280" s="4">
        <v>1.19</v>
      </c>
      <c r="C280" s="30" t="str">
        <f t="shared" si="16"/>
        <v/>
      </c>
      <c r="D280" s="41" t="str">
        <f t="shared" si="18"/>
        <v/>
      </c>
      <c r="E280" s="17">
        <v>725</v>
      </c>
      <c r="F280" s="27">
        <v>92.05</v>
      </c>
      <c r="G280" s="17">
        <v>40.9</v>
      </c>
      <c r="H280" s="28">
        <f t="shared" si="21"/>
        <v>496.5208479421762</v>
      </c>
      <c r="I280" s="29">
        <f t="shared" si="19"/>
        <v>377.19652327636993</v>
      </c>
      <c r="J280" s="29">
        <f t="shared" si="20"/>
        <v>680.45019745500144</v>
      </c>
    </row>
    <row r="281" spans="1:19" ht="18" customHeight="1">
      <c r="A281" s="9">
        <v>37530</v>
      </c>
      <c r="B281" s="4">
        <v>1.08</v>
      </c>
      <c r="C281" s="30" t="str">
        <f t="shared" si="16"/>
        <v/>
      </c>
      <c r="D281" s="41" t="str">
        <f t="shared" si="18"/>
        <v/>
      </c>
      <c r="E281" s="17">
        <v>659</v>
      </c>
      <c r="F281" s="27">
        <v>83.1</v>
      </c>
      <c r="G281" s="17">
        <v>40.9</v>
      </c>
      <c r="H281" s="28">
        <f t="shared" si="21"/>
        <v>448.2442418684937</v>
      </c>
      <c r="I281" s="29">
        <f t="shared" si="19"/>
        <v>342.85863288155554</v>
      </c>
      <c r="J281" s="29">
        <f t="shared" si="20"/>
        <v>614.29018368832828</v>
      </c>
    </row>
    <row r="282" spans="1:19" ht="18" customHeight="1">
      <c r="A282" s="9">
        <v>37500</v>
      </c>
      <c r="B282" s="4">
        <v>1.06</v>
      </c>
      <c r="C282" s="30" t="str">
        <f t="shared" si="16"/>
        <v/>
      </c>
      <c r="D282" s="41" t="str">
        <f t="shared" si="18"/>
        <v/>
      </c>
      <c r="E282" s="17">
        <v>646</v>
      </c>
      <c r="F282" s="27">
        <v>81.37</v>
      </c>
      <c r="G282" s="22">
        <v>40</v>
      </c>
      <c r="H282" s="28">
        <f t="shared" si="21"/>
        <v>438.91256270564787</v>
      </c>
      <c r="I282" s="29">
        <f t="shared" si="19"/>
        <v>336.09510901591028</v>
      </c>
      <c r="J282" s="29">
        <f t="shared" si="20"/>
        <v>601.50171175354126</v>
      </c>
      <c r="S282" s="32"/>
    </row>
    <row r="283" spans="1:19" ht="18" customHeight="1">
      <c r="A283" s="9">
        <v>37469</v>
      </c>
      <c r="B283" s="4">
        <v>1.2</v>
      </c>
      <c r="C283" s="30" t="str">
        <f t="shared" si="16"/>
        <v/>
      </c>
      <c r="D283" s="41" t="str">
        <f t="shared" si="18"/>
        <v/>
      </c>
      <c r="E283" s="17">
        <v>736</v>
      </c>
      <c r="F283" s="27">
        <v>92.55</v>
      </c>
      <c r="G283" s="22">
        <v>40</v>
      </c>
      <c r="H283" s="28">
        <f t="shared" si="21"/>
        <v>499.2178650412647</v>
      </c>
      <c r="I283" s="29">
        <f t="shared" si="19"/>
        <v>382.919505008839</v>
      </c>
      <c r="J283" s="29">
        <f t="shared" si="20"/>
        <v>684.1462876095643</v>
      </c>
      <c r="R283" s="32"/>
      <c r="S283" s="32"/>
    </row>
    <row r="284" spans="1:19" ht="18" customHeight="1">
      <c r="A284" s="9">
        <v>37438</v>
      </c>
      <c r="B284" s="4">
        <v>1.1599999999999999</v>
      </c>
      <c r="C284" s="30" t="str">
        <f t="shared" si="16"/>
        <v/>
      </c>
      <c r="D284" s="41" t="str">
        <f t="shared" si="18"/>
        <v/>
      </c>
      <c r="E284" s="17">
        <v>718</v>
      </c>
      <c r="F284" s="27">
        <v>90.16</v>
      </c>
      <c r="G284" s="22">
        <v>35</v>
      </c>
      <c r="H284" s="28">
        <f t="shared" si="21"/>
        <v>486.32612330762208</v>
      </c>
      <c r="I284" s="29">
        <f t="shared" si="19"/>
        <v>373.55462581025324</v>
      </c>
      <c r="J284" s="29">
        <f t="shared" si="20"/>
        <v>666.47897667075438</v>
      </c>
      <c r="Q284" s="33"/>
      <c r="R284" s="32"/>
      <c r="S284" s="32"/>
    </row>
    <row r="285" spans="1:19" ht="18" customHeight="1">
      <c r="A285" s="9">
        <v>37408</v>
      </c>
      <c r="B285" s="4">
        <v>1.21</v>
      </c>
      <c r="C285" s="30" t="str">
        <f t="shared" si="16"/>
        <v/>
      </c>
      <c r="D285" s="41" t="str">
        <f t="shared" si="18"/>
        <v/>
      </c>
      <c r="E285" s="17">
        <v>743</v>
      </c>
      <c r="F285" s="27">
        <v>93.69</v>
      </c>
      <c r="G285" s="22">
        <v>40</v>
      </c>
      <c r="H285" s="28">
        <f t="shared" si="21"/>
        <v>505.36706402718625</v>
      </c>
      <c r="I285" s="29">
        <f t="shared" si="19"/>
        <v>386.56140247495563</v>
      </c>
      <c r="J285" s="29">
        <f t="shared" si="20"/>
        <v>692.57337316196742</v>
      </c>
      <c r="P285" s="33"/>
      <c r="Q285" s="33"/>
      <c r="R285" s="32"/>
      <c r="S285" s="32"/>
    </row>
    <row r="286" spans="1:19" ht="18" customHeight="1">
      <c r="A286" s="9">
        <v>37377</v>
      </c>
      <c r="B286" s="4">
        <v>1.34</v>
      </c>
      <c r="C286" s="30" t="str">
        <f t="shared" si="16"/>
        <v/>
      </c>
      <c r="D286" s="41" t="str">
        <f t="shared" si="18"/>
        <v/>
      </c>
      <c r="E286" s="17">
        <v>796</v>
      </c>
      <c r="F286" s="27">
        <v>100.8</v>
      </c>
      <c r="G286" s="22">
        <v>35</v>
      </c>
      <c r="H286" s="28">
        <f t="shared" si="21"/>
        <v>543.71864717622339</v>
      </c>
      <c r="I286" s="29">
        <f t="shared" si="19"/>
        <v>414.13576900412471</v>
      </c>
      <c r="J286" s="29">
        <f t="shared" si="20"/>
        <v>745.13177515984967</v>
      </c>
      <c r="O286" s="33"/>
      <c r="P286" s="33"/>
      <c r="Q286" s="33"/>
      <c r="R286" s="32"/>
      <c r="S286" s="32"/>
    </row>
    <row r="287" spans="1:19" ht="18" customHeight="1">
      <c r="A287" s="9">
        <v>37347</v>
      </c>
      <c r="B287" s="4">
        <v>1.4</v>
      </c>
      <c r="C287" s="30" t="str">
        <f t="shared" si="16"/>
        <v/>
      </c>
      <c r="D287" s="41" t="str">
        <f t="shared" si="18"/>
        <v/>
      </c>
      <c r="E287" s="17">
        <v>842</v>
      </c>
      <c r="F287" s="27">
        <v>106.39</v>
      </c>
      <c r="G287" s="22">
        <v>32</v>
      </c>
      <c r="H287" s="28">
        <f t="shared" si="21"/>
        <v>573.87129834403186</v>
      </c>
      <c r="I287" s="29">
        <f t="shared" si="19"/>
        <v>438.06823806717716</v>
      </c>
      <c r="J287" s="29">
        <f t="shared" si="20"/>
        <v>786.4540630878613</v>
      </c>
      <c r="N287" s="33"/>
      <c r="O287" s="33"/>
      <c r="P287" s="33"/>
      <c r="Q287" s="33"/>
      <c r="R287" s="32"/>
      <c r="S287" s="32"/>
    </row>
    <row r="288" spans="1:19" ht="18" customHeight="1">
      <c r="A288" s="9">
        <v>37316</v>
      </c>
      <c r="B288" s="7">
        <v>1.49</v>
      </c>
      <c r="C288" s="30" t="str">
        <f t="shared" si="16"/>
        <v/>
      </c>
      <c r="D288" s="41" t="str">
        <f t="shared" si="18"/>
        <v/>
      </c>
      <c r="E288" s="18">
        <v>896</v>
      </c>
      <c r="F288" s="27">
        <v>111.84</v>
      </c>
      <c r="G288" s="23">
        <v>15</v>
      </c>
      <c r="H288" s="28">
        <f t="shared" si="21"/>
        <v>603.26878472409555</v>
      </c>
      <c r="I288" s="29">
        <f t="shared" si="19"/>
        <v>466.16287566293437</v>
      </c>
      <c r="J288" s="29">
        <f t="shared" si="20"/>
        <v>826.74144577259528</v>
      </c>
      <c r="M288" s="33"/>
      <c r="N288" s="33"/>
      <c r="O288" s="33"/>
      <c r="P288" s="33"/>
      <c r="Q288" s="33"/>
      <c r="R288" s="32"/>
      <c r="S288" s="32"/>
    </row>
    <row r="289" spans="1:21" ht="18" customHeight="1">
      <c r="A289" s="9">
        <v>37288</v>
      </c>
      <c r="B289" s="7">
        <v>1.363</v>
      </c>
      <c r="C289" s="30" t="str">
        <f t="shared" si="16"/>
        <v/>
      </c>
      <c r="D289" s="41" t="str">
        <f t="shared" si="18"/>
        <v/>
      </c>
      <c r="E289" s="18">
        <v>820</v>
      </c>
      <c r="F289" s="27">
        <v>102.62</v>
      </c>
      <c r="G289" s="23">
        <v>15</v>
      </c>
      <c r="H289" s="28">
        <f t="shared" si="21"/>
        <v>553.53578941690523</v>
      </c>
      <c r="I289" s="29">
        <f t="shared" si="19"/>
        <v>426.62227460223903</v>
      </c>
      <c r="J289" s="29">
        <f t="shared" si="20"/>
        <v>758.58554332245808</v>
      </c>
      <c r="L289" s="33"/>
      <c r="M289" s="33"/>
      <c r="N289" s="33"/>
      <c r="O289" s="33"/>
      <c r="P289" s="33"/>
      <c r="Q289" s="33"/>
      <c r="R289" s="32"/>
      <c r="S289" s="32"/>
    </row>
    <row r="290" spans="1:21" ht="18" customHeight="1">
      <c r="A290" s="9">
        <v>37257</v>
      </c>
      <c r="B290" s="7">
        <v>1.244</v>
      </c>
      <c r="C290" s="30" t="str">
        <f t="shared" si="16"/>
        <v/>
      </c>
      <c r="D290" s="41" t="str">
        <f t="shared" si="18"/>
        <v/>
      </c>
      <c r="E290" s="18">
        <v>748</v>
      </c>
      <c r="F290" s="27">
        <v>92.99</v>
      </c>
      <c r="G290" s="23">
        <v>15</v>
      </c>
      <c r="H290" s="28">
        <f t="shared" si="21"/>
        <v>501.59124008846243</v>
      </c>
      <c r="I290" s="29">
        <f t="shared" si="19"/>
        <v>389.16275780789613</v>
      </c>
      <c r="J290" s="29">
        <f t="shared" si="20"/>
        <v>687.39884694557952</v>
      </c>
      <c r="K290" s="33"/>
      <c r="L290" s="33"/>
      <c r="M290" s="33"/>
      <c r="N290" s="33"/>
      <c r="O290" s="33"/>
      <c r="P290" s="33"/>
      <c r="Q290" s="33"/>
      <c r="R290" s="32"/>
      <c r="S290" s="32"/>
    </row>
    <row r="291" spans="1:21" ht="18" customHeight="1">
      <c r="A291" s="9">
        <v>37226</v>
      </c>
      <c r="B291" s="7">
        <v>1.1539999999999999</v>
      </c>
      <c r="C291" s="30" t="str">
        <f t="shared" si="16"/>
        <v/>
      </c>
      <c r="D291" s="41" t="str">
        <f t="shared" si="18"/>
        <v/>
      </c>
      <c r="E291" s="18">
        <v>694</v>
      </c>
      <c r="F291" s="27">
        <v>86.97</v>
      </c>
      <c r="G291" s="23">
        <v>15</v>
      </c>
      <c r="H291" s="28">
        <f t="shared" si="21"/>
        <v>469.11915421543796</v>
      </c>
      <c r="I291" s="29">
        <f t="shared" si="19"/>
        <v>361.06812021213892</v>
      </c>
      <c r="J291" s="29">
        <f t="shared" si="20"/>
        <v>642.89792148464403</v>
      </c>
      <c r="K291" s="33"/>
      <c r="L291" s="33"/>
      <c r="M291" s="33"/>
      <c r="N291" s="33"/>
      <c r="O291" s="33"/>
      <c r="P291" s="33"/>
      <c r="Q291" s="33"/>
      <c r="R291" s="32"/>
      <c r="S291" s="32"/>
    </row>
    <row r="292" spans="1:21" ht="18" customHeight="1">
      <c r="A292" s="9">
        <v>37196</v>
      </c>
      <c r="B292" s="7">
        <v>1.071</v>
      </c>
      <c r="C292" s="30" t="str">
        <f t="shared" si="16"/>
        <v/>
      </c>
      <c r="D292" s="41" t="str">
        <f t="shared" si="18"/>
        <v/>
      </c>
      <c r="E292" s="18">
        <v>644</v>
      </c>
      <c r="F292" s="27">
        <v>80.03</v>
      </c>
      <c r="G292" s="23">
        <v>15</v>
      </c>
      <c r="H292" s="28">
        <f t="shared" si="21"/>
        <v>431.68455688009089</v>
      </c>
      <c r="I292" s="29">
        <f t="shared" si="19"/>
        <v>335.05456688273409</v>
      </c>
      <c r="J292" s="29">
        <f t="shared" si="20"/>
        <v>591.59619013931319</v>
      </c>
      <c r="K292" s="33"/>
      <c r="L292" s="33"/>
      <c r="M292" s="33"/>
      <c r="N292" s="33"/>
      <c r="O292" s="33"/>
      <c r="P292" s="33"/>
      <c r="Q292" s="33"/>
      <c r="R292" s="32"/>
      <c r="S292" s="32"/>
    </row>
    <row r="293" spans="1:21" ht="18" customHeight="1">
      <c r="A293" s="9">
        <v>37165</v>
      </c>
      <c r="B293" s="7">
        <v>0.89500000000000002</v>
      </c>
      <c r="C293" s="30" t="str">
        <f t="shared" si="16"/>
        <v>Risk</v>
      </c>
      <c r="D293" s="41" t="str">
        <f t="shared" si="18"/>
        <v/>
      </c>
      <c r="E293" s="18">
        <v>538</v>
      </c>
      <c r="F293" s="27">
        <v>66.44</v>
      </c>
      <c r="G293" s="23">
        <v>15</v>
      </c>
      <c r="H293" s="28">
        <f t="shared" si="21"/>
        <v>358.37963212686788</v>
      </c>
      <c r="I293" s="29">
        <f t="shared" si="19"/>
        <v>279.90583382439587</v>
      </c>
      <c r="J293" s="29">
        <f t="shared" si="20"/>
        <v>491.13645973829773</v>
      </c>
      <c r="K293" s="33"/>
      <c r="L293" s="33"/>
      <c r="M293" s="33"/>
      <c r="N293" s="33"/>
      <c r="O293" s="33"/>
      <c r="P293" s="33"/>
      <c r="Q293" s="33"/>
      <c r="R293" s="32"/>
      <c r="S293" s="32"/>
    </row>
    <row r="294" spans="1:21" ht="18" customHeight="1">
      <c r="A294" s="9">
        <v>37135</v>
      </c>
      <c r="B294" s="4">
        <v>0.79800000000000004</v>
      </c>
      <c r="C294" s="30" t="str">
        <f t="shared" si="16"/>
        <v>Risk</v>
      </c>
      <c r="D294" s="41" t="str">
        <f t="shared" si="18"/>
        <v>Risk</v>
      </c>
      <c r="E294" s="17">
        <v>480</v>
      </c>
      <c r="F294" s="27">
        <v>58.91</v>
      </c>
      <c r="G294" s="22">
        <v>35</v>
      </c>
      <c r="H294" s="28">
        <f t="shared" si="21"/>
        <v>317.76255461459641</v>
      </c>
      <c r="I294" s="29">
        <f t="shared" si="19"/>
        <v>249.73011196228629</v>
      </c>
      <c r="J294" s="29">
        <f t="shared" si="20"/>
        <v>435.47334201058277</v>
      </c>
      <c r="K294" s="35">
        <f>1+(($H290/$H294)-1)*2</f>
        <v>2.1570191818027502</v>
      </c>
      <c r="L294" s="35">
        <f>1+(($H289/$H294)-1)*2</f>
        <v>2.4839585808860978</v>
      </c>
      <c r="M294" s="35">
        <f>1+(($H288/$H294)-1)*2</f>
        <v>2.7969784416907153</v>
      </c>
      <c r="N294" s="35">
        <f>1+(($H287/$H294)-1)*2</f>
        <v>2.6119504328636909</v>
      </c>
      <c r="O294" s="35">
        <f>1+(($H286/$H294)-1)*2</f>
        <v>2.4221694109658802</v>
      </c>
      <c r="P294" s="35">
        <f>1+(($H285/$H294)-1)*2</f>
        <v>2.1807842471566801</v>
      </c>
      <c r="Q294" s="33"/>
      <c r="R294" s="33"/>
      <c r="S294" s="32"/>
    </row>
    <row r="295" spans="1:21" ht="18" customHeight="1">
      <c r="A295" s="9">
        <v>37104</v>
      </c>
      <c r="B295" s="4">
        <v>0.90600000000000003</v>
      </c>
      <c r="C295" s="30" t="str">
        <f t="shared" si="16"/>
        <v/>
      </c>
      <c r="D295" s="41" t="str">
        <f t="shared" si="18"/>
        <v/>
      </c>
      <c r="E295" s="17">
        <v>545</v>
      </c>
      <c r="F295" s="27">
        <v>67.42</v>
      </c>
      <c r="G295" s="22">
        <v>35</v>
      </c>
      <c r="H295" s="28">
        <f t="shared" si="21"/>
        <v>363.66578564108119</v>
      </c>
      <c r="I295" s="29">
        <f t="shared" si="19"/>
        <v>283.54773129051256</v>
      </c>
      <c r="J295" s="29">
        <f t="shared" si="20"/>
        <v>498.38079644124082</v>
      </c>
      <c r="P295" s="33"/>
      <c r="Q295" s="33"/>
      <c r="R295" s="33"/>
      <c r="S295" s="32"/>
    </row>
    <row r="296" spans="1:21" ht="18" customHeight="1">
      <c r="A296" s="9">
        <v>37073</v>
      </c>
      <c r="B296" s="4">
        <v>0.90100000000000002</v>
      </c>
      <c r="C296" s="30" t="str">
        <f t="shared" si="16"/>
        <v/>
      </c>
      <c r="D296" s="41" t="str">
        <f t="shared" si="18"/>
        <v/>
      </c>
      <c r="E296" s="17">
        <v>542</v>
      </c>
      <c r="F296" s="27">
        <v>66.98</v>
      </c>
      <c r="G296" s="22">
        <v>35</v>
      </c>
      <c r="H296" s="28">
        <f t="shared" si="21"/>
        <v>361.2924105938834</v>
      </c>
      <c r="I296" s="29">
        <f t="shared" si="19"/>
        <v>281.9869180907483</v>
      </c>
      <c r="J296" s="29">
        <f t="shared" si="20"/>
        <v>495.12823710522559</v>
      </c>
      <c r="O296" s="33"/>
      <c r="P296" s="33"/>
      <c r="Q296" s="33"/>
      <c r="R296" s="32"/>
      <c r="S296" s="32"/>
    </row>
    <row r="297" spans="1:21" ht="18" customHeight="1">
      <c r="A297" s="9">
        <v>37043</v>
      </c>
      <c r="B297" s="4">
        <v>0.98899999999999999</v>
      </c>
      <c r="C297" s="30" t="str">
        <f t="shared" si="16"/>
        <v/>
      </c>
      <c r="D297" s="41" t="str">
        <f t="shared" si="18"/>
        <v/>
      </c>
      <c r="E297" s="17">
        <v>595</v>
      </c>
      <c r="F297" s="27">
        <v>73.2</v>
      </c>
      <c r="G297" s="22">
        <v>25</v>
      </c>
      <c r="H297" s="28">
        <f t="shared" si="21"/>
        <v>394.84330330654319</v>
      </c>
      <c r="I297" s="29">
        <f t="shared" si="19"/>
        <v>309.56128461991739</v>
      </c>
      <c r="J297" s="29">
        <f t="shared" si="20"/>
        <v>541.10759862798614</v>
      </c>
      <c r="N297" s="33"/>
      <c r="O297" s="33"/>
      <c r="P297" s="33"/>
      <c r="Q297" s="33"/>
      <c r="R297" s="32"/>
      <c r="S297" s="32"/>
    </row>
    <row r="298" spans="1:21" ht="18" customHeight="1">
      <c r="A298" s="9">
        <v>37012</v>
      </c>
      <c r="B298" s="5">
        <v>1.018</v>
      </c>
      <c r="C298" s="30" t="str">
        <f t="shared" si="16"/>
        <v/>
      </c>
      <c r="D298" s="41" t="str">
        <f t="shared" si="18"/>
        <v/>
      </c>
      <c r="E298" s="19">
        <v>612</v>
      </c>
      <c r="F298" s="27">
        <v>76.09</v>
      </c>
      <c r="G298" s="24">
        <v>20</v>
      </c>
      <c r="H298" s="28">
        <f t="shared" si="21"/>
        <v>410.43206213927419</v>
      </c>
      <c r="I298" s="29">
        <f t="shared" si="19"/>
        <v>318.40589275191502</v>
      </c>
      <c r="J298" s="29">
        <f t="shared" si="20"/>
        <v>562.47099972135879</v>
      </c>
      <c r="M298" s="33"/>
      <c r="N298" s="33"/>
      <c r="O298" s="33"/>
      <c r="P298" s="33"/>
      <c r="Q298" s="33"/>
      <c r="R298" s="32"/>
      <c r="S298" s="32"/>
    </row>
    <row r="299" spans="1:21" ht="18" customHeight="1">
      <c r="A299" s="9">
        <v>36982</v>
      </c>
      <c r="B299" s="5">
        <v>0.95899999999999996</v>
      </c>
      <c r="C299" s="30" t="str">
        <f t="shared" si="16"/>
        <v/>
      </c>
      <c r="D299" s="41" t="str">
        <f t="shared" si="18"/>
        <v/>
      </c>
      <c r="E299" s="19">
        <v>577</v>
      </c>
      <c r="F299" s="27">
        <v>72.45</v>
      </c>
      <c r="G299" s="24">
        <v>20</v>
      </c>
      <c r="H299" s="28">
        <f t="shared" si="21"/>
        <v>390.79777765791056</v>
      </c>
      <c r="I299" s="29">
        <f t="shared" si="19"/>
        <v>300.19640542133163</v>
      </c>
      <c r="J299" s="29">
        <f t="shared" si="20"/>
        <v>535.56346339614197</v>
      </c>
      <c r="L299" s="33"/>
      <c r="M299" s="33"/>
      <c r="N299" s="33"/>
      <c r="O299" s="33"/>
      <c r="P299" s="33"/>
      <c r="Q299" s="33"/>
      <c r="R299" s="32"/>
      <c r="S299" s="32"/>
    </row>
    <row r="300" spans="1:21" ht="18" customHeight="1">
      <c r="A300" s="9">
        <v>36951</v>
      </c>
      <c r="B300" s="5">
        <v>0.87</v>
      </c>
      <c r="C300" s="30" t="str">
        <f t="shared" si="16"/>
        <v>Risk</v>
      </c>
      <c r="D300" s="41" t="str">
        <f t="shared" si="18"/>
        <v/>
      </c>
      <c r="E300" s="19">
        <v>523</v>
      </c>
      <c r="F300" s="27">
        <v>65.16</v>
      </c>
      <c r="G300" s="24">
        <v>20</v>
      </c>
      <c r="H300" s="28">
        <f t="shared" si="21"/>
        <v>351.4752683532015</v>
      </c>
      <c r="I300" s="29">
        <f t="shared" si="19"/>
        <v>272.10176782557443</v>
      </c>
      <c r="J300" s="29">
        <f t="shared" si="20"/>
        <v>481.67446894261707</v>
      </c>
      <c r="K300" s="33"/>
      <c r="L300" s="33"/>
      <c r="M300" s="33"/>
      <c r="N300" s="33"/>
      <c r="O300" s="33"/>
      <c r="P300" s="33"/>
      <c r="Q300" s="33"/>
      <c r="R300" s="32"/>
      <c r="S300" s="32"/>
    </row>
    <row r="301" spans="1:21" ht="18" customHeight="1">
      <c r="A301" s="9">
        <v>36923</v>
      </c>
      <c r="B301" s="5">
        <v>0.96099999999999997</v>
      </c>
      <c r="C301" s="30" t="str">
        <f t="shared" si="16"/>
        <v/>
      </c>
      <c r="D301" s="41" t="str">
        <f t="shared" si="18"/>
        <v/>
      </c>
      <c r="E301" s="19">
        <v>578</v>
      </c>
      <c r="F301" s="27">
        <v>72.14</v>
      </c>
      <c r="G301" s="24">
        <v>20</v>
      </c>
      <c r="H301" s="28">
        <f t="shared" si="21"/>
        <v>389.12562705647571</v>
      </c>
      <c r="I301" s="29">
        <f t="shared" si="19"/>
        <v>300.7166764879197</v>
      </c>
      <c r="J301" s="29">
        <f t="shared" si="20"/>
        <v>533.27188750031303</v>
      </c>
      <c r="K301" s="33"/>
      <c r="L301" s="33"/>
      <c r="M301" s="33"/>
      <c r="N301" s="33"/>
      <c r="O301" s="33"/>
      <c r="P301" s="33"/>
      <c r="Q301" s="33"/>
      <c r="R301" s="32"/>
      <c r="S301" s="32"/>
    </row>
    <row r="302" spans="1:21" ht="18" customHeight="1">
      <c r="A302" s="9">
        <v>36892</v>
      </c>
      <c r="B302" s="5">
        <v>1.028</v>
      </c>
      <c r="C302" s="30" t="str">
        <f t="shared" si="16"/>
        <v/>
      </c>
      <c r="D302" s="41" t="str">
        <f t="shared" si="18"/>
        <v/>
      </c>
      <c r="E302" s="19">
        <v>618</v>
      </c>
      <c r="F302" s="27">
        <v>77.98</v>
      </c>
      <c r="G302" s="24">
        <v>20</v>
      </c>
      <c r="H302" s="28">
        <f t="shared" si="21"/>
        <v>420.62678677382837</v>
      </c>
      <c r="I302" s="29">
        <f t="shared" si="19"/>
        <v>321.52751915144353</v>
      </c>
      <c r="J302" s="29">
        <f t="shared" si="20"/>
        <v>576.44222050560597</v>
      </c>
      <c r="K302" s="33"/>
      <c r="L302" s="33"/>
      <c r="M302" s="33"/>
      <c r="N302" s="33"/>
      <c r="O302" s="33"/>
      <c r="P302" s="33"/>
      <c r="Q302" s="33"/>
      <c r="R302" s="32"/>
      <c r="S302" s="32"/>
    </row>
    <row r="303" spans="1:21" ht="18" customHeight="1">
      <c r="A303" s="9">
        <v>36861</v>
      </c>
      <c r="B303" s="5">
        <v>0.84</v>
      </c>
      <c r="C303" s="30" t="str">
        <f t="shared" si="16"/>
        <v>Risk</v>
      </c>
      <c r="D303" s="41" t="str">
        <f t="shared" si="18"/>
        <v>Risk</v>
      </c>
      <c r="E303" s="19">
        <v>505</v>
      </c>
      <c r="F303" s="27">
        <v>63.35</v>
      </c>
      <c r="G303" s="24">
        <v>20</v>
      </c>
      <c r="H303" s="28">
        <f t="shared" si="21"/>
        <v>341.7120664545015</v>
      </c>
      <c r="I303" s="29">
        <f t="shared" si="19"/>
        <v>262.73688862698867</v>
      </c>
      <c r="J303" s="29">
        <f t="shared" si="20"/>
        <v>468.29462258309997</v>
      </c>
      <c r="K303" s="33"/>
      <c r="L303" s="33"/>
      <c r="M303" s="33"/>
      <c r="N303" s="33"/>
      <c r="O303" s="33"/>
      <c r="P303" s="33"/>
      <c r="Q303" s="33"/>
      <c r="R303" s="32"/>
      <c r="S303" s="32"/>
    </row>
    <row r="304" spans="1:21" ht="18" customHeight="1">
      <c r="A304" s="9">
        <v>36831</v>
      </c>
      <c r="B304" s="4">
        <v>0.84599999999999997</v>
      </c>
      <c r="C304" s="30" t="str">
        <f t="shared" si="16"/>
        <v>Risk</v>
      </c>
      <c r="D304" s="41" t="str">
        <f t="shared" si="18"/>
        <v>Risk</v>
      </c>
      <c r="E304" s="17">
        <v>509</v>
      </c>
      <c r="F304" s="27">
        <v>63.48</v>
      </c>
      <c r="G304" s="25">
        <v>20</v>
      </c>
      <c r="H304" s="28">
        <f t="shared" si="21"/>
        <v>342.41329090026443</v>
      </c>
      <c r="I304" s="29">
        <f t="shared" si="19"/>
        <v>264.81797289334105</v>
      </c>
      <c r="J304" s="29">
        <f t="shared" si="20"/>
        <v>469.25560602328625</v>
      </c>
      <c r="K304" s="35">
        <f>1+(($H300/$H304)-1)*2</f>
        <v>1.0529300567107751</v>
      </c>
      <c r="L304" s="35">
        <f>1+(($H299/$H304)-1)*2</f>
        <v>1.2826086956521743</v>
      </c>
      <c r="M304" s="35">
        <f>1+(($H298/$H304)-1)*2</f>
        <v>1.3972904851921872</v>
      </c>
      <c r="N304" s="35">
        <f>1+(($H297/$H304)-1)*2</f>
        <v>1.3062381852551992</v>
      </c>
      <c r="O304" s="35">
        <f>1+(($H296/$H304)-1)*2</f>
        <v>1.110270951480782</v>
      </c>
      <c r="P304" s="35">
        <f>1+(($H295/$H304)-1)*2</f>
        <v>1.1241335853812231</v>
      </c>
      <c r="Q304" s="35">
        <f>1+(($H284/$H304)-1)*2</f>
        <v>1.8405797101449282</v>
      </c>
      <c r="R304" s="35">
        <f>1+(($H283/$H304)-1)*2</f>
        <v>1.9158790170132334</v>
      </c>
      <c r="S304" s="35">
        <f>1+(($H282/$H304)-1)*2</f>
        <v>1.5636420919974805</v>
      </c>
      <c r="T304" s="52"/>
      <c r="U304" s="52"/>
    </row>
    <row r="305" spans="1:19" ht="18" customHeight="1">
      <c r="A305" s="9">
        <v>36800</v>
      </c>
      <c r="B305" s="4">
        <v>0.85499999999999998</v>
      </c>
      <c r="C305" s="30" t="str">
        <f t="shared" si="16"/>
        <v>Risk</v>
      </c>
      <c r="D305" s="41" t="str">
        <f t="shared" si="18"/>
        <v/>
      </c>
      <c r="E305" s="17">
        <v>514</v>
      </c>
      <c r="F305" s="27">
        <v>64</v>
      </c>
      <c r="G305" s="25">
        <v>40</v>
      </c>
      <c r="H305" s="28">
        <f t="shared" si="21"/>
        <v>345.21818868331644</v>
      </c>
      <c r="I305" s="29">
        <f t="shared" si="19"/>
        <v>267.41932822628155</v>
      </c>
      <c r="J305" s="29">
        <f t="shared" si="20"/>
        <v>473.09953978403155</v>
      </c>
      <c r="K305" s="34">
        <f>$H304/$H305</f>
        <v>0.99187499999999984</v>
      </c>
      <c r="L305" s="34">
        <f t="shared" ref="L305" si="23">$H304/$H305</f>
        <v>0.99187499999999984</v>
      </c>
      <c r="M305" s="34">
        <f t="shared" ref="M305" si="24">$H304/$H305</f>
        <v>0.99187499999999984</v>
      </c>
      <c r="N305" s="34">
        <f t="shared" ref="N305" si="25">$H304/$H305</f>
        <v>0.99187499999999984</v>
      </c>
      <c r="O305" s="34">
        <f t="shared" ref="O305" si="26">$H304/$H305</f>
        <v>0.99187499999999984</v>
      </c>
      <c r="P305" s="34">
        <f t="shared" ref="P305" si="27">$H304/$H305</f>
        <v>0.99187499999999984</v>
      </c>
      <c r="Q305" s="34">
        <f t="shared" ref="Q305" si="28">$H304/$H305</f>
        <v>0.99187499999999984</v>
      </c>
      <c r="R305" s="34">
        <f t="shared" ref="R305" si="29">$H304/$H305</f>
        <v>0.99187499999999984</v>
      </c>
      <c r="S305" s="34">
        <f t="shared" ref="S305" si="30">$H304/$H305</f>
        <v>0.99187499999999984</v>
      </c>
    </row>
    <row r="306" spans="1:19" ht="18" customHeight="1">
      <c r="A306" s="9">
        <v>36770</v>
      </c>
      <c r="B306" s="4">
        <v>1.0189999999999999</v>
      </c>
      <c r="C306" s="30" t="str">
        <f t="shared" si="16"/>
        <v/>
      </c>
      <c r="D306" s="41" t="str">
        <f t="shared" si="18"/>
        <v/>
      </c>
      <c r="E306" s="17">
        <v>613</v>
      </c>
      <c r="F306" s="27">
        <v>76.37</v>
      </c>
      <c r="G306" s="25">
        <v>40</v>
      </c>
      <c r="H306" s="28">
        <f t="shared" si="21"/>
        <v>411.94239171476374</v>
      </c>
      <c r="I306" s="29">
        <f t="shared" si="19"/>
        <v>318.92616381850308</v>
      </c>
      <c r="J306" s="29">
        <f t="shared" si="20"/>
        <v>564.54081020791398</v>
      </c>
    </row>
    <row r="307" spans="1:19" ht="18" customHeight="1">
      <c r="A307" s="9">
        <v>36739</v>
      </c>
      <c r="B307" s="4">
        <v>1.1459999999999999</v>
      </c>
      <c r="C307" s="30" t="str">
        <f t="shared" si="16"/>
        <v/>
      </c>
      <c r="D307" s="41" t="str">
        <f t="shared" si="18"/>
        <v/>
      </c>
      <c r="E307" s="17">
        <v>689</v>
      </c>
      <c r="F307" s="27">
        <v>86.54</v>
      </c>
      <c r="G307" s="25">
        <v>20</v>
      </c>
      <c r="H307" s="28">
        <f t="shared" si="21"/>
        <v>466.79971951022202</v>
      </c>
      <c r="I307" s="29">
        <f t="shared" si="19"/>
        <v>358.46676487919842</v>
      </c>
      <c r="J307" s="29">
        <f t="shared" si="20"/>
        <v>639.71928395172029</v>
      </c>
    </row>
    <row r="308" spans="1:19" ht="18" customHeight="1">
      <c r="A308" s="9">
        <v>36708</v>
      </c>
      <c r="B308" s="4">
        <v>1.1739999999999999</v>
      </c>
      <c r="C308" s="30" t="str">
        <f t="shared" si="16"/>
        <v/>
      </c>
      <c r="D308" s="41" t="str">
        <f t="shared" si="18"/>
        <v/>
      </c>
      <c r="E308" s="17">
        <v>706</v>
      </c>
      <c r="F308" s="27">
        <v>89.35</v>
      </c>
      <c r="G308" s="25">
        <v>40</v>
      </c>
      <c r="H308" s="28">
        <f t="shared" si="21"/>
        <v>481.95695560709885</v>
      </c>
      <c r="I308" s="29">
        <f t="shared" si="19"/>
        <v>367.31137301119611</v>
      </c>
      <c r="J308" s="29">
        <f t="shared" si="20"/>
        <v>660.49131062036292</v>
      </c>
    </row>
    <row r="309" spans="1:19" ht="18" customHeight="1">
      <c r="A309" s="9">
        <v>36678</v>
      </c>
      <c r="B309" s="4">
        <v>1.365</v>
      </c>
      <c r="C309" s="30" t="str">
        <f t="shared" si="16"/>
        <v/>
      </c>
      <c r="D309" s="41" t="str">
        <f t="shared" si="18"/>
        <v/>
      </c>
      <c r="E309" s="17">
        <v>821</v>
      </c>
      <c r="F309" s="27">
        <v>104.43</v>
      </c>
      <c r="G309" s="25">
        <v>20</v>
      </c>
      <c r="H309" s="28">
        <f t="shared" si="21"/>
        <v>563.29899131560535</v>
      </c>
      <c r="I309" s="29">
        <f t="shared" si="19"/>
        <v>427.14254566882715</v>
      </c>
      <c r="J309" s="29">
        <f t="shared" si="20"/>
        <v>771.96538968197547</v>
      </c>
    </row>
    <row r="310" spans="1:19" ht="18" customHeight="1">
      <c r="A310" s="9">
        <v>36647</v>
      </c>
      <c r="B310" s="4">
        <v>1.2170000000000001</v>
      </c>
      <c r="C310" s="30" t="str">
        <f t="shared" si="16"/>
        <v/>
      </c>
      <c r="D310" s="41" t="str">
        <f t="shared" si="18"/>
        <v/>
      </c>
      <c r="E310" s="17">
        <v>732</v>
      </c>
      <c r="F310" s="27">
        <v>92.74</v>
      </c>
      <c r="G310" s="25">
        <v>30</v>
      </c>
      <c r="H310" s="28">
        <f t="shared" si="21"/>
        <v>500.24273153891829</v>
      </c>
      <c r="I310" s="29">
        <f t="shared" si="19"/>
        <v>380.83842074248656</v>
      </c>
      <c r="J310" s="29">
        <f t="shared" si="20"/>
        <v>685.55080186829844</v>
      </c>
    </row>
    <row r="311" spans="1:19" ht="18" customHeight="1">
      <c r="A311" s="9">
        <v>36617</v>
      </c>
      <c r="B311" s="4">
        <v>1.2050000000000001</v>
      </c>
      <c r="C311" s="30" t="str">
        <f t="shared" si="16"/>
        <v/>
      </c>
      <c r="D311" s="41" t="str">
        <f t="shared" si="18"/>
        <v/>
      </c>
      <c r="E311" s="17">
        <v>725</v>
      </c>
      <c r="F311" s="27">
        <v>91.21</v>
      </c>
      <c r="G311" s="25">
        <v>40</v>
      </c>
      <c r="H311" s="28">
        <f t="shared" si="21"/>
        <v>491.98985921570778</v>
      </c>
      <c r="I311" s="29">
        <f t="shared" si="19"/>
        <v>377.19652327636993</v>
      </c>
      <c r="J311" s="29">
        <f t="shared" si="20"/>
        <v>674.24076599533646</v>
      </c>
    </row>
    <row r="312" spans="1:19" ht="18" customHeight="1">
      <c r="A312" s="9">
        <v>36586</v>
      </c>
      <c r="B312" s="4">
        <v>1.4319999999999999</v>
      </c>
      <c r="C312" s="30" t="str">
        <f t="shared" si="16"/>
        <v/>
      </c>
      <c r="D312" s="41" t="str">
        <f t="shared" si="18"/>
        <v/>
      </c>
      <c r="E312" s="17">
        <v>861</v>
      </c>
      <c r="F312" s="27">
        <v>108.03</v>
      </c>
      <c r="G312" s="25">
        <v>30</v>
      </c>
      <c r="H312" s="28">
        <f t="shared" si="21"/>
        <v>582.7175144290419</v>
      </c>
      <c r="I312" s="29">
        <f t="shared" si="19"/>
        <v>447.95338833235104</v>
      </c>
      <c r="J312" s="29">
        <f t="shared" si="20"/>
        <v>798.57723879482728</v>
      </c>
    </row>
    <row r="313" spans="1:19" ht="18" customHeight="1">
      <c r="A313" s="9">
        <v>36557</v>
      </c>
      <c r="B313" s="4">
        <v>1.377</v>
      </c>
      <c r="C313" s="30" t="str">
        <f t="shared" si="16"/>
        <v/>
      </c>
      <c r="D313" s="41" t="str">
        <f t="shared" si="18"/>
        <v/>
      </c>
      <c r="E313" s="17">
        <v>828</v>
      </c>
      <c r="F313" s="27">
        <v>103.17</v>
      </c>
      <c r="G313" s="25">
        <v>40</v>
      </c>
      <c r="H313" s="28">
        <f t="shared" si="21"/>
        <v>556.50250822590249</v>
      </c>
      <c r="I313" s="29">
        <f t="shared" si="19"/>
        <v>430.78444313494384</v>
      </c>
      <c r="J313" s="29">
        <f t="shared" si="20"/>
        <v>762.65124249247731</v>
      </c>
      <c r="S313" s="32"/>
    </row>
    <row r="314" spans="1:19" ht="18" customHeight="1">
      <c r="A314" s="9">
        <v>36526</v>
      </c>
      <c r="B314" s="4">
        <v>1.57</v>
      </c>
      <c r="C314" s="30" t="str">
        <f t="shared" si="16"/>
        <v/>
      </c>
      <c r="D314" s="41" t="str">
        <f t="shared" si="18"/>
        <v/>
      </c>
      <c r="E314" s="17">
        <v>944</v>
      </c>
      <c r="F314" s="27">
        <v>119.08</v>
      </c>
      <c r="G314" s="25">
        <v>40</v>
      </c>
      <c r="H314" s="28">
        <f t="shared" si="21"/>
        <v>642.32159231889568</v>
      </c>
      <c r="I314" s="29">
        <f t="shared" si="19"/>
        <v>491.13588685916301</v>
      </c>
      <c r="J314" s="29">
        <f t="shared" si="20"/>
        <v>880.26083121066392</v>
      </c>
      <c r="R314" s="33"/>
      <c r="S314" s="32"/>
    </row>
    <row r="315" spans="1:19" ht="18" customHeight="1">
      <c r="A315" s="9">
        <v>36495</v>
      </c>
      <c r="B315" s="8">
        <v>1.7090000000000001</v>
      </c>
      <c r="C315" s="30" t="str">
        <f t="shared" si="16"/>
        <v/>
      </c>
      <c r="D315" s="41" t="str">
        <f t="shared" si="18"/>
        <v/>
      </c>
      <c r="E315" s="20">
        <v>1028</v>
      </c>
      <c r="F315" s="27">
        <v>130.02000000000001</v>
      </c>
      <c r="G315" s="26">
        <v>20</v>
      </c>
      <c r="H315" s="28">
        <f t="shared" si="21"/>
        <v>701.33232644695011</v>
      </c>
      <c r="I315" s="29">
        <f t="shared" si="19"/>
        <v>534.8386564525631</v>
      </c>
      <c r="J315" s="29">
        <f t="shared" si="20"/>
        <v>961.1312837924969</v>
      </c>
      <c r="Q315" s="33"/>
      <c r="R315" s="33"/>
      <c r="S315" s="32"/>
    </row>
    <row r="316" spans="1:19" ht="18" customHeight="1">
      <c r="A316" s="9">
        <v>36465</v>
      </c>
      <c r="B316" s="8">
        <v>1.6579999999999999</v>
      </c>
      <c r="C316" s="30" t="str">
        <f t="shared" si="16"/>
        <v/>
      </c>
      <c r="D316" s="41" t="str">
        <f t="shared" si="18"/>
        <v/>
      </c>
      <c r="E316" s="20">
        <v>997</v>
      </c>
      <c r="F316" s="27">
        <v>123.59</v>
      </c>
      <c r="G316" s="26">
        <v>20</v>
      </c>
      <c r="H316" s="28">
        <f t="shared" si="21"/>
        <v>666.6486865526731</v>
      </c>
      <c r="I316" s="29">
        <f t="shared" si="19"/>
        <v>518.71025338833215</v>
      </c>
      <c r="J316" s="29">
        <f t="shared" si="20"/>
        <v>913.59956440481994</v>
      </c>
      <c r="P316" s="33"/>
      <c r="Q316" s="33"/>
      <c r="R316" s="33"/>
      <c r="S316" s="32"/>
    </row>
    <row r="317" spans="1:19" ht="18" customHeight="1">
      <c r="A317" s="9">
        <v>36434</v>
      </c>
      <c r="B317" s="8">
        <v>1.387</v>
      </c>
      <c r="C317" s="30" t="str">
        <f t="shared" si="16"/>
        <v/>
      </c>
      <c r="D317" s="41" t="str">
        <f t="shared" si="18"/>
        <v/>
      </c>
      <c r="E317" s="20">
        <v>834</v>
      </c>
      <c r="F317" s="27">
        <v>100.19</v>
      </c>
      <c r="G317" s="26">
        <v>20</v>
      </c>
      <c r="H317" s="28">
        <f t="shared" si="21"/>
        <v>540.42828631533553</v>
      </c>
      <c r="I317" s="29">
        <f t="shared" si="19"/>
        <v>433.90606953447241</v>
      </c>
      <c r="J317" s="29">
        <f t="shared" si="20"/>
        <v>740.62254517128326</v>
      </c>
      <c r="O317" s="33"/>
      <c r="P317" s="33"/>
      <c r="Q317" s="33"/>
      <c r="R317" s="33"/>
      <c r="S317" s="32"/>
    </row>
    <row r="318" spans="1:19" ht="18" customHeight="1">
      <c r="A318" s="9">
        <v>36404</v>
      </c>
      <c r="B318" s="8">
        <v>1.39</v>
      </c>
      <c r="C318" s="30" t="str">
        <f t="shared" si="16"/>
        <v/>
      </c>
      <c r="D318" s="41" t="str">
        <f t="shared" si="18"/>
        <v/>
      </c>
      <c r="E318" s="20">
        <v>836</v>
      </c>
      <c r="F318" s="27">
        <v>100.71</v>
      </c>
      <c r="G318" s="26">
        <v>20</v>
      </c>
      <c r="H318" s="28">
        <f t="shared" si="21"/>
        <v>543.23318409838748</v>
      </c>
      <c r="I318" s="29">
        <f t="shared" si="19"/>
        <v>434.9466116676486</v>
      </c>
      <c r="J318" s="29">
        <f t="shared" si="20"/>
        <v>744.46647893202851</v>
      </c>
      <c r="N318" s="33"/>
      <c r="O318" s="32"/>
      <c r="P318" s="32"/>
      <c r="Q318" s="32"/>
      <c r="R318" s="32"/>
      <c r="S318" s="32"/>
    </row>
    <row r="319" spans="1:19" ht="18" customHeight="1">
      <c r="A319" s="9">
        <v>36373</v>
      </c>
      <c r="B319" s="8">
        <v>1.56</v>
      </c>
      <c r="C319" s="30" t="str">
        <f t="shared" si="16"/>
        <v/>
      </c>
      <c r="D319" s="41" t="str">
        <f t="shared" si="18"/>
        <v/>
      </c>
      <c r="E319" s="20">
        <v>938</v>
      </c>
      <c r="F319" s="27">
        <v>112.79</v>
      </c>
      <c r="G319" s="26">
        <v>20</v>
      </c>
      <c r="H319" s="28">
        <f t="shared" si="21"/>
        <v>608.39311721236356</v>
      </c>
      <c r="I319" s="29">
        <f t="shared" si="19"/>
        <v>488.01426045963439</v>
      </c>
      <c r="J319" s="29">
        <f t="shared" si="20"/>
        <v>833.76401706626461</v>
      </c>
      <c r="M319" s="33"/>
      <c r="N319" s="33"/>
      <c r="O319" s="32"/>
      <c r="P319" s="32"/>
      <c r="Q319" s="32"/>
      <c r="R319" s="32"/>
      <c r="S319" s="32"/>
    </row>
    <row r="320" spans="1:19" ht="18" customHeight="1">
      <c r="A320" s="9">
        <v>36342</v>
      </c>
      <c r="B320" s="8">
        <v>1.613</v>
      </c>
      <c r="C320" s="30" t="str">
        <f t="shared" si="16"/>
        <v/>
      </c>
      <c r="D320" s="41" t="str">
        <f t="shared" si="18"/>
        <v/>
      </c>
      <c r="E320" s="20">
        <v>970</v>
      </c>
      <c r="F320" s="27">
        <v>116.14</v>
      </c>
      <c r="G320" s="26">
        <v>20</v>
      </c>
      <c r="H320" s="28">
        <f t="shared" si="21"/>
        <v>626.46313177625586</v>
      </c>
      <c r="I320" s="29">
        <f t="shared" si="19"/>
        <v>504.66293459045346</v>
      </c>
      <c r="J320" s="29">
        <f t="shared" si="20"/>
        <v>858.52782110183489</v>
      </c>
      <c r="L320" s="33"/>
      <c r="M320" s="33"/>
      <c r="N320" s="33"/>
      <c r="O320" s="32"/>
      <c r="P320" s="32"/>
      <c r="Q320" s="32"/>
      <c r="R320" s="32"/>
      <c r="S320" s="32"/>
    </row>
    <row r="321" spans="1:19" ht="18" customHeight="1">
      <c r="A321" s="9">
        <v>36312</v>
      </c>
      <c r="B321" s="8">
        <v>1.468</v>
      </c>
      <c r="C321" s="30" t="str">
        <f t="shared" si="16"/>
        <v/>
      </c>
      <c r="D321" s="41" t="str">
        <f t="shared" si="18"/>
        <v/>
      </c>
      <c r="E321" s="20">
        <v>883</v>
      </c>
      <c r="F321" s="27">
        <v>105.47</v>
      </c>
      <c r="G321" s="26">
        <v>20</v>
      </c>
      <c r="H321" s="28">
        <f t="shared" si="21"/>
        <v>568.90878688170926</v>
      </c>
      <c r="I321" s="29">
        <f t="shared" si="19"/>
        <v>459.39935179728906</v>
      </c>
      <c r="J321" s="29">
        <f t="shared" si="20"/>
        <v>779.65325720346596</v>
      </c>
      <c r="K321" s="33"/>
      <c r="L321" s="33"/>
      <c r="M321" s="33"/>
      <c r="N321" s="33"/>
      <c r="O321" s="32"/>
      <c r="P321" s="32"/>
      <c r="Q321" s="32"/>
      <c r="R321" s="32"/>
      <c r="S321" s="32"/>
    </row>
    <row r="322" spans="1:19" ht="18" customHeight="1">
      <c r="A322" s="9">
        <v>36281</v>
      </c>
      <c r="B322" s="8">
        <v>1.224</v>
      </c>
      <c r="C322" s="30" t="str">
        <f t="shared" si="16"/>
        <v/>
      </c>
      <c r="D322" s="41" t="str">
        <f t="shared" si="18"/>
        <v/>
      </c>
      <c r="E322" s="20">
        <v>736</v>
      </c>
      <c r="F322" s="27">
        <v>85.68</v>
      </c>
      <c r="G322" s="26">
        <v>20</v>
      </c>
      <c r="H322" s="28">
        <f t="shared" si="21"/>
        <v>462.16085009979003</v>
      </c>
      <c r="I322" s="29">
        <f t="shared" si="19"/>
        <v>382.91950500883888</v>
      </c>
      <c r="J322" s="29">
        <f t="shared" si="20"/>
        <v>633.36200888587246</v>
      </c>
      <c r="K322" s="33"/>
      <c r="L322" s="33"/>
      <c r="M322" s="33"/>
      <c r="N322" s="33"/>
      <c r="O322" s="32"/>
      <c r="P322" s="32"/>
      <c r="Q322" s="32"/>
      <c r="R322" s="32"/>
      <c r="S322" s="32"/>
    </row>
    <row r="323" spans="1:19" ht="18" customHeight="1">
      <c r="A323" s="9">
        <v>36251</v>
      </c>
      <c r="B323" s="8">
        <v>1.252</v>
      </c>
      <c r="C323" s="30" t="str">
        <f t="shared" si="16"/>
        <v/>
      </c>
      <c r="D323" s="41" t="str">
        <f t="shared" si="18"/>
        <v/>
      </c>
      <c r="E323" s="20">
        <v>753</v>
      </c>
      <c r="F323" s="27">
        <v>87.15</v>
      </c>
      <c r="G323" s="26">
        <v>20</v>
      </c>
      <c r="H323" s="28">
        <f t="shared" si="21"/>
        <v>470.09008037110993</v>
      </c>
      <c r="I323" s="29">
        <f t="shared" si="19"/>
        <v>391.76411314083651</v>
      </c>
      <c r="J323" s="29">
        <f t="shared" si="20"/>
        <v>644.22851394028692</v>
      </c>
      <c r="K323" s="33"/>
      <c r="L323" s="33"/>
      <c r="M323" s="33"/>
      <c r="N323" s="33"/>
      <c r="O323" s="32"/>
      <c r="P323" s="32"/>
      <c r="Q323" s="32"/>
      <c r="R323" s="32"/>
      <c r="S323" s="32"/>
    </row>
    <row r="324" spans="1:19" ht="18" customHeight="1">
      <c r="A324" s="9">
        <v>36220</v>
      </c>
      <c r="B324" s="8">
        <v>1.0289999999999999</v>
      </c>
      <c r="C324" s="30" t="str">
        <f t="shared" ref="C324:C326" si="31">IF(B324&lt;=C$1, "Risk", "")</f>
        <v/>
      </c>
      <c r="D324" s="41" t="str">
        <f t="shared" si="18"/>
        <v/>
      </c>
      <c r="E324" s="20">
        <v>619</v>
      </c>
      <c r="F324" s="27">
        <v>71.84</v>
      </c>
      <c r="G324" s="26">
        <v>20</v>
      </c>
      <c r="H324" s="28">
        <f t="shared" si="21"/>
        <v>387.50741679702281</v>
      </c>
      <c r="I324" s="29">
        <f t="shared" si="19"/>
        <v>322.04779021803165</v>
      </c>
      <c r="J324" s="29">
        <f t="shared" si="20"/>
        <v>531.05423340757557</v>
      </c>
      <c r="K324" s="33"/>
      <c r="L324" s="33"/>
      <c r="M324" s="33"/>
      <c r="N324" s="33"/>
      <c r="O324" s="32"/>
      <c r="P324" s="32"/>
      <c r="Q324" s="32"/>
      <c r="R324" s="32"/>
      <c r="S324" s="32"/>
    </row>
    <row r="325" spans="1:19" ht="18" customHeight="1">
      <c r="A325" s="9">
        <v>36192</v>
      </c>
      <c r="B325" s="8">
        <v>0.86499999999999999</v>
      </c>
      <c r="C325" s="30" t="str">
        <f t="shared" si="31"/>
        <v>Risk</v>
      </c>
      <c r="D325" s="41" t="str">
        <f t="shared" ref="D325:D326" si="32">IF(B325&lt;=D$1, "Risk", "")</f>
        <v/>
      </c>
      <c r="E325" s="20">
        <v>520</v>
      </c>
      <c r="F325" s="27">
        <v>60.28</v>
      </c>
      <c r="G325" s="26">
        <v>20</v>
      </c>
      <c r="H325" s="28">
        <f t="shared" si="21"/>
        <v>325.15238146609875</v>
      </c>
      <c r="I325" s="29">
        <f t="shared" si="19"/>
        <v>270.54095462581012</v>
      </c>
      <c r="J325" s="29">
        <f t="shared" si="20"/>
        <v>445.60062903408482</v>
      </c>
      <c r="K325" s="34">
        <f>$H321/$H325</f>
        <v>1.7496682149966822</v>
      </c>
      <c r="L325" s="34">
        <f>$H320/$H325</f>
        <v>1.9266755142667549</v>
      </c>
      <c r="M325" s="34">
        <f>$H319/$H325</f>
        <v>1.8711015262110151</v>
      </c>
      <c r="N325" s="34">
        <f>$H318/$H325</f>
        <v>1.6707033842070336</v>
      </c>
      <c r="O325" s="34">
        <f>$H317/$H325</f>
        <v>1.6620769741207693</v>
      </c>
      <c r="P325" s="34">
        <f>$H316/$H325</f>
        <v>2.0502654280026538</v>
      </c>
      <c r="Q325" s="34">
        <f>$H315/$H325</f>
        <v>2.1569343065693429</v>
      </c>
      <c r="R325" s="34">
        <f>$H314/$H325</f>
        <v>1.9754479097544788</v>
      </c>
      <c r="S325" s="34">
        <f>$H313/$H325</f>
        <v>1.7115129396151292</v>
      </c>
    </row>
    <row r="326" spans="1:19" ht="18" customHeight="1">
      <c r="A326" s="9">
        <v>36161</v>
      </c>
      <c r="B326" s="8">
        <v>0.94899999999999995</v>
      </c>
      <c r="C326" s="30" t="str">
        <f t="shared" si="31"/>
        <v/>
      </c>
      <c r="D326" s="41" t="str">
        <f t="shared" si="32"/>
        <v/>
      </c>
      <c r="E326" s="20">
        <v>571</v>
      </c>
      <c r="F326" s="27">
        <v>65.72</v>
      </c>
      <c r="G326" s="26">
        <v>20</v>
      </c>
      <c r="H326" s="28">
        <f t="shared" si="21"/>
        <v>354.4959275041806</v>
      </c>
      <c r="I326" s="29">
        <f t="shared" si="19"/>
        <v>297.07477902180307</v>
      </c>
      <c r="J326" s="29">
        <f t="shared" si="20"/>
        <v>485.81408991572744</v>
      </c>
    </row>
  </sheetData>
  <phoneticPr fontId="1" type="noConversion"/>
  <conditionalFormatting sqref="C1:D1048576">
    <cfRule type="containsText" dxfId="62" priority="1" operator="containsText" text="Risk">
      <formula>NOT(ISERROR(SEARCH("Risk",C1)))</formula>
    </cfRule>
  </conditionalFormatting>
  <conditionalFormatting sqref="K4:S325">
    <cfRule type="cellIs" dxfId="61" priority="2" operator="lessThan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4349-E496-4331-A8A8-61AE99C1A6C8}">
  <sheetPr>
    <tabColor rgb="FF92D050"/>
  </sheetPr>
  <dimension ref="A1:V326"/>
  <sheetViews>
    <sheetView tabSelected="1" zoomScale="85" zoomScaleNormal="85" workbookViewId="0">
      <pane ySplit="1" topLeftCell="A2" activePane="bottomLeft" state="frozen"/>
      <selection pane="bottomLeft" activeCell="R1" sqref="R1"/>
    </sheetView>
  </sheetViews>
  <sheetFormatPr defaultColWidth="21" defaultRowHeight="16.5"/>
  <cols>
    <col min="1" max="1" width="11.625" style="2" customWidth="1"/>
    <col min="2" max="2" width="10.875" style="6" customWidth="1"/>
    <col min="3" max="5" width="7.75" style="31" customWidth="1"/>
    <col min="6" max="6" width="8.875" style="6" customWidth="1"/>
    <col min="7" max="7" width="11.625" style="6" hidden="1" customWidth="1"/>
    <col min="8" max="9" width="11.625" style="6" customWidth="1"/>
    <col min="10" max="11" width="11.625" style="2" hidden="1" customWidth="1"/>
    <col min="12" max="20" width="8.75" style="2" customWidth="1"/>
    <col min="21" max="16384" width="21" style="2"/>
  </cols>
  <sheetData>
    <row r="1" spans="1:22" ht="18" customHeight="1">
      <c r="A1" s="10" t="s">
        <v>3</v>
      </c>
      <c r="B1" s="45" t="s">
        <v>2</v>
      </c>
      <c r="C1" s="46">
        <v>0.9</v>
      </c>
      <c r="D1" s="46">
        <v>0.85</v>
      </c>
      <c r="E1" s="46">
        <v>0.8</v>
      </c>
      <c r="F1" s="47" t="s">
        <v>0</v>
      </c>
      <c r="G1" s="47" t="s">
        <v>1</v>
      </c>
      <c r="H1" s="47" t="s">
        <v>4</v>
      </c>
      <c r="I1" s="48" t="s">
        <v>5</v>
      </c>
      <c r="J1" s="49" t="s">
        <v>6</v>
      </c>
      <c r="K1" s="49" t="s">
        <v>7</v>
      </c>
      <c r="L1" s="49" t="s">
        <v>9</v>
      </c>
      <c r="M1" s="49" t="s">
        <v>10</v>
      </c>
      <c r="N1" s="49" t="s">
        <v>8</v>
      </c>
      <c r="O1" s="49" t="s">
        <v>11</v>
      </c>
      <c r="P1" s="49" t="s">
        <v>12</v>
      </c>
      <c r="Q1" s="79" t="s">
        <v>13</v>
      </c>
      <c r="R1" s="85" t="s">
        <v>14</v>
      </c>
      <c r="S1" s="82" t="s">
        <v>15</v>
      </c>
      <c r="T1" s="49" t="s">
        <v>16</v>
      </c>
      <c r="U1" s="53" t="s">
        <v>17</v>
      </c>
    </row>
    <row r="2" spans="1:22" ht="18" customHeight="1">
      <c r="A2" s="10"/>
      <c r="B2" s="45"/>
      <c r="C2" s="46" t="s">
        <v>21</v>
      </c>
      <c r="D2" s="46" t="s">
        <v>20</v>
      </c>
      <c r="E2" s="46" t="s">
        <v>19</v>
      </c>
      <c r="F2" s="47"/>
      <c r="G2" s="47"/>
      <c r="H2" s="47"/>
      <c r="I2" s="48"/>
      <c r="J2" s="49"/>
      <c r="K2" s="49"/>
      <c r="L2" s="50">
        <f>PRODUCT(L4:L326)</f>
        <v>48.290128442549637</v>
      </c>
      <c r="M2" s="50">
        <f t="shared" ref="M2:T2" si="0">PRODUCT(M4:M326)</f>
        <v>82.048951752750668</v>
      </c>
      <c r="N2" s="50">
        <f t="shared" si="0"/>
        <v>155.04164058426153</v>
      </c>
      <c r="O2" s="50">
        <f t="shared" si="0"/>
        <v>90.34018330169738</v>
      </c>
      <c r="P2" s="50">
        <f t="shared" si="0"/>
        <v>125.14158181541953</v>
      </c>
      <c r="Q2" s="80">
        <f t="shared" si="0"/>
        <v>220.75410958717143</v>
      </c>
      <c r="R2" s="86">
        <f t="shared" si="0"/>
        <v>553.87027058770263</v>
      </c>
      <c r="S2" s="83">
        <f t="shared" si="0"/>
        <v>410.808259996451</v>
      </c>
      <c r="T2" s="50">
        <f t="shared" si="0"/>
        <v>227.8468799255736</v>
      </c>
      <c r="U2" s="78">
        <f>R2^(1/27)-1</f>
        <v>0.26359443840202301</v>
      </c>
      <c r="V2" s="2" t="s">
        <v>25</v>
      </c>
    </row>
    <row r="3" spans="1:22" ht="18" customHeight="1" thickBot="1">
      <c r="A3" s="10"/>
      <c r="B3" s="62"/>
      <c r="C3" s="63"/>
      <c r="D3" s="63"/>
      <c r="E3" s="63"/>
      <c r="F3" s="64"/>
      <c r="G3" s="64"/>
      <c r="H3" s="64"/>
      <c r="I3" s="65"/>
      <c r="J3" s="66"/>
      <c r="K3" s="66"/>
      <c r="L3" s="67">
        <f>COUNTIF(L4:L326, "&lt;1")</f>
        <v>4</v>
      </c>
      <c r="M3" s="67">
        <f t="shared" ref="M3:T3" si="1">COUNTIF(M4:M326, "&lt;1")</f>
        <v>4</v>
      </c>
      <c r="N3" s="67">
        <f t="shared" si="1"/>
        <v>4</v>
      </c>
      <c r="O3" s="67">
        <f t="shared" si="1"/>
        <v>5</v>
      </c>
      <c r="P3" s="67">
        <f t="shared" si="1"/>
        <v>5</v>
      </c>
      <c r="Q3" s="81">
        <f t="shared" si="1"/>
        <v>5</v>
      </c>
      <c r="R3" s="87">
        <f t="shared" si="1"/>
        <v>5</v>
      </c>
      <c r="S3" s="84">
        <f t="shared" si="1"/>
        <v>5</v>
      </c>
      <c r="T3" s="67">
        <f t="shared" si="1"/>
        <v>4</v>
      </c>
      <c r="U3" s="1" t="s">
        <v>18</v>
      </c>
    </row>
    <row r="4" spans="1:22" ht="18" customHeight="1">
      <c r="A4" s="9">
        <v>45962</v>
      </c>
      <c r="B4" s="40">
        <v>1.29</v>
      </c>
      <c r="C4" s="41" t="str">
        <f t="shared" ref="C4:C67" si="2">IF(B4&lt;=C$1, "Risk", "")</f>
        <v/>
      </c>
      <c r="D4" s="41" t="str">
        <f>IF(B4&lt;=D$1, "Risk", "")</f>
        <v/>
      </c>
      <c r="E4" s="41" t="str">
        <f>IF(B4&lt;=E$1, "Risk", "")</f>
        <v/>
      </c>
      <c r="F4" s="42">
        <v>3853.26</v>
      </c>
      <c r="G4" s="42">
        <v>540.36</v>
      </c>
      <c r="H4" s="42">
        <v>41.88</v>
      </c>
      <c r="I4" s="42">
        <v>2666.12</v>
      </c>
      <c r="J4" s="43">
        <v>863.95</v>
      </c>
      <c r="K4" s="43">
        <v>1517.92</v>
      </c>
      <c r="S4" s="33"/>
      <c r="T4" s="32"/>
    </row>
    <row r="5" spans="1:22" ht="18" customHeight="1">
      <c r="A5" s="9">
        <v>45931</v>
      </c>
      <c r="B5" s="10">
        <v>1.38</v>
      </c>
      <c r="C5" s="30" t="str">
        <f t="shared" si="2"/>
        <v/>
      </c>
      <c r="D5" s="41" t="str">
        <f t="shared" ref="D5:D68" si="3">IF(B5&lt;=D$1, "Risk", "")</f>
        <v/>
      </c>
      <c r="E5" s="41" t="str">
        <f t="shared" ref="E5:E68" si="4">IF(B5&lt;=E$1, "Risk", "")</f>
        <v/>
      </c>
      <c r="F5" s="16">
        <v>4107.5</v>
      </c>
      <c r="G5" s="16">
        <v>579.46</v>
      </c>
      <c r="H5" s="16">
        <v>30.4</v>
      </c>
      <c r="I5" s="16">
        <v>2862.4</v>
      </c>
      <c r="J5" s="14">
        <v>900.42</v>
      </c>
      <c r="K5" s="14">
        <v>1549.34</v>
      </c>
      <c r="R5" s="33"/>
      <c r="S5" s="33"/>
      <c r="T5" s="32"/>
    </row>
    <row r="6" spans="1:22" ht="18" customHeight="1">
      <c r="A6" s="9">
        <v>45901</v>
      </c>
      <c r="B6" s="3">
        <v>1.146595</v>
      </c>
      <c r="C6" s="30" t="str">
        <f t="shared" si="2"/>
        <v/>
      </c>
      <c r="D6" s="41" t="str">
        <f t="shared" si="3"/>
        <v/>
      </c>
      <c r="E6" s="41" t="str">
        <f t="shared" si="4"/>
        <v/>
      </c>
      <c r="F6" s="16">
        <v>3424.6</v>
      </c>
      <c r="G6" s="16">
        <v>474.03</v>
      </c>
      <c r="H6" s="16">
        <v>20.62</v>
      </c>
      <c r="I6" s="16">
        <v>2343.75</v>
      </c>
      <c r="J6" s="14">
        <v>841.99</v>
      </c>
      <c r="K6" s="14">
        <v>1407.18</v>
      </c>
      <c r="Q6" s="33"/>
      <c r="R6" s="33"/>
      <c r="S6" s="32"/>
      <c r="T6" s="32"/>
    </row>
    <row r="7" spans="1:22" ht="18" customHeight="1">
      <c r="A7" s="9">
        <v>45870</v>
      </c>
      <c r="B7" s="3">
        <v>1.072565</v>
      </c>
      <c r="C7" s="30" t="str">
        <f t="shared" si="2"/>
        <v/>
      </c>
      <c r="D7" s="41" t="str">
        <f t="shared" si="3"/>
        <v/>
      </c>
      <c r="E7" s="41" t="str">
        <f t="shared" si="4"/>
        <v/>
      </c>
      <c r="F7" s="16">
        <v>3186.01</v>
      </c>
      <c r="G7" s="16">
        <v>430.12</v>
      </c>
      <c r="H7" s="16">
        <v>19.52</v>
      </c>
      <c r="I7" s="16">
        <v>2127.69</v>
      </c>
      <c r="J7" s="14">
        <v>796.91</v>
      </c>
      <c r="K7" s="14">
        <v>1336.98</v>
      </c>
      <c r="P7" s="33"/>
      <c r="Q7" s="33"/>
      <c r="R7" s="33"/>
      <c r="S7" s="32"/>
      <c r="T7" s="32"/>
    </row>
    <row r="8" spans="1:22" ht="18" customHeight="1">
      <c r="A8" s="9">
        <v>45839</v>
      </c>
      <c r="B8" s="3">
        <v>1.091499</v>
      </c>
      <c r="C8" s="30" t="str">
        <f t="shared" si="2"/>
        <v/>
      </c>
      <c r="D8" s="41" t="str">
        <f t="shared" si="3"/>
        <v/>
      </c>
      <c r="E8" s="41" t="str">
        <f t="shared" si="4"/>
        <v/>
      </c>
      <c r="F8" s="16">
        <v>3245.44</v>
      </c>
      <c r="G8" s="16">
        <v>438.6</v>
      </c>
      <c r="H8" s="16">
        <v>21.85</v>
      </c>
      <c r="I8" s="16">
        <v>2163.7600000000002</v>
      </c>
      <c r="J8" s="14">
        <v>805.24</v>
      </c>
      <c r="K8" s="14">
        <v>1352.23</v>
      </c>
      <c r="O8" s="33"/>
      <c r="P8" s="33"/>
      <c r="Q8" s="33"/>
      <c r="R8" s="33"/>
      <c r="S8" s="32"/>
      <c r="T8" s="32"/>
    </row>
    <row r="9" spans="1:22" ht="18" customHeight="1">
      <c r="A9" s="9">
        <v>45809</v>
      </c>
      <c r="B9" s="11">
        <v>1.032691</v>
      </c>
      <c r="C9" s="30" t="str">
        <f t="shared" si="2"/>
        <v/>
      </c>
      <c r="D9" s="41" t="str">
        <f t="shared" si="3"/>
        <v/>
      </c>
      <c r="E9" s="41" t="str">
        <f t="shared" si="4"/>
        <v/>
      </c>
      <c r="F9" s="16">
        <v>3071.7</v>
      </c>
      <c r="G9" s="16">
        <v>414.6</v>
      </c>
      <c r="H9" s="16">
        <v>23.99</v>
      </c>
      <c r="I9" s="16">
        <v>2056.29</v>
      </c>
      <c r="J9" s="13">
        <v>781.5</v>
      </c>
      <c r="K9" s="14">
        <v>1267.1300000000001</v>
      </c>
      <c r="N9" s="33"/>
      <c r="O9" s="33"/>
      <c r="P9" s="33"/>
      <c r="Q9" s="33"/>
      <c r="R9" s="33"/>
      <c r="S9" s="32"/>
      <c r="T9" s="32"/>
    </row>
    <row r="10" spans="1:22" ht="18" customHeight="1">
      <c r="A10" s="9">
        <v>45778</v>
      </c>
      <c r="B10" s="11">
        <v>0.91562399999999999</v>
      </c>
      <c r="C10" s="30" t="str">
        <f t="shared" si="2"/>
        <v/>
      </c>
      <c r="D10" s="41" t="str">
        <f t="shared" si="3"/>
        <v/>
      </c>
      <c r="E10" s="41" t="str">
        <f t="shared" si="4"/>
        <v/>
      </c>
      <c r="F10" s="16">
        <v>2697.67</v>
      </c>
      <c r="G10" s="16">
        <v>359.62</v>
      </c>
      <c r="H10" s="16">
        <v>22.55</v>
      </c>
      <c r="I10" s="16">
        <v>1782.88</v>
      </c>
      <c r="J10" s="14">
        <v>734.35</v>
      </c>
      <c r="K10" s="14">
        <v>1194.26</v>
      </c>
      <c r="M10" s="33"/>
      <c r="N10" s="33"/>
      <c r="O10" s="33"/>
      <c r="P10" s="33"/>
      <c r="Q10" s="33"/>
      <c r="R10" s="33"/>
      <c r="S10" s="32"/>
      <c r="T10" s="32"/>
    </row>
    <row r="11" spans="1:22" ht="18" customHeight="1">
      <c r="A11" s="9">
        <v>45748</v>
      </c>
      <c r="B11" s="11">
        <v>0.89342200000000005</v>
      </c>
      <c r="C11" s="30" t="str">
        <f t="shared" si="2"/>
        <v>Risk</v>
      </c>
      <c r="D11" s="41" t="str">
        <f t="shared" si="3"/>
        <v/>
      </c>
      <c r="E11" s="41" t="str">
        <f t="shared" si="4"/>
        <v/>
      </c>
      <c r="F11" s="16">
        <v>2556.61</v>
      </c>
      <c r="G11" s="16">
        <v>338.74</v>
      </c>
      <c r="H11" s="16">
        <v>20.74</v>
      </c>
      <c r="I11" s="16">
        <v>1677.67</v>
      </c>
      <c r="J11" s="14">
        <v>717.24</v>
      </c>
      <c r="K11" s="14">
        <v>1169.69</v>
      </c>
      <c r="L11" s="33"/>
      <c r="M11" s="33"/>
      <c r="N11" s="33"/>
      <c r="O11" s="33"/>
      <c r="P11" s="33"/>
      <c r="Q11" s="33"/>
      <c r="R11" s="33"/>
      <c r="S11" s="32"/>
      <c r="T11" s="32"/>
    </row>
    <row r="12" spans="1:22" ht="18" customHeight="1">
      <c r="A12" s="9">
        <v>45717</v>
      </c>
      <c r="B12" s="11">
        <v>0.86726999999999999</v>
      </c>
      <c r="C12" s="30" t="str">
        <f t="shared" si="2"/>
        <v>Risk</v>
      </c>
      <c r="D12" s="41" t="str">
        <f t="shared" si="3"/>
        <v/>
      </c>
      <c r="E12" s="41" t="str">
        <f t="shared" si="4"/>
        <v/>
      </c>
      <c r="F12" s="16">
        <v>2481.12</v>
      </c>
      <c r="G12" s="16">
        <v>332.4</v>
      </c>
      <c r="H12" s="16">
        <v>25.35</v>
      </c>
      <c r="I12" s="16">
        <v>1652.67</v>
      </c>
      <c r="J12" s="14">
        <v>672.85</v>
      </c>
      <c r="K12" s="14">
        <v>1112.8900000000001</v>
      </c>
      <c r="L12" s="33"/>
      <c r="M12" s="33"/>
      <c r="N12" s="33"/>
      <c r="O12" s="33"/>
      <c r="P12" s="33"/>
      <c r="Q12" s="33"/>
      <c r="R12" s="33"/>
      <c r="S12" s="32"/>
      <c r="T12" s="32"/>
    </row>
    <row r="13" spans="1:22" ht="18" customHeight="1">
      <c r="A13" s="9">
        <v>45689</v>
      </c>
      <c r="B13" s="11">
        <v>0.88822400000000001</v>
      </c>
      <c r="C13" s="30" t="str">
        <f t="shared" si="2"/>
        <v>Risk</v>
      </c>
      <c r="D13" s="41" t="str">
        <f t="shared" si="3"/>
        <v/>
      </c>
      <c r="E13" s="41" t="str">
        <f t="shared" si="4"/>
        <v/>
      </c>
      <c r="F13" s="16">
        <v>2532.7800000000002</v>
      </c>
      <c r="G13" s="16">
        <v>334.27</v>
      </c>
      <c r="H13" s="16">
        <v>22.86</v>
      </c>
      <c r="I13" s="16">
        <v>1648.2</v>
      </c>
      <c r="J13" s="14">
        <v>743.96</v>
      </c>
      <c r="K13" s="14">
        <v>1262.71</v>
      </c>
      <c r="L13" s="33"/>
      <c r="M13" s="33"/>
      <c r="N13" s="33"/>
      <c r="O13" s="33"/>
      <c r="P13" s="33"/>
      <c r="Q13" s="33"/>
      <c r="R13" s="33"/>
      <c r="S13" s="32"/>
      <c r="T13" s="32"/>
    </row>
    <row r="14" spans="1:22" ht="18" customHeight="1">
      <c r="A14" s="9">
        <v>45658</v>
      </c>
      <c r="B14" s="11">
        <v>0.88211099999999998</v>
      </c>
      <c r="C14" s="30" t="str">
        <f t="shared" si="2"/>
        <v>Risk</v>
      </c>
      <c r="D14" s="41" t="str">
        <f t="shared" si="3"/>
        <v/>
      </c>
      <c r="E14" s="41" t="str">
        <f t="shared" si="4"/>
        <v/>
      </c>
      <c r="F14" s="16">
        <v>2517.37</v>
      </c>
      <c r="G14" s="16">
        <v>333.36</v>
      </c>
      <c r="H14" s="16">
        <v>18.79</v>
      </c>
      <c r="I14" s="16">
        <v>1642.77</v>
      </c>
      <c r="J14" s="14">
        <v>728.29</v>
      </c>
      <c r="K14" s="14">
        <v>1233.1600000000001</v>
      </c>
      <c r="L14" s="33"/>
      <c r="M14" s="33"/>
      <c r="N14" s="33"/>
      <c r="O14" s="33"/>
      <c r="P14" s="33"/>
      <c r="Q14" s="33"/>
      <c r="R14" s="33"/>
      <c r="S14" s="32"/>
      <c r="T14" s="32"/>
    </row>
    <row r="15" spans="1:22" ht="18" customHeight="1">
      <c r="A15" s="9">
        <v>45627</v>
      </c>
      <c r="B15" s="3">
        <v>0.84027300000000005</v>
      </c>
      <c r="C15" s="30" t="str">
        <f t="shared" si="2"/>
        <v>Risk</v>
      </c>
      <c r="D15" s="41" t="str">
        <f t="shared" si="3"/>
        <v>Risk</v>
      </c>
      <c r="E15" s="41" t="str">
        <f t="shared" si="4"/>
        <v/>
      </c>
      <c r="F15" s="16">
        <v>2399.4899999999998</v>
      </c>
      <c r="G15" s="16">
        <v>317.82</v>
      </c>
      <c r="H15" s="16">
        <v>21.14</v>
      </c>
      <c r="I15" s="16">
        <v>1575.57</v>
      </c>
      <c r="J15" s="14">
        <v>678.19</v>
      </c>
      <c r="K15" s="13">
        <v>1129.8</v>
      </c>
      <c r="L15" s="35">
        <f>1+(($I11/$I15)-1)*2</f>
        <v>1.1296038893860638</v>
      </c>
      <c r="M15" s="35">
        <f>1+(($I10/$I15)-1)*2</f>
        <v>1.2631555564018102</v>
      </c>
      <c r="N15" s="35">
        <f>1+(($I9/$I15)-1)*2</f>
        <v>1.6102172547078202</v>
      </c>
      <c r="O15" s="35">
        <f>1+(($I8/$I15)-1)*2</f>
        <v>1.7466377247599287</v>
      </c>
      <c r="P15" s="35">
        <f>1+(($I7/$I15)-1)*2</f>
        <v>1.7008511205468499</v>
      </c>
      <c r="Q15" s="35">
        <f>1+(($I6/$I15)-1)*2</f>
        <v>1.9751137683505018</v>
      </c>
      <c r="R15" s="35">
        <f>1+(($I5/$I15)-1)*2</f>
        <v>2.6334786775579633</v>
      </c>
      <c r="S15" s="35">
        <f>1+(($I4/$I15)-1)*2</f>
        <v>2.3843244032318465</v>
      </c>
      <c r="T15" s="35">
        <f>1+(($I4/$I15)-1)*2</f>
        <v>2.3843244032318465</v>
      </c>
    </row>
    <row r="16" spans="1:22" ht="18" customHeight="1">
      <c r="A16" s="9">
        <v>45597</v>
      </c>
      <c r="B16" s="3">
        <v>0.86388699999999996</v>
      </c>
      <c r="C16" s="30" t="str">
        <f t="shared" si="2"/>
        <v>Risk</v>
      </c>
      <c r="D16" s="41" t="str">
        <f t="shared" si="3"/>
        <v/>
      </c>
      <c r="E16" s="41" t="str">
        <f t="shared" si="4"/>
        <v/>
      </c>
      <c r="F16" s="16">
        <v>2455.91</v>
      </c>
      <c r="G16" s="16">
        <v>325.45</v>
      </c>
      <c r="H16" s="16">
        <v>19.34</v>
      </c>
      <c r="I16" s="16">
        <v>1612.46</v>
      </c>
      <c r="J16" s="14">
        <v>678.19</v>
      </c>
      <c r="K16" s="14">
        <v>1133.83</v>
      </c>
      <c r="L16" s="33"/>
      <c r="M16" s="33"/>
      <c r="N16" s="33"/>
      <c r="O16" s="33"/>
      <c r="P16" s="33"/>
      <c r="Q16" s="33"/>
      <c r="R16" s="33"/>
      <c r="S16" s="32"/>
      <c r="T16" s="34">
        <f>$I15/$I16</f>
        <v>0.97712191310172025</v>
      </c>
    </row>
    <row r="17" spans="1:20" ht="18" customHeight="1">
      <c r="A17" s="9">
        <v>45566</v>
      </c>
      <c r="B17" s="3">
        <v>0.89510699999999999</v>
      </c>
      <c r="C17" s="30" t="str">
        <f t="shared" si="2"/>
        <v>Risk</v>
      </c>
      <c r="D17" s="41" t="str">
        <f t="shared" si="3"/>
        <v/>
      </c>
      <c r="E17" s="41" t="str">
        <f t="shared" si="4"/>
        <v/>
      </c>
      <c r="F17" s="16">
        <v>2556.15</v>
      </c>
      <c r="G17" s="16">
        <v>339.32</v>
      </c>
      <c r="H17" s="16">
        <v>22.65</v>
      </c>
      <c r="I17" s="16">
        <v>1685.1</v>
      </c>
      <c r="J17" s="14">
        <v>743.06</v>
      </c>
      <c r="K17" s="14">
        <v>1273.29</v>
      </c>
      <c r="L17" s="34">
        <f>$I15/$I17</f>
        <v>0.93500089015488697</v>
      </c>
      <c r="M17" s="34">
        <f t="shared" ref="M17:S17" si="5">$I15/$I17</f>
        <v>0.93500089015488697</v>
      </c>
      <c r="N17" s="34">
        <f t="shared" si="5"/>
        <v>0.93500089015488697</v>
      </c>
      <c r="O17" s="34">
        <f t="shared" si="5"/>
        <v>0.93500089015488697</v>
      </c>
      <c r="P17" s="34">
        <f t="shared" si="5"/>
        <v>0.93500089015488697</v>
      </c>
      <c r="Q17" s="34">
        <f t="shared" si="5"/>
        <v>0.93500089015488697</v>
      </c>
      <c r="R17" s="34">
        <f t="shared" si="5"/>
        <v>0.93500089015488697</v>
      </c>
      <c r="S17" s="34">
        <f t="shared" si="5"/>
        <v>0.93500089015488697</v>
      </c>
      <c r="T17" s="32"/>
    </row>
    <row r="18" spans="1:20" ht="18" customHeight="1">
      <c r="A18" s="9">
        <v>45536</v>
      </c>
      <c r="B18" s="3">
        <v>0.90802499999999997</v>
      </c>
      <c r="C18" s="30" t="str">
        <f t="shared" si="2"/>
        <v/>
      </c>
      <c r="D18" s="41" t="str">
        <f t="shared" si="3"/>
        <v/>
      </c>
      <c r="E18" s="41" t="str">
        <f t="shared" si="4"/>
        <v/>
      </c>
      <c r="F18" s="16">
        <v>2593.27</v>
      </c>
      <c r="G18" s="16">
        <v>344.76</v>
      </c>
      <c r="H18" s="16">
        <v>25.44</v>
      </c>
      <c r="I18" s="16">
        <v>1719.2</v>
      </c>
      <c r="J18" s="14">
        <v>763.88</v>
      </c>
      <c r="K18" s="14">
        <v>1288.3399999999999</v>
      </c>
      <c r="S18" s="32"/>
      <c r="T18" s="32"/>
    </row>
    <row r="19" spans="1:20" ht="18" customHeight="1">
      <c r="A19" s="9">
        <v>45505</v>
      </c>
      <c r="B19" s="3">
        <v>0.95820899999999998</v>
      </c>
      <c r="C19" s="30" t="str">
        <f t="shared" si="2"/>
        <v/>
      </c>
      <c r="D19" s="41" t="str">
        <f t="shared" si="3"/>
        <v/>
      </c>
      <c r="E19" s="41" t="str">
        <f t="shared" si="4"/>
        <v/>
      </c>
      <c r="F19" s="16">
        <v>2674.31</v>
      </c>
      <c r="G19" s="16">
        <v>361.55</v>
      </c>
      <c r="H19" s="16">
        <v>18.809999999999999</v>
      </c>
      <c r="I19" s="16">
        <v>1802.36</v>
      </c>
      <c r="J19" s="14">
        <v>767.66</v>
      </c>
      <c r="K19" s="14">
        <v>1294.69</v>
      </c>
      <c r="R19" s="33"/>
      <c r="S19" s="32"/>
      <c r="T19" s="32"/>
    </row>
    <row r="20" spans="1:20" ht="18" customHeight="1">
      <c r="A20" s="9">
        <v>45474</v>
      </c>
      <c r="B20" s="3">
        <v>0.99315799999999999</v>
      </c>
      <c r="C20" s="30" t="str">
        <f t="shared" si="2"/>
        <v/>
      </c>
      <c r="D20" s="41" t="str">
        <f t="shared" si="3"/>
        <v/>
      </c>
      <c r="E20" s="41" t="str">
        <f t="shared" si="4"/>
        <v/>
      </c>
      <c r="F20" s="16">
        <v>2770.69</v>
      </c>
      <c r="G20" s="16">
        <v>380.49</v>
      </c>
      <c r="H20" s="16">
        <v>17.510000000000002</v>
      </c>
      <c r="I20" s="16">
        <v>1897.75</v>
      </c>
      <c r="J20" s="14">
        <v>803.15</v>
      </c>
      <c r="K20" s="14">
        <v>1338.75</v>
      </c>
      <c r="Q20" s="33"/>
      <c r="R20" s="33"/>
      <c r="S20" s="32"/>
      <c r="T20" s="32"/>
    </row>
    <row r="21" spans="1:20" ht="18" customHeight="1">
      <c r="A21" s="9">
        <v>45444</v>
      </c>
      <c r="B21" s="3">
        <v>1.001382</v>
      </c>
      <c r="C21" s="30" t="str">
        <f t="shared" si="2"/>
        <v/>
      </c>
      <c r="D21" s="41" t="str">
        <f t="shared" si="3"/>
        <v/>
      </c>
      <c r="E21" s="41" t="str">
        <f t="shared" si="4"/>
        <v/>
      </c>
      <c r="F21" s="16">
        <v>2797.82</v>
      </c>
      <c r="G21" s="16">
        <v>384.02</v>
      </c>
      <c r="H21" s="16">
        <v>16.100000000000001</v>
      </c>
      <c r="I21" s="16">
        <v>1919.36</v>
      </c>
      <c r="J21" s="14">
        <v>840.44</v>
      </c>
      <c r="K21" s="14">
        <v>1361.54</v>
      </c>
      <c r="P21" s="33"/>
      <c r="Q21" s="33"/>
      <c r="R21" s="33"/>
      <c r="S21" s="32"/>
      <c r="T21" s="32"/>
    </row>
    <row r="22" spans="1:20" ht="18" customHeight="1">
      <c r="A22" s="9">
        <v>45413</v>
      </c>
      <c r="B22" s="3">
        <v>0.95718300000000001</v>
      </c>
      <c r="C22" s="30" t="str">
        <f t="shared" si="2"/>
        <v/>
      </c>
      <c r="D22" s="41" t="str">
        <f t="shared" si="3"/>
        <v/>
      </c>
      <c r="E22" s="41" t="str">
        <f t="shared" si="4"/>
        <v/>
      </c>
      <c r="F22" s="16">
        <v>2636.52</v>
      </c>
      <c r="G22" s="16">
        <v>358.21</v>
      </c>
      <c r="H22" s="16">
        <v>16.899999999999999</v>
      </c>
      <c r="I22" s="16">
        <v>1799.7</v>
      </c>
      <c r="J22" s="14">
        <v>839.98</v>
      </c>
      <c r="K22" s="14">
        <v>1338.55</v>
      </c>
      <c r="O22" s="33"/>
      <c r="P22" s="33"/>
      <c r="Q22" s="33"/>
      <c r="R22" s="33"/>
      <c r="S22" s="32"/>
      <c r="T22" s="32"/>
    </row>
    <row r="23" spans="1:20" ht="18" customHeight="1">
      <c r="A23" s="9">
        <v>45383</v>
      </c>
      <c r="B23" s="5">
        <v>0.98</v>
      </c>
      <c r="C23" s="30" t="str">
        <f t="shared" si="2"/>
        <v/>
      </c>
      <c r="D23" s="41" t="str">
        <f t="shared" si="3"/>
        <v/>
      </c>
      <c r="E23" s="41" t="str">
        <f t="shared" si="4"/>
        <v/>
      </c>
      <c r="F23" s="16">
        <v>2692.06</v>
      </c>
      <c r="G23" s="16">
        <v>365.13</v>
      </c>
      <c r="H23" s="16">
        <v>18.14</v>
      </c>
      <c r="I23" s="16">
        <v>1836.69</v>
      </c>
      <c r="J23" s="14">
        <v>868.93</v>
      </c>
      <c r="K23" s="14">
        <v>1442.22</v>
      </c>
      <c r="N23" s="33"/>
      <c r="O23" s="33"/>
      <c r="P23" s="33"/>
      <c r="Q23" s="33"/>
      <c r="R23" s="33"/>
      <c r="S23" s="32"/>
      <c r="T23" s="32"/>
    </row>
    <row r="24" spans="1:20" ht="18" customHeight="1">
      <c r="A24" s="9">
        <v>45352</v>
      </c>
      <c r="B24" s="5">
        <v>1</v>
      </c>
      <c r="C24" s="30" t="str">
        <f t="shared" si="2"/>
        <v/>
      </c>
      <c r="D24" s="41" t="str">
        <f t="shared" si="3"/>
        <v/>
      </c>
      <c r="E24" s="41" t="str">
        <f t="shared" si="4"/>
        <v/>
      </c>
      <c r="F24" s="16">
        <v>2746.63</v>
      </c>
      <c r="G24" s="16">
        <v>374.63</v>
      </c>
      <c r="H24" s="16">
        <v>16.84</v>
      </c>
      <c r="I24" s="16">
        <v>1884.17</v>
      </c>
      <c r="J24" s="13">
        <v>905.5</v>
      </c>
      <c r="K24" s="14">
        <v>1520.44</v>
      </c>
      <c r="M24" s="33"/>
      <c r="N24" s="33"/>
      <c r="O24" s="33"/>
      <c r="P24" s="33"/>
      <c r="Q24" s="33"/>
      <c r="R24" s="33"/>
      <c r="S24" s="32"/>
      <c r="T24" s="32"/>
    </row>
    <row r="25" spans="1:20" ht="18" customHeight="1">
      <c r="A25" s="9">
        <v>45323</v>
      </c>
      <c r="B25" s="5">
        <v>0.96</v>
      </c>
      <c r="C25" s="30" t="str">
        <f t="shared" si="2"/>
        <v/>
      </c>
      <c r="D25" s="41" t="str">
        <f t="shared" si="3"/>
        <v/>
      </c>
      <c r="E25" s="41" t="str">
        <f t="shared" si="4"/>
        <v/>
      </c>
      <c r="F25" s="16">
        <v>2642.36</v>
      </c>
      <c r="G25" s="16">
        <v>355.57</v>
      </c>
      <c r="H25" s="16">
        <v>16.77</v>
      </c>
      <c r="I25" s="16">
        <v>1785.57</v>
      </c>
      <c r="J25" s="14">
        <v>862.96</v>
      </c>
      <c r="K25" s="14">
        <v>1402.26</v>
      </c>
      <c r="L25" s="33"/>
      <c r="M25" s="33"/>
      <c r="N25" s="33"/>
      <c r="O25" s="33"/>
      <c r="P25" s="33"/>
      <c r="Q25" s="33"/>
      <c r="R25" s="33"/>
      <c r="S25" s="32"/>
      <c r="T25" s="32"/>
    </row>
    <row r="26" spans="1:20" ht="18" customHeight="1">
      <c r="A26" s="9">
        <v>45292</v>
      </c>
      <c r="B26" s="5">
        <v>0.91</v>
      </c>
      <c r="C26" s="30" t="str">
        <f t="shared" si="2"/>
        <v/>
      </c>
      <c r="D26" s="41" t="str">
        <f t="shared" si="3"/>
        <v/>
      </c>
      <c r="E26" s="41" t="str">
        <f t="shared" si="4"/>
        <v/>
      </c>
      <c r="F26" s="16">
        <v>2497.09</v>
      </c>
      <c r="G26" s="16">
        <v>336.24</v>
      </c>
      <c r="H26" s="16">
        <v>17.02</v>
      </c>
      <c r="I26" s="16">
        <v>1691.46</v>
      </c>
      <c r="J26" s="14">
        <v>799.24</v>
      </c>
      <c r="K26" s="14">
        <v>1241.75</v>
      </c>
      <c r="L26" s="33"/>
      <c r="M26" s="33"/>
      <c r="N26" s="33"/>
      <c r="O26" s="33"/>
      <c r="P26" s="33"/>
      <c r="Q26" s="33"/>
      <c r="R26" s="33"/>
      <c r="S26" s="32"/>
      <c r="T26" s="32"/>
    </row>
    <row r="27" spans="1:20" ht="18" customHeight="1">
      <c r="A27" s="9">
        <v>45261</v>
      </c>
      <c r="B27" s="5">
        <v>0.96</v>
      </c>
      <c r="C27" s="30" t="str">
        <f t="shared" si="2"/>
        <v/>
      </c>
      <c r="D27" s="41" t="str">
        <f t="shared" si="3"/>
        <v/>
      </c>
      <c r="E27" s="41" t="str">
        <f t="shared" si="4"/>
        <v/>
      </c>
      <c r="F27" s="16">
        <v>2655.28</v>
      </c>
      <c r="G27" s="16">
        <v>357.99</v>
      </c>
      <c r="H27" s="16">
        <v>17.78</v>
      </c>
      <c r="I27" s="16">
        <v>1820.45</v>
      </c>
      <c r="J27" s="14">
        <v>866.57</v>
      </c>
      <c r="K27" s="14">
        <v>1393.46</v>
      </c>
      <c r="L27" s="33"/>
      <c r="M27" s="33"/>
      <c r="N27" s="33"/>
      <c r="O27" s="33"/>
      <c r="P27" s="33"/>
      <c r="Q27" s="33"/>
      <c r="R27" s="33"/>
      <c r="S27" s="32"/>
      <c r="T27" s="32"/>
    </row>
    <row r="28" spans="1:20" ht="18" customHeight="1">
      <c r="A28" s="9">
        <v>45231</v>
      </c>
      <c r="B28" s="5">
        <v>0.92</v>
      </c>
      <c r="C28" s="30" t="str">
        <f t="shared" si="2"/>
        <v/>
      </c>
      <c r="D28" s="41" t="str">
        <f t="shared" si="3"/>
        <v/>
      </c>
      <c r="E28" s="41" t="str">
        <f t="shared" si="4"/>
        <v/>
      </c>
      <c r="F28" s="16">
        <v>2535.29</v>
      </c>
      <c r="G28" s="16">
        <v>338.43</v>
      </c>
      <c r="H28" s="16">
        <v>14.46</v>
      </c>
      <c r="I28" s="16">
        <v>1698.8</v>
      </c>
      <c r="J28" s="14">
        <v>831.68</v>
      </c>
      <c r="K28" s="14">
        <v>1323.92</v>
      </c>
      <c r="L28" s="33"/>
      <c r="M28" s="33"/>
      <c r="N28" s="33"/>
      <c r="O28" s="33"/>
      <c r="P28" s="33"/>
      <c r="Q28" s="33"/>
      <c r="R28" s="33"/>
      <c r="S28" s="32"/>
      <c r="T28" s="32"/>
    </row>
    <row r="29" spans="1:20" ht="18" customHeight="1">
      <c r="A29" s="9">
        <v>45200</v>
      </c>
      <c r="B29" s="3">
        <v>0.82694800000000002</v>
      </c>
      <c r="C29" s="30" t="str">
        <f t="shared" si="2"/>
        <v>Risk</v>
      </c>
      <c r="D29" s="41" t="str">
        <f t="shared" si="3"/>
        <v>Risk</v>
      </c>
      <c r="E29" s="41" t="str">
        <f t="shared" si="4"/>
        <v/>
      </c>
      <c r="F29" s="16">
        <v>2277.9899999999998</v>
      </c>
      <c r="G29" s="16">
        <v>305.56</v>
      </c>
      <c r="H29" s="16">
        <v>19.89</v>
      </c>
      <c r="I29" s="16">
        <v>1538.26</v>
      </c>
      <c r="J29" s="13">
        <v>736.1</v>
      </c>
      <c r="K29" s="14">
        <v>1147.92</v>
      </c>
      <c r="L29" s="35">
        <f>1+(($I25/$I29)-1)*2</f>
        <v>1.3215451224110359</v>
      </c>
      <c r="M29" s="35">
        <f>1+(($I24/$I29)-1)*2</f>
        <v>1.4497419161910212</v>
      </c>
      <c r="N29" s="35">
        <f>1+(($I23/$I29)-1)*2</f>
        <v>1.3880098292876366</v>
      </c>
      <c r="O29" s="35">
        <f>1+(($I22/$I29)-1)*2</f>
        <v>1.3399165290653077</v>
      </c>
      <c r="P29" s="35">
        <f>1+(($I21/$I29)-1)*2</f>
        <v>1.4954949098331882</v>
      </c>
      <c r="Q29" s="35">
        <f>1+(($I20/$I29)-1)*2</f>
        <v>1.4673982291680212</v>
      </c>
      <c r="R29" s="35">
        <f>1+(($I19/$I29)-1)*2</f>
        <v>1.3433749821226582</v>
      </c>
      <c r="S29" s="35">
        <f>1+(($I18/$I29)-1)*2</f>
        <v>1.2352528181191738</v>
      </c>
      <c r="T29" s="35">
        <f>1+(($I17/$I29)-1)*2</f>
        <v>1.1909170101283268</v>
      </c>
    </row>
    <row r="30" spans="1:20" ht="18" customHeight="1">
      <c r="A30" s="9">
        <v>45170</v>
      </c>
      <c r="B30" s="3">
        <v>0.89318699999999995</v>
      </c>
      <c r="C30" s="30" t="str">
        <f t="shared" si="2"/>
        <v>Risk</v>
      </c>
      <c r="D30" s="41" t="str">
        <f t="shared" si="3"/>
        <v/>
      </c>
      <c r="E30" s="41" t="str">
        <f t="shared" si="4"/>
        <v/>
      </c>
      <c r="F30" s="16">
        <v>2465.0700000000002</v>
      </c>
      <c r="G30" s="16">
        <v>326.70999999999998</v>
      </c>
      <c r="H30" s="16">
        <v>15.08</v>
      </c>
      <c r="I30" s="16">
        <v>1647.96</v>
      </c>
      <c r="J30" s="14">
        <v>841.02</v>
      </c>
      <c r="K30" s="14">
        <v>1321.64</v>
      </c>
      <c r="L30" s="34">
        <f>$I29/$I30</f>
        <v>0.93343285031190071</v>
      </c>
      <c r="M30" s="34">
        <f t="shared" ref="M30:S30" si="6">$I29/$I30</f>
        <v>0.93343285031190071</v>
      </c>
      <c r="N30" s="34">
        <f t="shared" si="6"/>
        <v>0.93343285031190071</v>
      </c>
      <c r="O30" s="34">
        <f t="shared" si="6"/>
        <v>0.93343285031190071</v>
      </c>
      <c r="P30" s="34">
        <f t="shared" si="6"/>
        <v>0.93343285031190071</v>
      </c>
      <c r="Q30" s="34">
        <f t="shared" si="6"/>
        <v>0.93343285031190071</v>
      </c>
      <c r="R30" s="34">
        <f t="shared" si="6"/>
        <v>0.93343285031190071</v>
      </c>
      <c r="S30" s="34">
        <f t="shared" si="6"/>
        <v>0.93343285031190071</v>
      </c>
      <c r="T30" s="32"/>
    </row>
    <row r="31" spans="1:20" ht="18" customHeight="1">
      <c r="A31" s="9">
        <v>45139</v>
      </c>
      <c r="B31" s="3">
        <v>0.93718599999999996</v>
      </c>
      <c r="C31" s="30" t="str">
        <f t="shared" si="2"/>
        <v/>
      </c>
      <c r="D31" s="41" t="str">
        <f t="shared" si="3"/>
        <v/>
      </c>
      <c r="E31" s="41" t="str">
        <f t="shared" si="4"/>
        <v/>
      </c>
      <c r="F31" s="16">
        <v>2556.27</v>
      </c>
      <c r="G31" s="16">
        <v>334.75</v>
      </c>
      <c r="H31" s="16">
        <v>12.78</v>
      </c>
      <c r="I31" s="16">
        <v>1686.41</v>
      </c>
      <c r="J31" s="13">
        <v>928.4</v>
      </c>
      <c r="K31" s="14">
        <v>1483.08</v>
      </c>
      <c r="S31" s="32"/>
      <c r="T31" s="32"/>
    </row>
    <row r="32" spans="1:20" ht="18" customHeight="1">
      <c r="A32" s="9">
        <v>45108</v>
      </c>
      <c r="B32" s="3">
        <v>0.96419200000000005</v>
      </c>
      <c r="C32" s="30" t="str">
        <f t="shared" si="2"/>
        <v/>
      </c>
      <c r="D32" s="41" t="str">
        <f t="shared" si="3"/>
        <v/>
      </c>
      <c r="E32" s="41" t="str">
        <f t="shared" si="4"/>
        <v/>
      </c>
      <c r="F32" s="16">
        <v>2632.58</v>
      </c>
      <c r="G32" s="16">
        <v>345.62</v>
      </c>
      <c r="H32" s="16">
        <v>14.21</v>
      </c>
      <c r="I32" s="16">
        <v>1748.34</v>
      </c>
      <c r="J32" s="14">
        <v>935.97</v>
      </c>
      <c r="K32" s="14">
        <v>1551.24</v>
      </c>
      <c r="R32" s="33"/>
      <c r="S32" s="32"/>
      <c r="T32" s="32"/>
    </row>
    <row r="33" spans="1:20" ht="18" customHeight="1">
      <c r="A33" s="9">
        <v>45078</v>
      </c>
      <c r="B33" s="3">
        <v>0.938608</v>
      </c>
      <c r="C33" s="30" t="str">
        <f t="shared" si="2"/>
        <v/>
      </c>
      <c r="D33" s="41" t="str">
        <f t="shared" si="3"/>
        <v/>
      </c>
      <c r="E33" s="41" t="str">
        <f t="shared" si="4"/>
        <v/>
      </c>
      <c r="F33" s="16">
        <v>2564.2800000000002</v>
      </c>
      <c r="G33" s="16">
        <v>337.95</v>
      </c>
      <c r="H33" s="16">
        <v>12.59</v>
      </c>
      <c r="I33" s="16">
        <v>1714.36</v>
      </c>
      <c r="J33" s="14">
        <v>868.24</v>
      </c>
      <c r="K33" s="14">
        <v>1322.36</v>
      </c>
      <c r="Q33" s="33"/>
      <c r="R33" s="33"/>
      <c r="S33" s="32"/>
      <c r="T33" s="32"/>
    </row>
    <row r="34" spans="1:20" ht="18" customHeight="1">
      <c r="A34" s="9">
        <v>45047</v>
      </c>
      <c r="B34" s="3">
        <v>0.98162400000000005</v>
      </c>
      <c r="C34" s="30" t="str">
        <f t="shared" si="2"/>
        <v/>
      </c>
      <c r="D34" s="41" t="str">
        <f t="shared" si="3"/>
        <v/>
      </c>
      <c r="E34" s="41" t="str">
        <f t="shared" si="4"/>
        <v/>
      </c>
      <c r="F34" s="16">
        <v>2577.12</v>
      </c>
      <c r="G34" s="16">
        <v>339.12</v>
      </c>
      <c r="H34" s="16">
        <v>14.8</v>
      </c>
      <c r="I34" s="16">
        <v>1714.7</v>
      </c>
      <c r="J34" s="14">
        <v>856.94</v>
      </c>
      <c r="K34" s="14">
        <v>1308.6500000000001</v>
      </c>
      <c r="P34" s="33"/>
      <c r="Q34" s="33"/>
      <c r="R34" s="33"/>
      <c r="S34" s="32"/>
      <c r="T34" s="32"/>
    </row>
    <row r="35" spans="1:20" ht="18" customHeight="1">
      <c r="A35" s="9">
        <v>45017</v>
      </c>
      <c r="B35" s="3">
        <v>0.94302699999999995</v>
      </c>
      <c r="C35" s="30" t="str">
        <f t="shared" si="2"/>
        <v/>
      </c>
      <c r="D35" s="41" t="str">
        <f t="shared" si="3"/>
        <v/>
      </c>
      <c r="E35" s="41" t="str">
        <f t="shared" si="4"/>
        <v/>
      </c>
      <c r="F35" s="16">
        <v>2501.5300000000002</v>
      </c>
      <c r="G35" s="16">
        <v>326.45999999999998</v>
      </c>
      <c r="H35" s="16">
        <v>14.51</v>
      </c>
      <c r="I35" s="16">
        <v>1650.97</v>
      </c>
      <c r="J35" s="14">
        <v>842.83</v>
      </c>
      <c r="K35" s="14">
        <v>1299.28</v>
      </c>
      <c r="O35" s="33"/>
      <c r="P35" s="33"/>
      <c r="Q35" s="33"/>
      <c r="R35" s="33"/>
      <c r="S35" s="32"/>
      <c r="T35" s="32"/>
    </row>
    <row r="36" spans="1:20" ht="18" customHeight="1">
      <c r="A36" s="9">
        <v>44986</v>
      </c>
      <c r="B36" s="11">
        <v>0.93132300000000001</v>
      </c>
      <c r="C36" s="30" t="str">
        <f t="shared" si="2"/>
        <v/>
      </c>
      <c r="D36" s="41" t="str">
        <f t="shared" si="3"/>
        <v/>
      </c>
      <c r="E36" s="41" t="str">
        <f t="shared" si="4"/>
        <v/>
      </c>
      <c r="F36" s="16">
        <v>2476.86</v>
      </c>
      <c r="G36" s="16">
        <v>322.02999999999997</v>
      </c>
      <c r="H36" s="16">
        <v>15.57</v>
      </c>
      <c r="I36" s="16">
        <v>1637.31</v>
      </c>
      <c r="J36" s="14">
        <v>847.52</v>
      </c>
      <c r="K36" s="14">
        <v>1260.21</v>
      </c>
      <c r="N36" s="33"/>
      <c r="O36" s="33"/>
      <c r="P36" s="33"/>
      <c r="Q36" s="33"/>
      <c r="R36" s="33"/>
      <c r="S36" s="32"/>
      <c r="T36" s="32"/>
    </row>
    <row r="37" spans="1:20" ht="18" customHeight="1">
      <c r="A37" s="9">
        <v>44958</v>
      </c>
      <c r="B37" s="11">
        <v>0.90686500000000003</v>
      </c>
      <c r="C37" s="30" t="str">
        <f t="shared" si="2"/>
        <v/>
      </c>
      <c r="D37" s="41" t="str">
        <f t="shared" si="3"/>
        <v/>
      </c>
      <c r="E37" s="41" t="str">
        <f t="shared" si="4"/>
        <v/>
      </c>
      <c r="F37" s="16">
        <v>2412.85</v>
      </c>
      <c r="G37" s="16">
        <v>314.8</v>
      </c>
      <c r="H37" s="16">
        <v>18.53</v>
      </c>
      <c r="I37" s="16">
        <v>1605.25</v>
      </c>
      <c r="J37" s="13">
        <v>791.6</v>
      </c>
      <c r="K37" s="14">
        <v>1143.05</v>
      </c>
      <c r="M37" s="33"/>
      <c r="N37" s="33"/>
      <c r="O37" s="33"/>
      <c r="P37" s="33"/>
      <c r="Q37" s="33"/>
      <c r="R37" s="33"/>
      <c r="S37" s="32"/>
      <c r="T37" s="32"/>
    </row>
    <row r="38" spans="1:20" ht="18" customHeight="1">
      <c r="A38" s="9">
        <v>44927</v>
      </c>
      <c r="B38" s="11">
        <v>0.91425400000000001</v>
      </c>
      <c r="C38" s="30" t="str">
        <f t="shared" si="2"/>
        <v/>
      </c>
      <c r="D38" s="41" t="str">
        <f t="shared" si="3"/>
        <v/>
      </c>
      <c r="E38" s="41" t="str">
        <f t="shared" si="4"/>
        <v/>
      </c>
      <c r="F38" s="16">
        <v>2425.08</v>
      </c>
      <c r="G38" s="16">
        <v>317.26</v>
      </c>
      <c r="H38" s="16">
        <v>17.75</v>
      </c>
      <c r="I38" s="16">
        <v>1619.74</v>
      </c>
      <c r="J38" s="14">
        <v>740.49</v>
      </c>
      <c r="K38" s="13">
        <v>1021.6</v>
      </c>
      <c r="L38" s="33"/>
      <c r="M38" s="33"/>
      <c r="N38" s="33"/>
      <c r="O38" s="33"/>
      <c r="P38" s="33"/>
      <c r="Q38" s="33"/>
      <c r="R38" s="33"/>
      <c r="S38" s="32"/>
      <c r="T38" s="32"/>
    </row>
    <row r="39" spans="1:20" ht="18" customHeight="1">
      <c r="A39" s="9">
        <v>44896</v>
      </c>
      <c r="B39" s="11">
        <v>0.84129799999999999</v>
      </c>
      <c r="C39" s="30" t="str">
        <f t="shared" si="2"/>
        <v>Risk</v>
      </c>
      <c r="D39" s="41" t="str">
        <f t="shared" si="3"/>
        <v>Risk</v>
      </c>
      <c r="E39" s="41" t="str">
        <f t="shared" si="4"/>
        <v/>
      </c>
      <c r="F39" s="16">
        <v>2236.4</v>
      </c>
      <c r="G39" s="16">
        <v>291.10000000000002</v>
      </c>
      <c r="H39" s="16">
        <v>18.399999999999999</v>
      </c>
      <c r="I39" s="16">
        <v>1488.59</v>
      </c>
      <c r="J39" s="14">
        <v>679.29</v>
      </c>
      <c r="K39" s="14">
        <v>957.78</v>
      </c>
      <c r="L39" s="33"/>
      <c r="M39" s="33"/>
      <c r="N39" s="33"/>
      <c r="O39" s="33"/>
      <c r="P39" s="33"/>
      <c r="Q39" s="33"/>
      <c r="R39" s="33"/>
      <c r="S39" s="32"/>
      <c r="T39" s="32"/>
    </row>
    <row r="40" spans="1:20" ht="18" customHeight="1">
      <c r="A40" s="9">
        <v>44866</v>
      </c>
      <c r="B40" s="11">
        <v>0.95905799999999997</v>
      </c>
      <c r="C40" s="30" t="str">
        <f t="shared" si="2"/>
        <v/>
      </c>
      <c r="D40" s="41" t="str">
        <f t="shared" si="3"/>
        <v/>
      </c>
      <c r="E40" s="41" t="str">
        <f t="shared" si="4"/>
        <v/>
      </c>
      <c r="F40" s="16">
        <v>2472.5300000000002</v>
      </c>
      <c r="G40" s="16">
        <v>321</v>
      </c>
      <c r="H40" s="16">
        <v>17.78</v>
      </c>
      <c r="I40" s="16">
        <v>1616.28</v>
      </c>
      <c r="J40" s="14">
        <v>729.54</v>
      </c>
      <c r="K40" s="14">
        <v>1038.42</v>
      </c>
      <c r="L40" s="33"/>
      <c r="M40" s="33"/>
      <c r="N40" s="33"/>
      <c r="O40" s="33"/>
      <c r="P40" s="33"/>
      <c r="Q40" s="33"/>
      <c r="R40" s="33"/>
      <c r="S40" s="32"/>
      <c r="T40" s="32"/>
    </row>
    <row r="41" spans="1:20" ht="18" customHeight="1">
      <c r="A41" s="9">
        <v>44835</v>
      </c>
      <c r="B41" s="11">
        <v>0.88847299999999996</v>
      </c>
      <c r="C41" s="30" t="str">
        <f t="shared" si="2"/>
        <v>Risk</v>
      </c>
      <c r="D41" s="41" t="str">
        <f t="shared" si="3"/>
        <v/>
      </c>
      <c r="E41" s="41" t="str">
        <f t="shared" si="4"/>
        <v/>
      </c>
      <c r="F41" s="16">
        <v>2293.61</v>
      </c>
      <c r="G41" s="16">
        <v>299.58</v>
      </c>
      <c r="H41" s="16">
        <v>21.97</v>
      </c>
      <c r="I41" s="16">
        <v>1520.46</v>
      </c>
      <c r="J41" s="14">
        <v>695.33</v>
      </c>
      <c r="K41" s="14">
        <v>1006.82</v>
      </c>
      <c r="L41" s="33"/>
      <c r="M41" s="33"/>
      <c r="N41" s="33"/>
      <c r="O41" s="33"/>
      <c r="P41" s="33"/>
      <c r="Q41" s="33"/>
      <c r="R41" s="33"/>
      <c r="S41" s="32"/>
      <c r="T41" s="32"/>
    </row>
    <row r="42" spans="1:20" ht="18" customHeight="1">
      <c r="A42" s="9">
        <v>44805</v>
      </c>
      <c r="B42" s="3">
        <v>0.83385600000000004</v>
      </c>
      <c r="C42" s="30" t="str">
        <f t="shared" si="2"/>
        <v>Risk</v>
      </c>
      <c r="D42" s="41" t="str">
        <f t="shared" si="3"/>
        <v>Risk</v>
      </c>
      <c r="E42" s="41" t="str">
        <f t="shared" si="4"/>
        <v/>
      </c>
      <c r="F42" s="16">
        <v>2155.4899999999998</v>
      </c>
      <c r="G42" s="16">
        <v>281.36</v>
      </c>
      <c r="H42" s="16">
        <v>27.19</v>
      </c>
      <c r="I42" s="16">
        <v>1428.18</v>
      </c>
      <c r="J42" s="14">
        <v>672.65</v>
      </c>
      <c r="K42" s="14">
        <v>956.48</v>
      </c>
      <c r="L42" s="35">
        <f>1+(($I38/$I42)-1)*2</f>
        <v>1.2682575025557004</v>
      </c>
      <c r="M42" s="35">
        <f>1+(($I37/$I42)-1)*2</f>
        <v>1.2479659426682912</v>
      </c>
      <c r="N42" s="35">
        <f>1+(($I36/$I42)-1)*2</f>
        <v>1.2928622442549256</v>
      </c>
      <c r="O42" s="35">
        <f>1+(($I35/$I42)-1)*2</f>
        <v>1.3119914856670727</v>
      </c>
      <c r="P42" s="35">
        <f>1+(($I34/$I42)-1)*2</f>
        <v>1.4012379391953393</v>
      </c>
      <c r="Q42" s="35">
        <f>1+(($I33/$I42)-1)*2</f>
        <v>1.4007618087355933</v>
      </c>
      <c r="R42" s="35">
        <f>1+(($I32/$I42)-1)*2</f>
        <v>1.4483468470360878</v>
      </c>
      <c r="S42" s="35">
        <f>1+(($I31/$I42)-1)*2</f>
        <v>1.3616210841770644</v>
      </c>
      <c r="T42" s="35">
        <f>1+(($I30/$I42)-1)*2</f>
        <v>1.3077763307146157</v>
      </c>
    </row>
    <row r="43" spans="1:20" ht="18" customHeight="1">
      <c r="A43" s="9">
        <v>44774</v>
      </c>
      <c r="B43" s="3">
        <v>0.97728800000000005</v>
      </c>
      <c r="C43" s="30" t="str">
        <f t="shared" si="2"/>
        <v/>
      </c>
      <c r="D43" s="41" t="str">
        <f t="shared" si="3"/>
        <v/>
      </c>
      <c r="E43" s="41" t="str">
        <f t="shared" si="4"/>
        <v/>
      </c>
      <c r="F43" s="16">
        <v>2472.0500000000002</v>
      </c>
      <c r="G43" s="16">
        <v>322.95999999999998</v>
      </c>
      <c r="H43" s="16">
        <v>17.309999999999999</v>
      </c>
      <c r="I43" s="16">
        <v>1625.97</v>
      </c>
      <c r="J43" s="14">
        <v>807.04</v>
      </c>
      <c r="K43" s="14">
        <v>1155.03</v>
      </c>
    </row>
    <row r="44" spans="1:20" ht="18" customHeight="1">
      <c r="A44" s="9">
        <v>44743</v>
      </c>
      <c r="B44" s="3">
        <v>0.96806300000000001</v>
      </c>
      <c r="C44" s="30" t="str">
        <f t="shared" si="2"/>
        <v/>
      </c>
      <c r="D44" s="41" t="str">
        <f t="shared" si="3"/>
        <v/>
      </c>
      <c r="E44" s="41" t="str">
        <f t="shared" si="4"/>
        <v/>
      </c>
      <c r="F44" s="16">
        <v>2451.5</v>
      </c>
      <c r="G44" s="16">
        <v>323.31</v>
      </c>
      <c r="H44" s="16">
        <v>17.79</v>
      </c>
      <c r="I44" s="16">
        <v>1638.38</v>
      </c>
      <c r="J44" s="14">
        <v>803.62</v>
      </c>
      <c r="K44" s="13">
        <v>1151.8</v>
      </c>
    </row>
    <row r="45" spans="1:20" ht="18" customHeight="1">
      <c r="A45" s="9">
        <v>44713</v>
      </c>
      <c r="B45" s="3">
        <v>0.92029099999999997</v>
      </c>
      <c r="C45" s="30" t="str">
        <f t="shared" si="2"/>
        <v/>
      </c>
      <c r="D45" s="41" t="str">
        <f t="shared" si="3"/>
        <v/>
      </c>
      <c r="E45" s="41" t="str">
        <f t="shared" si="4"/>
        <v/>
      </c>
      <c r="F45" s="16">
        <v>2332.64</v>
      </c>
      <c r="G45" s="16">
        <v>307.2</v>
      </c>
      <c r="H45" s="16">
        <v>23.9</v>
      </c>
      <c r="I45" s="16">
        <v>1557.34</v>
      </c>
      <c r="J45" s="14">
        <v>745.44</v>
      </c>
      <c r="K45" s="14">
        <v>1056.42</v>
      </c>
    </row>
    <row r="46" spans="1:20" ht="18" customHeight="1">
      <c r="A46" s="9">
        <v>44682</v>
      </c>
      <c r="B46" s="3">
        <v>1.075215</v>
      </c>
      <c r="C46" s="30" t="str">
        <f t="shared" si="2"/>
        <v/>
      </c>
      <c r="D46" s="41" t="str">
        <f t="shared" si="3"/>
        <v/>
      </c>
      <c r="E46" s="41" t="str">
        <f t="shared" si="4"/>
        <v/>
      </c>
      <c r="F46" s="16">
        <v>2685.9</v>
      </c>
      <c r="G46" s="16">
        <v>354.54</v>
      </c>
      <c r="H46" s="16">
        <v>17.260000000000002</v>
      </c>
      <c r="I46" s="16">
        <v>1793.38</v>
      </c>
      <c r="J46" s="14">
        <v>893.36</v>
      </c>
      <c r="K46" s="14">
        <v>1269.22</v>
      </c>
    </row>
    <row r="47" spans="1:20" ht="18" customHeight="1">
      <c r="A47" s="9">
        <v>44652</v>
      </c>
      <c r="B47" s="3">
        <v>1.097928</v>
      </c>
      <c r="C47" s="30" t="str">
        <f t="shared" si="2"/>
        <v/>
      </c>
      <c r="D47" s="41" t="str">
        <f t="shared" si="3"/>
        <v/>
      </c>
      <c r="E47" s="41" t="str">
        <f t="shared" si="4"/>
        <v/>
      </c>
      <c r="F47" s="16">
        <v>2695.05</v>
      </c>
      <c r="G47" s="16">
        <v>355.08</v>
      </c>
      <c r="H47" s="16">
        <v>18.920000000000002</v>
      </c>
      <c r="I47" s="16">
        <v>1800.72</v>
      </c>
      <c r="J47" s="14">
        <v>904.75</v>
      </c>
      <c r="K47" s="14">
        <v>1261.29</v>
      </c>
    </row>
    <row r="48" spans="1:20" ht="18" customHeight="1">
      <c r="A48" s="9">
        <v>44621</v>
      </c>
      <c r="B48" s="3">
        <v>1.1232880000000001</v>
      </c>
      <c r="C48" s="30" t="str">
        <f t="shared" si="2"/>
        <v/>
      </c>
      <c r="D48" s="41" t="str">
        <f t="shared" si="3"/>
        <v/>
      </c>
      <c r="E48" s="41" t="str">
        <f t="shared" si="4"/>
        <v/>
      </c>
      <c r="F48" s="16">
        <v>2757.65</v>
      </c>
      <c r="G48" s="16">
        <v>365.61</v>
      </c>
      <c r="H48" s="16">
        <v>17.14</v>
      </c>
      <c r="I48" s="16">
        <v>1851.87</v>
      </c>
      <c r="J48" s="14">
        <v>944.53</v>
      </c>
      <c r="K48" s="14">
        <v>1332.65</v>
      </c>
    </row>
    <row r="49" spans="1:20" ht="18" customHeight="1">
      <c r="A49" s="9">
        <v>44593</v>
      </c>
      <c r="B49" s="3">
        <v>1.0990470000000001</v>
      </c>
      <c r="C49" s="30" t="str">
        <f t="shared" si="2"/>
        <v/>
      </c>
      <c r="D49" s="41" t="str">
        <f t="shared" si="3"/>
        <v/>
      </c>
      <c r="E49" s="41" t="str">
        <f t="shared" si="4"/>
        <v/>
      </c>
      <c r="F49" s="16">
        <v>2699.18</v>
      </c>
      <c r="G49" s="16">
        <v>361.54</v>
      </c>
      <c r="H49" s="16">
        <v>24.41</v>
      </c>
      <c r="I49" s="16">
        <v>1828.27</v>
      </c>
      <c r="J49" s="14">
        <v>881.07</v>
      </c>
      <c r="K49" s="14">
        <v>1257.1400000000001</v>
      </c>
    </row>
    <row r="50" spans="1:20" ht="18" customHeight="1">
      <c r="A50" s="9">
        <v>44562</v>
      </c>
      <c r="B50" s="3">
        <v>1.0827770000000001</v>
      </c>
      <c r="C50" s="30" t="str">
        <f t="shared" si="2"/>
        <v/>
      </c>
      <c r="D50" s="41" t="str">
        <f t="shared" si="3"/>
        <v/>
      </c>
      <c r="E50" s="41" t="str">
        <f t="shared" si="4"/>
        <v/>
      </c>
      <c r="F50" s="16">
        <v>2663.34</v>
      </c>
      <c r="G50" s="16">
        <v>357.98</v>
      </c>
      <c r="H50" s="16">
        <v>23.97</v>
      </c>
      <c r="I50" s="16">
        <v>1804.99</v>
      </c>
      <c r="J50" s="14">
        <v>872.87</v>
      </c>
      <c r="K50" s="13">
        <v>1244.9000000000001</v>
      </c>
    </row>
    <row r="51" spans="1:20" ht="18" customHeight="1">
      <c r="A51" s="9">
        <v>44531</v>
      </c>
      <c r="B51" s="3">
        <v>1.1415519999999999</v>
      </c>
      <c r="C51" s="30" t="str">
        <f t="shared" si="2"/>
        <v/>
      </c>
      <c r="D51" s="41" t="str">
        <f t="shared" si="3"/>
        <v/>
      </c>
      <c r="E51" s="41" t="str">
        <f t="shared" si="4"/>
        <v/>
      </c>
      <c r="F51" s="16">
        <v>2977.65</v>
      </c>
      <c r="G51" s="16">
        <v>394.19</v>
      </c>
      <c r="H51" s="16">
        <v>16.5</v>
      </c>
      <c r="I51" s="16">
        <v>1995.56</v>
      </c>
      <c r="J51" s="14">
        <v>1033.98</v>
      </c>
      <c r="K51" s="14">
        <v>1524.21</v>
      </c>
    </row>
    <row r="52" spans="1:20" ht="18" customHeight="1">
      <c r="A52" s="9">
        <v>44501</v>
      </c>
      <c r="B52" s="3">
        <v>1.1318319999999999</v>
      </c>
      <c r="C52" s="30" t="str">
        <f t="shared" si="2"/>
        <v/>
      </c>
      <c r="D52" s="41" t="str">
        <f t="shared" si="3"/>
        <v/>
      </c>
      <c r="E52" s="41" t="str">
        <f t="shared" si="4"/>
        <v/>
      </c>
      <c r="F52" s="16">
        <v>2839.01</v>
      </c>
      <c r="G52" s="16">
        <v>373.24</v>
      </c>
      <c r="H52" s="16">
        <v>23.23</v>
      </c>
      <c r="I52" s="16">
        <v>1873.74</v>
      </c>
      <c r="J52" s="14">
        <v>965.63</v>
      </c>
      <c r="K52" s="14">
        <v>1448.84</v>
      </c>
    </row>
    <row r="53" spans="1:20" ht="18" customHeight="1">
      <c r="A53" s="9">
        <v>44470</v>
      </c>
      <c r="B53" s="3">
        <v>1.1723330000000001</v>
      </c>
      <c r="C53" s="30" t="str">
        <f t="shared" si="2"/>
        <v/>
      </c>
      <c r="D53" s="41" t="str">
        <f t="shared" si="3"/>
        <v/>
      </c>
      <c r="E53" s="41" t="str">
        <f t="shared" si="4"/>
        <v/>
      </c>
      <c r="F53" s="16">
        <v>2970.68</v>
      </c>
      <c r="G53" s="16">
        <v>388.47</v>
      </c>
      <c r="H53" s="16">
        <v>18.55</v>
      </c>
      <c r="I53" s="16">
        <v>1948.02</v>
      </c>
      <c r="J53" s="14">
        <v>992.33</v>
      </c>
      <c r="K53" s="14">
        <v>1444.19</v>
      </c>
    </row>
    <row r="54" spans="1:20" ht="18" customHeight="1">
      <c r="A54" s="9">
        <v>44440</v>
      </c>
      <c r="B54" s="3">
        <v>1.2105570000000001</v>
      </c>
      <c r="C54" s="30" t="str">
        <f t="shared" si="2"/>
        <v/>
      </c>
      <c r="D54" s="41" t="str">
        <f t="shared" si="3"/>
        <v/>
      </c>
      <c r="E54" s="41" t="str">
        <f t="shared" si="4"/>
        <v/>
      </c>
      <c r="F54" s="16">
        <v>3068.82</v>
      </c>
      <c r="G54" s="16">
        <v>401.3</v>
      </c>
      <c r="H54" s="16">
        <v>17.350000000000001</v>
      </c>
      <c r="I54" s="16">
        <v>2015.02</v>
      </c>
      <c r="J54" s="14">
        <v>1003.27</v>
      </c>
      <c r="K54" s="14">
        <v>1475.06</v>
      </c>
    </row>
    <row r="55" spans="1:20" ht="18" customHeight="1">
      <c r="A55" s="9">
        <v>44409</v>
      </c>
      <c r="B55" s="3">
        <v>1.300484</v>
      </c>
      <c r="C55" s="30" t="str">
        <f t="shared" si="2"/>
        <v/>
      </c>
      <c r="D55" s="41" t="str">
        <f t="shared" si="3"/>
        <v/>
      </c>
      <c r="E55" s="41" t="str">
        <f t="shared" si="4"/>
        <v/>
      </c>
      <c r="F55" s="16">
        <v>3199.27</v>
      </c>
      <c r="G55" s="16">
        <v>419.79</v>
      </c>
      <c r="H55" s="16">
        <v>14.76</v>
      </c>
      <c r="I55" s="16">
        <v>2103.6999999999998</v>
      </c>
      <c r="J55" s="14">
        <v>1038.33</v>
      </c>
      <c r="K55" s="14">
        <v>1512.05</v>
      </c>
    </row>
    <row r="56" spans="1:20" ht="18" customHeight="1">
      <c r="A56" s="9">
        <v>44378</v>
      </c>
      <c r="B56" s="3">
        <v>1.2705679999999999</v>
      </c>
      <c r="C56" s="30" t="str">
        <f t="shared" si="2"/>
        <v/>
      </c>
      <c r="D56" s="41" t="str">
        <f t="shared" si="3"/>
        <v/>
      </c>
      <c r="E56" s="41" t="str">
        <f t="shared" si="4"/>
        <v/>
      </c>
      <c r="F56" s="16">
        <v>3202.32</v>
      </c>
      <c r="G56" s="16">
        <v>423.91</v>
      </c>
      <c r="H56" s="16">
        <v>17.3</v>
      </c>
      <c r="I56" s="16">
        <v>2128.27</v>
      </c>
      <c r="J56" s="14">
        <v>1031.1400000000001</v>
      </c>
      <c r="K56" s="14">
        <v>1452.86</v>
      </c>
    </row>
    <row r="57" spans="1:20" ht="18" customHeight="1">
      <c r="A57" s="9">
        <v>44348</v>
      </c>
      <c r="B57" s="3">
        <v>1.3026359999999999</v>
      </c>
      <c r="C57" s="30" t="str">
        <f t="shared" si="2"/>
        <v/>
      </c>
      <c r="D57" s="41" t="str">
        <f t="shared" si="3"/>
        <v/>
      </c>
      <c r="E57" s="41" t="str">
        <f t="shared" si="4"/>
        <v/>
      </c>
      <c r="F57" s="16">
        <v>3296.68</v>
      </c>
      <c r="G57" s="16">
        <v>438.84</v>
      </c>
      <c r="H57" s="16">
        <v>14.17</v>
      </c>
      <c r="I57" s="16">
        <v>2200.7399999999998</v>
      </c>
      <c r="J57" s="14">
        <v>1029.96</v>
      </c>
      <c r="K57" s="14">
        <v>1464.08</v>
      </c>
    </row>
    <row r="58" spans="1:20" ht="18" customHeight="1">
      <c r="A58" s="9">
        <v>44317</v>
      </c>
      <c r="B58" s="3">
        <v>1.2930200000000001</v>
      </c>
      <c r="C58" s="30" t="str">
        <f t="shared" si="2"/>
        <v/>
      </c>
      <c r="D58" s="41" t="str">
        <f t="shared" si="3"/>
        <v/>
      </c>
      <c r="E58" s="41" t="str">
        <f t="shared" si="4"/>
        <v/>
      </c>
      <c r="F58" s="16">
        <v>3203.92</v>
      </c>
      <c r="G58" s="16">
        <v>427.91</v>
      </c>
      <c r="H58" s="16">
        <v>17.04</v>
      </c>
      <c r="I58" s="16">
        <v>2141.91</v>
      </c>
      <c r="J58" s="14">
        <v>981.78</v>
      </c>
      <c r="K58" s="13">
        <v>1399.6</v>
      </c>
    </row>
    <row r="59" spans="1:20" ht="18" customHeight="1">
      <c r="A59" s="9">
        <v>44287</v>
      </c>
      <c r="B59" s="3">
        <v>1.281185</v>
      </c>
      <c r="C59" s="30" t="str">
        <f t="shared" si="2"/>
        <v/>
      </c>
      <c r="D59" s="41" t="str">
        <f t="shared" si="3"/>
        <v/>
      </c>
      <c r="E59" s="41" t="str">
        <f t="shared" si="4"/>
        <v/>
      </c>
      <c r="F59" s="16">
        <v>3147.86</v>
      </c>
      <c r="G59" s="16">
        <v>422.36</v>
      </c>
      <c r="H59" s="16">
        <v>18.84</v>
      </c>
      <c r="I59" s="16">
        <v>2113.87</v>
      </c>
      <c r="J59" s="14">
        <v>983.45</v>
      </c>
      <c r="K59" s="14">
        <v>1405.47</v>
      </c>
    </row>
    <row r="60" spans="1:20" ht="18" customHeight="1">
      <c r="A60" s="9">
        <v>44256</v>
      </c>
      <c r="B60" s="3">
        <v>1.2439530000000001</v>
      </c>
      <c r="C60" s="30" t="str">
        <f t="shared" si="2"/>
        <v/>
      </c>
      <c r="D60" s="41" t="str">
        <f t="shared" si="3"/>
        <v/>
      </c>
      <c r="E60" s="41" t="str">
        <f t="shared" si="4"/>
        <v/>
      </c>
      <c r="F60" s="16">
        <v>3061.42</v>
      </c>
      <c r="G60" s="16">
        <v>415.04</v>
      </c>
      <c r="H60" s="16">
        <v>20.440000000000001</v>
      </c>
      <c r="I60" s="16">
        <v>2076.56</v>
      </c>
      <c r="J60" s="14">
        <v>956.17</v>
      </c>
      <c r="K60" s="13">
        <v>1423.2</v>
      </c>
      <c r="T60" s="32"/>
    </row>
    <row r="61" spans="1:20" ht="18" customHeight="1">
      <c r="A61" s="9">
        <v>44228</v>
      </c>
      <c r="B61" s="3">
        <v>1.216664</v>
      </c>
      <c r="C61" s="30" t="str">
        <f t="shared" si="2"/>
        <v/>
      </c>
      <c r="D61" s="41" t="str">
        <f t="shared" si="3"/>
        <v/>
      </c>
      <c r="E61" s="41" t="str">
        <f t="shared" si="4"/>
        <v/>
      </c>
      <c r="F61" s="16">
        <v>3012.95</v>
      </c>
      <c r="G61" s="16">
        <v>409.91</v>
      </c>
      <c r="H61" s="16">
        <v>31.34</v>
      </c>
      <c r="I61" s="16">
        <v>2049.71</v>
      </c>
      <c r="J61" s="14">
        <v>913.94</v>
      </c>
      <c r="K61" s="14">
        <v>1363.12</v>
      </c>
      <c r="S61" s="33"/>
      <c r="T61" s="32"/>
    </row>
    <row r="62" spans="1:20" ht="18" customHeight="1">
      <c r="A62" s="9">
        <v>44197</v>
      </c>
      <c r="B62" s="3">
        <v>1.200699</v>
      </c>
      <c r="C62" s="30" t="str">
        <f t="shared" si="2"/>
        <v/>
      </c>
      <c r="D62" s="41" t="str">
        <f t="shared" si="3"/>
        <v/>
      </c>
      <c r="E62" s="41" t="str">
        <f t="shared" si="4"/>
        <v/>
      </c>
      <c r="F62" s="16">
        <v>2976.21</v>
      </c>
      <c r="G62" s="16">
        <v>404.56</v>
      </c>
      <c r="H62" s="16">
        <v>35.729999999999997</v>
      </c>
      <c r="I62" s="16">
        <v>2022.21</v>
      </c>
      <c r="J62" s="14">
        <v>928.73</v>
      </c>
      <c r="K62" s="14">
        <v>1427.72</v>
      </c>
      <c r="R62" s="33"/>
      <c r="S62" s="33"/>
      <c r="T62" s="32"/>
    </row>
    <row r="63" spans="1:20" ht="18" customHeight="1">
      <c r="A63" s="9">
        <v>44166</v>
      </c>
      <c r="B63" s="3">
        <v>1.1567099999999999</v>
      </c>
      <c r="C63" s="30" t="str">
        <f t="shared" si="2"/>
        <v/>
      </c>
      <c r="D63" s="41" t="str">
        <f t="shared" si="3"/>
        <v/>
      </c>
      <c r="E63" s="41" t="str">
        <f t="shared" si="4"/>
        <v/>
      </c>
      <c r="F63" s="16">
        <v>2873.47</v>
      </c>
      <c r="G63" s="16">
        <v>389.29</v>
      </c>
      <c r="H63" s="16">
        <v>22.09</v>
      </c>
      <c r="I63" s="16">
        <v>1945.71</v>
      </c>
      <c r="J63" s="14">
        <v>968.42</v>
      </c>
      <c r="K63" s="14">
        <v>1532.52</v>
      </c>
      <c r="Q63" s="33"/>
      <c r="R63" s="33"/>
      <c r="S63" s="33"/>
      <c r="T63" s="32"/>
    </row>
    <row r="64" spans="1:20" ht="18" customHeight="1">
      <c r="A64" s="9">
        <v>44136</v>
      </c>
      <c r="B64" s="3">
        <v>1.0639050000000001</v>
      </c>
      <c r="C64" s="30" t="str">
        <f t="shared" si="2"/>
        <v/>
      </c>
      <c r="D64" s="41" t="str">
        <f t="shared" si="3"/>
        <v/>
      </c>
      <c r="E64" s="41" t="str">
        <f t="shared" si="4"/>
        <v/>
      </c>
      <c r="F64" s="16">
        <v>2591.34</v>
      </c>
      <c r="G64" s="16">
        <v>346.05</v>
      </c>
      <c r="H64" s="16">
        <v>20.77</v>
      </c>
      <c r="I64" s="16">
        <v>1713.2</v>
      </c>
      <c r="J64" s="14">
        <v>886.11</v>
      </c>
      <c r="K64" s="14">
        <v>1348.49</v>
      </c>
      <c r="P64" s="33"/>
      <c r="Q64" s="33"/>
      <c r="R64" s="33"/>
      <c r="S64" s="33"/>
      <c r="T64" s="32"/>
    </row>
    <row r="65" spans="1:20" ht="18" customHeight="1">
      <c r="A65" s="9">
        <v>44105</v>
      </c>
      <c r="B65" s="3">
        <v>0.92899500000000002</v>
      </c>
      <c r="C65" s="30" t="str">
        <f t="shared" si="2"/>
        <v/>
      </c>
      <c r="D65" s="41" t="str">
        <f t="shared" si="3"/>
        <v/>
      </c>
      <c r="E65" s="41" t="str">
        <f t="shared" si="4"/>
        <v/>
      </c>
      <c r="F65" s="16">
        <v>2267.15</v>
      </c>
      <c r="G65" s="16">
        <v>301.60000000000002</v>
      </c>
      <c r="H65" s="16">
        <v>31.97</v>
      </c>
      <c r="I65" s="16">
        <v>1488.97</v>
      </c>
      <c r="J65" s="14">
        <v>792.65</v>
      </c>
      <c r="K65" s="14">
        <v>1203.73</v>
      </c>
      <c r="O65" s="33"/>
      <c r="P65" s="32"/>
      <c r="Q65" s="32"/>
      <c r="R65" s="32"/>
      <c r="S65" s="32"/>
      <c r="T65" s="32"/>
    </row>
    <row r="66" spans="1:20" ht="18" customHeight="1">
      <c r="A66" s="9">
        <v>44075</v>
      </c>
      <c r="B66" s="12">
        <v>0.94691700000000001</v>
      </c>
      <c r="C66" s="30" t="str">
        <f t="shared" si="2"/>
        <v/>
      </c>
      <c r="D66" s="41" t="str">
        <f t="shared" si="3"/>
        <v/>
      </c>
      <c r="E66" s="41" t="str">
        <f t="shared" si="4"/>
        <v/>
      </c>
      <c r="F66" s="16">
        <v>2327.89</v>
      </c>
      <c r="G66" s="16">
        <v>309.44</v>
      </c>
      <c r="H66" s="16">
        <v>24.15</v>
      </c>
      <c r="I66" s="16">
        <v>1529.18</v>
      </c>
      <c r="J66" s="14">
        <v>848.15</v>
      </c>
      <c r="K66" s="14">
        <v>1310.49</v>
      </c>
      <c r="N66" s="33"/>
      <c r="O66" s="33"/>
      <c r="P66" s="32"/>
      <c r="Q66" s="32"/>
      <c r="R66" s="32"/>
      <c r="S66" s="32"/>
      <c r="T66" s="32"/>
    </row>
    <row r="67" spans="1:20" ht="18" customHeight="1">
      <c r="A67" s="9">
        <v>44044</v>
      </c>
      <c r="B67" s="12">
        <v>0.96567000000000003</v>
      </c>
      <c r="C67" s="30" t="str">
        <f t="shared" si="2"/>
        <v/>
      </c>
      <c r="D67" s="41" t="str">
        <f t="shared" si="3"/>
        <v/>
      </c>
      <c r="E67" s="41" t="str">
        <f t="shared" si="4"/>
        <v/>
      </c>
      <c r="F67" s="16">
        <v>2326.17</v>
      </c>
      <c r="G67" s="16">
        <v>307.14</v>
      </c>
      <c r="H67" s="16">
        <v>27.77</v>
      </c>
      <c r="I67" s="16">
        <v>1510.89</v>
      </c>
      <c r="J67" s="14">
        <v>848.24</v>
      </c>
      <c r="K67" s="14">
        <v>1336.94</v>
      </c>
      <c r="M67" s="33"/>
      <c r="N67" s="33"/>
      <c r="O67" s="33"/>
      <c r="P67" s="32"/>
      <c r="Q67" s="32"/>
      <c r="R67" s="32"/>
      <c r="S67" s="32"/>
      <c r="T67" s="32"/>
    </row>
    <row r="68" spans="1:20" ht="18" customHeight="1">
      <c r="A68" s="9">
        <v>44013</v>
      </c>
      <c r="B68" s="12">
        <v>0.93300700000000003</v>
      </c>
      <c r="C68" s="30" t="str">
        <f t="shared" ref="C68:C131" si="7">IF(B68&lt;=C$1, "Risk", "")</f>
        <v/>
      </c>
      <c r="D68" s="41" t="str">
        <f t="shared" si="3"/>
        <v/>
      </c>
      <c r="E68" s="41" t="str">
        <f t="shared" si="4"/>
        <v/>
      </c>
      <c r="F68" s="16">
        <v>2249.37</v>
      </c>
      <c r="G68" s="16">
        <v>299.32</v>
      </c>
      <c r="H68" s="16">
        <v>23.57</v>
      </c>
      <c r="I68" s="16">
        <v>1474.68</v>
      </c>
      <c r="J68" s="13">
        <v>815.3</v>
      </c>
      <c r="K68" s="14">
        <v>1277.58</v>
      </c>
      <c r="L68" s="33"/>
      <c r="M68" s="33"/>
      <c r="N68" s="33"/>
      <c r="O68" s="33"/>
      <c r="P68" s="32"/>
      <c r="Q68" s="32"/>
      <c r="R68" s="32"/>
      <c r="S68" s="32"/>
      <c r="T68" s="32"/>
    </row>
    <row r="69" spans="1:20" ht="18" customHeight="1">
      <c r="A69" s="9">
        <v>43983</v>
      </c>
      <c r="B69" s="12">
        <v>0.86749100000000001</v>
      </c>
      <c r="C69" s="30" t="str">
        <f t="shared" si="7"/>
        <v>Risk</v>
      </c>
      <c r="D69" s="41" t="str">
        <f t="shared" ref="D69:D132" si="8">IF(B69&lt;=D$1, "Risk", "")</f>
        <v/>
      </c>
      <c r="E69" s="41" t="str">
        <f t="shared" ref="E69:E132" si="9">IF(B69&lt;=E$1, "Risk", "")</f>
        <v/>
      </c>
      <c r="F69" s="16">
        <v>2108.33</v>
      </c>
      <c r="G69" s="16">
        <v>280.08999999999997</v>
      </c>
      <c r="H69" s="16">
        <v>31.07</v>
      </c>
      <c r="I69" s="16">
        <v>1383.3</v>
      </c>
      <c r="J69" s="14">
        <v>737.97</v>
      </c>
      <c r="K69" s="14">
        <v>1167.1400000000001</v>
      </c>
      <c r="L69" s="33"/>
      <c r="M69" s="33"/>
      <c r="N69" s="33"/>
      <c r="O69" s="33"/>
      <c r="P69" s="32"/>
      <c r="Q69" s="32"/>
      <c r="R69" s="32"/>
      <c r="S69" s="32"/>
      <c r="T69" s="32"/>
    </row>
    <row r="70" spans="1:20" ht="18" customHeight="1">
      <c r="A70" s="9">
        <v>43952</v>
      </c>
      <c r="B70" s="12">
        <v>0.83083600000000002</v>
      </c>
      <c r="C70" s="30" t="str">
        <f t="shared" si="7"/>
        <v>Risk</v>
      </c>
      <c r="D70" s="41" t="str">
        <f t="shared" si="8"/>
        <v>Risk</v>
      </c>
      <c r="E70" s="41" t="str">
        <f t="shared" si="9"/>
        <v/>
      </c>
      <c r="F70" s="16">
        <v>2029.6</v>
      </c>
      <c r="G70" s="16">
        <v>268.32</v>
      </c>
      <c r="H70" s="16">
        <v>25.64</v>
      </c>
      <c r="I70" s="16">
        <v>1311.92</v>
      </c>
      <c r="J70" s="14">
        <v>713.68</v>
      </c>
      <c r="K70" s="14">
        <v>1093.3800000000001</v>
      </c>
      <c r="L70" s="33"/>
      <c r="M70" s="33"/>
      <c r="N70" s="33"/>
      <c r="O70" s="33"/>
      <c r="P70" s="32"/>
      <c r="Q70" s="32"/>
      <c r="R70" s="32"/>
      <c r="S70" s="32"/>
      <c r="T70" s="32"/>
    </row>
    <row r="71" spans="1:20" ht="18" customHeight="1">
      <c r="A71" s="9">
        <v>43922</v>
      </c>
      <c r="B71" s="12">
        <v>0.79072900000000002</v>
      </c>
      <c r="C71" s="30" t="str">
        <f t="shared" si="7"/>
        <v>Risk</v>
      </c>
      <c r="D71" s="41" t="str">
        <f t="shared" si="8"/>
        <v>Risk</v>
      </c>
      <c r="E71" s="41" t="str">
        <f t="shared" si="9"/>
        <v>Risk</v>
      </c>
      <c r="F71" s="16">
        <v>1947.56</v>
      </c>
      <c r="G71" s="16">
        <v>258.14999999999998</v>
      </c>
      <c r="H71" s="16">
        <v>30.51</v>
      </c>
      <c r="I71" s="16">
        <v>1268.19</v>
      </c>
      <c r="J71" s="14">
        <v>645.17999999999995</v>
      </c>
      <c r="K71" s="13">
        <v>992.7</v>
      </c>
      <c r="L71" s="33"/>
      <c r="M71" s="33"/>
      <c r="N71" s="33"/>
      <c r="O71" s="33"/>
      <c r="P71" s="32"/>
      <c r="Q71" s="32"/>
      <c r="R71" s="32"/>
      <c r="S71" s="32"/>
      <c r="T71" s="32"/>
    </row>
    <row r="72" spans="1:20" ht="18" customHeight="1">
      <c r="A72" s="9">
        <v>43891</v>
      </c>
      <c r="B72" s="11">
        <v>0.71247499999999997</v>
      </c>
      <c r="C72" s="30" t="str">
        <f t="shared" si="7"/>
        <v>Risk</v>
      </c>
      <c r="D72" s="41" t="str">
        <f t="shared" si="8"/>
        <v>Risk</v>
      </c>
      <c r="E72" s="41" t="str">
        <f t="shared" si="9"/>
        <v>Risk</v>
      </c>
      <c r="F72" s="16">
        <v>1754.64</v>
      </c>
      <c r="G72" s="16">
        <v>236.82</v>
      </c>
      <c r="H72" s="16">
        <v>48.55</v>
      </c>
      <c r="I72" s="16">
        <v>1159.5999999999999</v>
      </c>
      <c r="J72" s="14">
        <v>569.07000000000005</v>
      </c>
      <c r="K72" s="13">
        <v>916.5</v>
      </c>
      <c r="L72" s="73">
        <f>1+(($I68/$I72)-1)*3</f>
        <v>1.8151431528113144</v>
      </c>
      <c r="M72" s="73">
        <f>1+(($I67/$I72)-1)*3</f>
        <v>1.9088220075888245</v>
      </c>
      <c r="N72" s="73">
        <f>1+(($I66/$I72)-1)*3</f>
        <v>1.9561400482925149</v>
      </c>
      <c r="O72" s="73">
        <f>1+(($I65/$I72)-1)*3</f>
        <v>1.8521127975163854</v>
      </c>
      <c r="P72" s="73">
        <f>1+(($I64/$I72)-1)*3</f>
        <v>2.4322180062090379</v>
      </c>
      <c r="Q72" s="73">
        <f>1+(($I63/$I72)-1)*3</f>
        <v>3.0337443946188341</v>
      </c>
      <c r="R72" s="73">
        <f>1+(($I62/$I72)-1)*3</f>
        <v>3.2316574680924459</v>
      </c>
      <c r="S72" s="73">
        <f>1+(($I61/$I72)-1)*3</f>
        <v>3.3028026905829599</v>
      </c>
      <c r="T72" s="73">
        <f>1+(($I60/$I72)-1)*3</f>
        <v>3.372266298723698</v>
      </c>
    </row>
    <row r="73" spans="1:20" ht="18" customHeight="1">
      <c r="A73" s="9">
        <v>43862</v>
      </c>
      <c r="B73" s="3">
        <v>0.806952</v>
      </c>
      <c r="C73" s="30" t="str">
        <f t="shared" si="7"/>
        <v>Risk</v>
      </c>
      <c r="D73" s="41" t="str">
        <f t="shared" si="8"/>
        <v>Risk</v>
      </c>
      <c r="E73" s="41" t="str">
        <f t="shared" si="9"/>
        <v/>
      </c>
      <c r="F73" s="16">
        <v>1987.01</v>
      </c>
      <c r="G73" s="16">
        <v>268.02</v>
      </c>
      <c r="H73" s="16">
        <v>33.81</v>
      </c>
      <c r="I73" s="16">
        <v>1312.77</v>
      </c>
      <c r="J73" s="14">
        <v>610.73</v>
      </c>
      <c r="K73" s="14">
        <v>927.48</v>
      </c>
      <c r="N73" s="33"/>
      <c r="O73" s="33"/>
      <c r="P73" s="32"/>
      <c r="Q73" s="32"/>
      <c r="R73" s="32"/>
      <c r="S73" s="32"/>
      <c r="T73" s="32"/>
    </row>
    <row r="74" spans="1:20" ht="18" customHeight="1">
      <c r="A74" s="9">
        <v>43831</v>
      </c>
      <c r="B74" s="11">
        <v>0.85994499999999996</v>
      </c>
      <c r="C74" s="30" t="str">
        <f t="shared" si="7"/>
        <v>Risk</v>
      </c>
      <c r="D74" s="41" t="str">
        <f t="shared" si="8"/>
        <v/>
      </c>
      <c r="E74" s="41" t="str">
        <f t="shared" si="9"/>
        <v/>
      </c>
      <c r="F74" s="16">
        <v>2119.0100000000002</v>
      </c>
      <c r="G74" s="16">
        <v>284.52999999999997</v>
      </c>
      <c r="H74" s="16">
        <v>19.29</v>
      </c>
      <c r="I74" s="16">
        <v>1397.56</v>
      </c>
      <c r="J74" s="14">
        <v>642.48</v>
      </c>
      <c r="K74" s="14">
        <v>958.52</v>
      </c>
      <c r="M74" s="33"/>
      <c r="N74" s="33"/>
      <c r="O74" s="33"/>
      <c r="P74" s="32"/>
      <c r="Q74" s="32"/>
      <c r="R74" s="32"/>
      <c r="S74" s="32"/>
      <c r="T74" s="32"/>
    </row>
    <row r="75" spans="1:20" ht="18" customHeight="1">
      <c r="A75" s="9">
        <v>43800</v>
      </c>
      <c r="B75" s="11">
        <v>0.89135299999999995</v>
      </c>
      <c r="C75" s="30" t="str">
        <f t="shared" si="7"/>
        <v>Risk</v>
      </c>
      <c r="D75" s="41" t="str">
        <f t="shared" si="8"/>
        <v/>
      </c>
      <c r="E75" s="41" t="str">
        <f t="shared" si="9"/>
        <v/>
      </c>
      <c r="F75" s="16">
        <v>2197.67</v>
      </c>
      <c r="G75" s="16">
        <v>293.77</v>
      </c>
      <c r="H75" s="16">
        <v>14.69</v>
      </c>
      <c r="I75" s="16">
        <v>1446.82</v>
      </c>
      <c r="J75" s="14">
        <v>669.83</v>
      </c>
      <c r="K75" s="14">
        <v>1029.57</v>
      </c>
      <c r="L75" s="33"/>
      <c r="M75" s="33"/>
      <c r="N75" s="33"/>
      <c r="O75" s="33"/>
      <c r="P75" s="32"/>
      <c r="Q75" s="32"/>
      <c r="R75" s="32"/>
      <c r="S75" s="32"/>
      <c r="T75" s="32"/>
    </row>
    <row r="76" spans="1:20" ht="18" customHeight="1">
      <c r="A76" s="9">
        <v>43770</v>
      </c>
      <c r="B76" s="11">
        <v>0.86090999999999995</v>
      </c>
      <c r="C76" s="30" t="str">
        <f t="shared" si="7"/>
        <v>Risk</v>
      </c>
      <c r="D76" s="41" t="str">
        <f t="shared" si="8"/>
        <v/>
      </c>
      <c r="E76" s="41" t="str">
        <f t="shared" si="9"/>
        <v/>
      </c>
      <c r="F76" s="16">
        <v>2087.96</v>
      </c>
      <c r="G76" s="16">
        <v>276.77999999999997</v>
      </c>
      <c r="H76" s="16">
        <v>13.96</v>
      </c>
      <c r="I76" s="16">
        <v>1347.44</v>
      </c>
      <c r="J76" s="14">
        <v>632.99</v>
      </c>
      <c r="K76" s="14">
        <v>946.89</v>
      </c>
      <c r="L76" s="33"/>
      <c r="M76" s="33"/>
      <c r="N76" s="33"/>
      <c r="O76" s="33"/>
      <c r="P76" s="32"/>
      <c r="Q76" s="32"/>
      <c r="R76" s="32"/>
      <c r="S76" s="32"/>
      <c r="T76" s="32"/>
    </row>
    <row r="77" spans="1:20" ht="18" customHeight="1">
      <c r="A77" s="9">
        <v>43739</v>
      </c>
      <c r="B77" s="11">
        <v>0.85831400000000002</v>
      </c>
      <c r="C77" s="30" t="str">
        <f t="shared" si="7"/>
        <v>Risk</v>
      </c>
      <c r="D77" s="41" t="str">
        <f t="shared" si="8"/>
        <v/>
      </c>
      <c r="E77" s="41" t="str">
        <f t="shared" si="9"/>
        <v/>
      </c>
      <c r="F77" s="16">
        <v>2083.48</v>
      </c>
      <c r="G77" s="16">
        <v>275.82</v>
      </c>
      <c r="H77" s="16">
        <v>13.59</v>
      </c>
      <c r="I77" s="16">
        <v>1342.34</v>
      </c>
      <c r="J77" s="14">
        <v>658.52</v>
      </c>
      <c r="K77" s="14">
        <v>1016.62</v>
      </c>
      <c r="L77" s="33"/>
      <c r="M77" s="33"/>
      <c r="N77" s="33"/>
      <c r="O77" s="33"/>
      <c r="P77" s="32"/>
      <c r="Q77" s="32"/>
      <c r="R77" s="32"/>
      <c r="S77" s="32"/>
      <c r="T77" s="32"/>
    </row>
    <row r="78" spans="1:20" ht="18" customHeight="1">
      <c r="A78" s="9">
        <v>43709</v>
      </c>
      <c r="B78" s="11">
        <v>0.84934799999999999</v>
      </c>
      <c r="C78" s="30" t="str">
        <f t="shared" si="7"/>
        <v>Risk</v>
      </c>
      <c r="D78" s="41" t="str">
        <f t="shared" si="8"/>
        <v>Risk</v>
      </c>
      <c r="E78" s="41" t="str">
        <f t="shared" si="9"/>
        <v/>
      </c>
      <c r="F78" s="16">
        <v>2063.0500000000002</v>
      </c>
      <c r="G78" s="16">
        <v>273.55</v>
      </c>
      <c r="H78" s="16">
        <v>15.15</v>
      </c>
      <c r="I78" s="16">
        <v>1330.93</v>
      </c>
      <c r="J78" s="14">
        <v>621.76</v>
      </c>
      <c r="K78" s="14">
        <v>894.36</v>
      </c>
      <c r="L78" s="33"/>
      <c r="M78" s="33"/>
      <c r="N78" s="33"/>
      <c r="O78" s="33"/>
      <c r="P78" s="32"/>
      <c r="Q78" s="32"/>
      <c r="R78" s="32"/>
      <c r="S78" s="32"/>
      <c r="T78" s="32"/>
    </row>
    <row r="79" spans="1:20" ht="18" customHeight="1">
      <c r="A79" s="9">
        <v>43678</v>
      </c>
      <c r="B79" s="11">
        <v>0.826874</v>
      </c>
      <c r="C79" s="30" t="str">
        <f t="shared" si="7"/>
        <v>Risk</v>
      </c>
      <c r="D79" s="41" t="str">
        <f t="shared" si="8"/>
        <v>Risk</v>
      </c>
      <c r="E79" s="41" t="str">
        <f t="shared" si="9"/>
        <v/>
      </c>
      <c r="F79" s="16">
        <v>1967.79</v>
      </c>
      <c r="G79" s="16">
        <v>259</v>
      </c>
      <c r="H79" s="16">
        <v>15.75</v>
      </c>
      <c r="I79" s="16">
        <v>1258.81</v>
      </c>
      <c r="J79" s="14">
        <v>610.54999999999995</v>
      </c>
      <c r="K79" s="14">
        <v>891.39</v>
      </c>
      <c r="L79" s="35">
        <f>1+(($I75/$I79)-1)*2</f>
        <v>1.2987106870774778</v>
      </c>
      <c r="M79" s="35">
        <f>1+(($I74/$I79)-1)*2</f>
        <v>1.2204462945162495</v>
      </c>
      <c r="N79" s="35">
        <f>1+(($I73/$I79)-1)*2</f>
        <v>1.0857317625376348</v>
      </c>
      <c r="O79" s="35">
        <f>1+(($I72/$I79)-1)*2</f>
        <v>0.84237494141292157</v>
      </c>
      <c r="P79" s="35">
        <f t="shared" ref="P79:T79" si="10">1+(($I72/$I79)-1)*2</f>
        <v>0.84237494141292157</v>
      </c>
      <c r="Q79" s="35">
        <f t="shared" si="10"/>
        <v>0.84237494141292157</v>
      </c>
      <c r="R79" s="35">
        <f t="shared" si="10"/>
        <v>0.84237494141292157</v>
      </c>
      <c r="S79" s="35">
        <f t="shared" si="10"/>
        <v>0.84237494141292157</v>
      </c>
      <c r="T79" s="35">
        <f t="shared" si="10"/>
        <v>0.84237494141292157</v>
      </c>
    </row>
    <row r="80" spans="1:20" ht="18" customHeight="1">
      <c r="A80" s="9">
        <v>43647</v>
      </c>
      <c r="B80" s="3">
        <v>0.85062599999999999</v>
      </c>
      <c r="C80" s="30" t="str">
        <f t="shared" si="7"/>
        <v>Risk</v>
      </c>
      <c r="D80" s="41" t="str">
        <f t="shared" si="8"/>
        <v/>
      </c>
      <c r="E80" s="41" t="str">
        <f t="shared" si="9"/>
        <v/>
      </c>
      <c r="F80" s="16">
        <v>2024.55</v>
      </c>
      <c r="G80" s="16">
        <v>266.33999999999997</v>
      </c>
      <c r="H80" s="16">
        <v>15.29</v>
      </c>
      <c r="I80" s="16">
        <v>1296.21</v>
      </c>
      <c r="J80" s="14">
        <v>630.17999999999995</v>
      </c>
      <c r="K80" s="14">
        <v>939.73</v>
      </c>
      <c r="L80" s="33"/>
      <c r="M80" s="33"/>
      <c r="N80" s="33"/>
      <c r="O80" s="33"/>
      <c r="P80" s="32"/>
      <c r="Q80" s="32"/>
      <c r="R80" s="32"/>
      <c r="S80" s="32"/>
      <c r="T80" s="32"/>
    </row>
    <row r="81" spans="1:20" ht="18" customHeight="1">
      <c r="A81" s="9">
        <v>43617</v>
      </c>
      <c r="B81" s="3">
        <v>0.89509099999999997</v>
      </c>
      <c r="C81" s="30" t="str">
        <f t="shared" si="7"/>
        <v>Risk</v>
      </c>
      <c r="D81" s="41" t="str">
        <f t="shared" si="8"/>
        <v/>
      </c>
      <c r="E81" s="41" t="str">
        <f t="shared" si="9"/>
        <v/>
      </c>
      <c r="F81" s="16">
        <v>2130.62</v>
      </c>
      <c r="G81" s="16">
        <v>277.5</v>
      </c>
      <c r="H81" s="16">
        <v>14.43</v>
      </c>
      <c r="I81" s="16">
        <v>1352.31</v>
      </c>
      <c r="J81" s="14">
        <v>690.53</v>
      </c>
      <c r="K81" s="14">
        <v>1012.74</v>
      </c>
      <c r="L81" s="33"/>
      <c r="M81" s="33"/>
      <c r="N81" s="33"/>
      <c r="O81" s="33"/>
      <c r="P81" s="32"/>
      <c r="Q81" s="32"/>
      <c r="R81" s="32"/>
      <c r="S81" s="32"/>
      <c r="T81" s="32"/>
    </row>
    <row r="82" spans="1:20" ht="18" customHeight="1">
      <c r="A82" s="9">
        <v>43586</v>
      </c>
      <c r="B82" s="3">
        <v>0.87327999999999995</v>
      </c>
      <c r="C82" s="30" t="str">
        <f t="shared" si="7"/>
        <v>Risk</v>
      </c>
      <c r="D82" s="41" t="str">
        <f t="shared" si="8"/>
        <v/>
      </c>
      <c r="E82" s="41" t="str">
        <f t="shared" si="9"/>
        <v/>
      </c>
      <c r="F82" s="16">
        <v>2041.74</v>
      </c>
      <c r="G82" s="16">
        <v>263.89</v>
      </c>
      <c r="H82" s="16">
        <v>17.32</v>
      </c>
      <c r="I82" s="16">
        <v>1280.67</v>
      </c>
      <c r="J82" s="14">
        <v>696.47</v>
      </c>
      <c r="K82" s="14">
        <v>1075.28</v>
      </c>
      <c r="L82" s="34">
        <f>$I79/$I82</f>
        <v>0.98293080965432145</v>
      </c>
      <c r="M82" s="34">
        <f t="shared" ref="M82:N82" si="11">$I79/$I82</f>
        <v>0.98293080965432145</v>
      </c>
      <c r="N82" s="34">
        <f t="shared" si="11"/>
        <v>0.98293080965432145</v>
      </c>
      <c r="O82" s="33"/>
      <c r="P82" s="33"/>
      <c r="Q82" s="33"/>
      <c r="R82" s="33"/>
      <c r="S82" s="33"/>
      <c r="T82" s="32"/>
    </row>
    <row r="83" spans="1:20" ht="18" customHeight="1">
      <c r="A83" s="9">
        <v>43556</v>
      </c>
      <c r="B83" s="3">
        <v>0.947048</v>
      </c>
      <c r="C83" s="30" t="str">
        <f t="shared" si="7"/>
        <v/>
      </c>
      <c r="D83" s="41" t="str">
        <f t="shared" si="8"/>
        <v/>
      </c>
      <c r="E83" s="41" t="str">
        <f t="shared" si="9"/>
        <v/>
      </c>
      <c r="F83" s="16">
        <v>2203.59</v>
      </c>
      <c r="G83" s="16">
        <v>284.92</v>
      </c>
      <c r="H83" s="16">
        <v>13.28</v>
      </c>
      <c r="I83" s="16">
        <v>1387.11</v>
      </c>
      <c r="J83" s="14">
        <v>754.74</v>
      </c>
      <c r="K83" s="14">
        <v>1207.56</v>
      </c>
      <c r="N83" s="33"/>
      <c r="O83" s="33"/>
      <c r="P83" s="33"/>
      <c r="Q83" s="33"/>
      <c r="R83" s="33"/>
      <c r="S83" s="33"/>
      <c r="T83" s="32"/>
    </row>
    <row r="84" spans="1:20" ht="18" customHeight="1">
      <c r="A84" s="9">
        <v>43525</v>
      </c>
      <c r="B84" s="3">
        <v>0.91991199999999995</v>
      </c>
      <c r="C84" s="30" t="str">
        <f t="shared" si="7"/>
        <v/>
      </c>
      <c r="D84" s="41" t="str">
        <f t="shared" si="8"/>
        <v/>
      </c>
      <c r="E84" s="41" t="str">
        <f t="shared" si="9"/>
        <v/>
      </c>
      <c r="F84" s="16">
        <v>2140.67</v>
      </c>
      <c r="G84" s="16">
        <v>276.48</v>
      </c>
      <c r="H84" s="16">
        <v>14.29</v>
      </c>
      <c r="I84" s="16">
        <v>1347.26</v>
      </c>
      <c r="J84" s="14">
        <v>729.31</v>
      </c>
      <c r="K84" s="13">
        <v>1193.9000000000001</v>
      </c>
      <c r="M84" s="33"/>
      <c r="N84" s="33"/>
      <c r="O84" s="33"/>
      <c r="P84" s="33"/>
      <c r="Q84" s="33"/>
      <c r="R84" s="33"/>
      <c r="S84" s="33"/>
      <c r="T84" s="32"/>
    </row>
    <row r="85" spans="1:20" ht="18" customHeight="1">
      <c r="A85" s="9">
        <v>43497</v>
      </c>
      <c r="B85" s="3">
        <v>0.94048799999999999</v>
      </c>
      <c r="C85" s="30" t="str">
        <f t="shared" si="7"/>
        <v/>
      </c>
      <c r="D85" s="41" t="str">
        <f t="shared" si="8"/>
        <v/>
      </c>
      <c r="E85" s="41" t="str">
        <f t="shared" si="9"/>
        <v/>
      </c>
      <c r="F85" s="16">
        <v>2195.44</v>
      </c>
      <c r="G85" s="16">
        <v>283.8</v>
      </c>
      <c r="H85" s="16">
        <v>15.49</v>
      </c>
      <c r="I85" s="16">
        <v>1383.39</v>
      </c>
      <c r="J85" s="14">
        <v>731.25</v>
      </c>
      <c r="K85" s="14">
        <v>1235.26</v>
      </c>
      <c r="L85" s="33"/>
      <c r="M85" s="33"/>
      <c r="N85" s="33"/>
      <c r="O85" s="33"/>
      <c r="P85" s="32"/>
      <c r="Q85" s="32"/>
      <c r="R85" s="32"/>
      <c r="S85" s="32"/>
      <c r="T85" s="32"/>
    </row>
    <row r="86" spans="1:20" ht="18" customHeight="1">
      <c r="A86" s="9">
        <v>43466</v>
      </c>
      <c r="B86" s="3">
        <v>0.93744499999999997</v>
      </c>
      <c r="C86" s="30" t="str">
        <f t="shared" si="7"/>
        <v/>
      </c>
      <c r="D86" s="41" t="str">
        <f t="shared" si="8"/>
        <v/>
      </c>
      <c r="E86" s="41" t="str">
        <f t="shared" si="9"/>
        <v/>
      </c>
      <c r="F86" s="16">
        <v>2204.85</v>
      </c>
      <c r="G86" s="16">
        <v>285.89</v>
      </c>
      <c r="H86" s="16">
        <v>15.51</v>
      </c>
      <c r="I86" s="16">
        <v>1398.5</v>
      </c>
      <c r="J86" s="14">
        <v>716.86</v>
      </c>
      <c r="K86" s="14">
        <v>1191.47</v>
      </c>
      <c r="L86" s="33"/>
      <c r="M86" s="33"/>
      <c r="N86" s="33"/>
      <c r="O86" s="33"/>
      <c r="P86" s="32"/>
      <c r="Q86" s="32"/>
      <c r="R86" s="32"/>
      <c r="S86" s="32"/>
      <c r="T86" s="32"/>
    </row>
    <row r="87" spans="1:20" ht="18" customHeight="1">
      <c r="A87" s="9">
        <v>43435</v>
      </c>
      <c r="B87" s="3">
        <v>0.867363</v>
      </c>
      <c r="C87" s="30" t="str">
        <f t="shared" si="7"/>
        <v>Risk</v>
      </c>
      <c r="D87" s="41" t="str">
        <f t="shared" si="8"/>
        <v/>
      </c>
      <c r="E87" s="41" t="str">
        <f t="shared" si="9"/>
        <v/>
      </c>
      <c r="F87" s="16">
        <v>2041.04</v>
      </c>
      <c r="G87" s="16">
        <v>261.98</v>
      </c>
      <c r="H87" s="16">
        <v>18.989999999999998</v>
      </c>
      <c r="I87" s="16">
        <v>1276.9000000000001</v>
      </c>
      <c r="J87" s="14">
        <v>675.65</v>
      </c>
      <c r="K87" s="14">
        <v>1166.25</v>
      </c>
      <c r="L87" s="33"/>
      <c r="M87" s="33"/>
      <c r="N87" s="33"/>
      <c r="O87" s="33"/>
      <c r="P87" s="32"/>
      <c r="Q87" s="32"/>
      <c r="R87" s="32"/>
      <c r="S87" s="32"/>
      <c r="T87" s="32"/>
    </row>
    <row r="88" spans="1:20" ht="18" customHeight="1">
      <c r="A88" s="9">
        <v>43405</v>
      </c>
      <c r="B88" s="3">
        <v>0.92381400000000002</v>
      </c>
      <c r="C88" s="30" t="str">
        <f t="shared" si="7"/>
        <v/>
      </c>
      <c r="D88" s="41" t="str">
        <f t="shared" si="8"/>
        <v/>
      </c>
      <c r="E88" s="41" t="str">
        <f t="shared" si="9"/>
        <v/>
      </c>
      <c r="F88" s="16">
        <v>2096.86</v>
      </c>
      <c r="G88" s="16">
        <v>271.35000000000002</v>
      </c>
      <c r="H88" s="16">
        <v>18.57</v>
      </c>
      <c r="I88" s="16">
        <v>1309.6300000000001</v>
      </c>
      <c r="J88" s="14">
        <v>695.76</v>
      </c>
      <c r="K88" s="14">
        <v>1186.6300000000001</v>
      </c>
      <c r="L88" s="33"/>
      <c r="M88" s="33"/>
      <c r="N88" s="33"/>
      <c r="O88" s="33"/>
      <c r="P88" s="32"/>
      <c r="Q88" s="32"/>
      <c r="R88" s="32"/>
      <c r="S88" s="32"/>
      <c r="T88" s="32"/>
    </row>
    <row r="89" spans="1:20" ht="18" customHeight="1">
      <c r="A89" s="9">
        <v>43374</v>
      </c>
      <c r="B89" s="3">
        <v>0.89380899999999996</v>
      </c>
      <c r="C89" s="30" t="str">
        <f t="shared" si="7"/>
        <v>Risk</v>
      </c>
      <c r="D89" s="41" t="str">
        <f t="shared" si="8"/>
        <v/>
      </c>
      <c r="E89" s="41" t="str">
        <f t="shared" si="9"/>
        <v/>
      </c>
      <c r="F89" s="16">
        <v>2029.69</v>
      </c>
      <c r="G89" s="16">
        <v>264.01</v>
      </c>
      <c r="H89" s="16">
        <v>20.49</v>
      </c>
      <c r="I89" s="16">
        <v>1273.47</v>
      </c>
      <c r="J89" s="14">
        <v>648.66999999999996</v>
      </c>
      <c r="K89" s="14">
        <v>1124.49</v>
      </c>
      <c r="L89" s="34">
        <f>$I85/$I89</f>
        <v>1.0863153431176236</v>
      </c>
      <c r="M89" s="34">
        <f>$I84/$I89</f>
        <v>1.0579440426551077</v>
      </c>
      <c r="N89" s="34">
        <f>$I83/$I89</f>
        <v>1.089236495559377</v>
      </c>
      <c r="O89" s="34">
        <f>$I79/$I89</f>
        <v>0.98848814656018591</v>
      </c>
      <c r="P89" s="34">
        <f t="shared" ref="P89:T89" si="12">$I79/$I89</f>
        <v>0.98848814656018591</v>
      </c>
      <c r="Q89" s="34">
        <f t="shared" si="12"/>
        <v>0.98848814656018591</v>
      </c>
      <c r="R89" s="34">
        <f t="shared" si="12"/>
        <v>0.98848814656018591</v>
      </c>
      <c r="S89" s="34">
        <f t="shared" si="12"/>
        <v>0.98848814656018591</v>
      </c>
      <c r="T89" s="34">
        <f t="shared" si="12"/>
        <v>0.98848814656018591</v>
      </c>
    </row>
    <row r="90" spans="1:20" ht="18" customHeight="1">
      <c r="A90" s="9">
        <v>43344</v>
      </c>
      <c r="B90" s="3">
        <v>1.030465</v>
      </c>
      <c r="C90" s="30" t="str">
        <f t="shared" si="7"/>
        <v/>
      </c>
      <c r="D90" s="41" t="str">
        <f t="shared" si="8"/>
        <v/>
      </c>
      <c r="E90" s="41" t="str">
        <f t="shared" si="9"/>
        <v/>
      </c>
      <c r="F90" s="16">
        <v>2343.0700000000002</v>
      </c>
      <c r="G90" s="16">
        <v>300.51</v>
      </c>
      <c r="H90" s="16">
        <v>11.24</v>
      </c>
      <c r="I90" s="16">
        <v>1454.29</v>
      </c>
      <c r="J90" s="14">
        <v>822.27</v>
      </c>
      <c r="K90" s="14">
        <v>1411.73</v>
      </c>
    </row>
    <row r="91" spans="1:20" ht="18" customHeight="1">
      <c r="A91" s="9">
        <v>43313</v>
      </c>
      <c r="B91" s="3">
        <v>1.0442990000000001</v>
      </c>
      <c r="C91" s="30" t="str">
        <f t="shared" si="7"/>
        <v/>
      </c>
      <c r="D91" s="41" t="str">
        <f t="shared" si="8"/>
        <v/>
      </c>
      <c r="E91" s="41" t="str">
        <f t="shared" si="9"/>
        <v/>
      </c>
      <c r="F91" s="16">
        <v>2322.88</v>
      </c>
      <c r="G91" s="16">
        <v>300.07</v>
      </c>
      <c r="H91" s="16">
        <v>11.64</v>
      </c>
      <c r="I91" s="16">
        <v>1445.99</v>
      </c>
      <c r="J91" s="14">
        <v>816.97</v>
      </c>
      <c r="K91" s="14">
        <v>1376.46</v>
      </c>
    </row>
    <row r="92" spans="1:20" ht="18" customHeight="1">
      <c r="A92" s="9">
        <v>43282</v>
      </c>
      <c r="B92" s="3">
        <v>1.0321480000000001</v>
      </c>
      <c r="C92" s="30" t="str">
        <f t="shared" si="7"/>
        <v/>
      </c>
      <c r="D92" s="41" t="str">
        <f t="shared" si="8"/>
        <v/>
      </c>
      <c r="E92" s="41" t="str">
        <f t="shared" si="9"/>
        <v/>
      </c>
      <c r="F92" s="16">
        <v>2295.2600000000002</v>
      </c>
      <c r="G92" s="16">
        <v>297.45</v>
      </c>
      <c r="H92" s="16">
        <v>13.05</v>
      </c>
      <c r="I92" s="16">
        <v>1438.27</v>
      </c>
      <c r="J92" s="14">
        <v>775.52</v>
      </c>
      <c r="K92" s="14">
        <v>1265.58</v>
      </c>
    </row>
    <row r="93" spans="1:20" ht="18" customHeight="1">
      <c r="A93" s="9">
        <v>43252</v>
      </c>
      <c r="B93" s="3">
        <v>1.0479160000000001</v>
      </c>
      <c r="C93" s="30" t="str">
        <f t="shared" si="7"/>
        <v/>
      </c>
      <c r="D93" s="41" t="str">
        <f t="shared" si="8"/>
        <v/>
      </c>
      <c r="E93" s="41" t="str">
        <f t="shared" si="9"/>
        <v/>
      </c>
      <c r="F93" s="16">
        <v>2326.13</v>
      </c>
      <c r="G93" s="16">
        <v>299.66000000000003</v>
      </c>
      <c r="H93" s="16">
        <v>16.04</v>
      </c>
      <c r="I93" s="16">
        <v>1448.16</v>
      </c>
      <c r="J93" s="14">
        <v>818.22</v>
      </c>
      <c r="K93" s="14">
        <v>1391.83</v>
      </c>
    </row>
    <row r="94" spans="1:20" ht="18" customHeight="1">
      <c r="A94" s="9">
        <v>43221</v>
      </c>
      <c r="B94" s="3">
        <v>1.1065240000000001</v>
      </c>
      <c r="C94" s="30" t="str">
        <f t="shared" si="7"/>
        <v/>
      </c>
      <c r="D94" s="41" t="str">
        <f t="shared" si="8"/>
        <v/>
      </c>
      <c r="E94" s="41" t="str">
        <f t="shared" si="9"/>
        <v/>
      </c>
      <c r="F94" s="16">
        <v>2423.0100000000002</v>
      </c>
      <c r="G94" s="16">
        <v>310.92</v>
      </c>
      <c r="H94" s="16">
        <v>14.55</v>
      </c>
      <c r="I94" s="16">
        <v>1498.26</v>
      </c>
      <c r="J94" s="14">
        <v>879.66</v>
      </c>
      <c r="K94" s="13">
        <v>1491.9</v>
      </c>
    </row>
    <row r="95" spans="1:20" ht="18" customHeight="1">
      <c r="A95" s="9">
        <v>43191</v>
      </c>
      <c r="B95" s="3">
        <v>1.1569799999999999</v>
      </c>
      <c r="C95" s="30" t="str">
        <f t="shared" si="7"/>
        <v/>
      </c>
      <c r="D95" s="41" t="str">
        <f t="shared" si="8"/>
        <v/>
      </c>
      <c r="E95" s="41" t="str">
        <f t="shared" si="9"/>
        <v/>
      </c>
      <c r="F95" s="16">
        <v>2515.38</v>
      </c>
      <c r="G95" s="16">
        <v>323.56</v>
      </c>
      <c r="H95" s="16">
        <v>13.59</v>
      </c>
      <c r="I95" s="16">
        <v>1558.62</v>
      </c>
      <c r="J95" s="14">
        <v>875.95</v>
      </c>
      <c r="K95" s="14">
        <v>1495.09</v>
      </c>
    </row>
    <row r="96" spans="1:20" ht="18" customHeight="1">
      <c r="A96" s="9">
        <v>43160</v>
      </c>
      <c r="B96" s="3">
        <v>1.1228480000000001</v>
      </c>
      <c r="C96" s="30" t="str">
        <f t="shared" si="7"/>
        <v/>
      </c>
      <c r="D96" s="41" t="str">
        <f t="shared" si="8"/>
        <v/>
      </c>
      <c r="E96" s="41" t="str">
        <f t="shared" si="9"/>
        <v/>
      </c>
      <c r="F96" s="16">
        <v>2445.85</v>
      </c>
      <c r="G96" s="16">
        <v>314.61</v>
      </c>
      <c r="H96" s="16">
        <v>17.54</v>
      </c>
      <c r="I96" s="16">
        <v>1524.33</v>
      </c>
      <c r="J96" s="14">
        <v>871.09</v>
      </c>
      <c r="K96" s="14">
        <v>1551.48</v>
      </c>
    </row>
    <row r="97" spans="1:11" ht="18" customHeight="1">
      <c r="A97" s="9">
        <v>43132</v>
      </c>
      <c r="B97" s="3">
        <v>1.113524</v>
      </c>
      <c r="C97" s="30" t="str">
        <f t="shared" si="7"/>
        <v/>
      </c>
      <c r="D97" s="41" t="str">
        <f t="shared" si="8"/>
        <v/>
      </c>
      <c r="E97" s="41" t="str">
        <f t="shared" si="9"/>
        <v/>
      </c>
      <c r="F97" s="16">
        <v>2427.36</v>
      </c>
      <c r="G97" s="16">
        <v>312.86</v>
      </c>
      <c r="H97" s="16">
        <v>15.55</v>
      </c>
      <c r="I97" s="16">
        <v>1515.9</v>
      </c>
      <c r="J97" s="14">
        <v>857.06</v>
      </c>
      <c r="K97" s="13">
        <v>1535.3</v>
      </c>
    </row>
    <row r="98" spans="1:11" ht="18" customHeight="1">
      <c r="A98" s="9">
        <v>43101</v>
      </c>
      <c r="B98" s="3">
        <v>1.152892</v>
      </c>
      <c r="C98" s="30" t="str">
        <f t="shared" si="7"/>
        <v/>
      </c>
      <c r="D98" s="41" t="str">
        <f t="shared" si="8"/>
        <v/>
      </c>
      <c r="E98" s="41" t="str">
        <f t="shared" si="9"/>
        <v/>
      </c>
      <c r="F98" s="16">
        <v>2566.46</v>
      </c>
      <c r="G98" s="16">
        <v>333.38</v>
      </c>
      <c r="H98" s="16">
        <v>14.54</v>
      </c>
      <c r="I98" s="16">
        <v>1622.47</v>
      </c>
      <c r="J98" s="14">
        <v>913.57</v>
      </c>
      <c r="K98" s="14">
        <v>1664.36</v>
      </c>
    </row>
    <row r="99" spans="1:11" ht="18" customHeight="1">
      <c r="A99" s="9">
        <v>43070</v>
      </c>
      <c r="B99" s="3">
        <v>1.1098110000000001</v>
      </c>
      <c r="C99" s="30" t="str">
        <f t="shared" si="7"/>
        <v/>
      </c>
      <c r="D99" s="41" t="str">
        <f t="shared" si="8"/>
        <v/>
      </c>
      <c r="E99" s="41" t="str">
        <f t="shared" si="9"/>
        <v/>
      </c>
      <c r="F99" s="16">
        <v>2467.4899999999998</v>
      </c>
      <c r="G99" s="16">
        <v>324.74</v>
      </c>
      <c r="H99" s="16">
        <v>12.06</v>
      </c>
      <c r="I99" s="16">
        <v>1579.84</v>
      </c>
      <c r="J99" s="14">
        <v>798.42</v>
      </c>
      <c r="K99" s="13">
        <v>1413.8</v>
      </c>
    </row>
    <row r="100" spans="1:11" ht="18" customHeight="1">
      <c r="A100" s="9">
        <v>43040</v>
      </c>
      <c r="B100" s="3">
        <v>1.1375059999999999</v>
      </c>
      <c r="C100" s="30" t="str">
        <f t="shared" si="7"/>
        <v/>
      </c>
      <c r="D100" s="41" t="str">
        <f t="shared" si="8"/>
        <v/>
      </c>
      <c r="E100" s="41" t="str">
        <f t="shared" si="9"/>
        <v/>
      </c>
      <c r="F100" s="16">
        <v>2476.37</v>
      </c>
      <c r="G100" s="16">
        <v>325.25</v>
      </c>
      <c r="H100" s="16">
        <v>13.2</v>
      </c>
      <c r="I100" s="16">
        <v>1565.29</v>
      </c>
      <c r="J100" s="14">
        <v>771.42</v>
      </c>
      <c r="K100" s="14">
        <v>1348.84</v>
      </c>
    </row>
    <row r="101" spans="1:11" ht="18" customHeight="1">
      <c r="A101" s="9">
        <v>43009</v>
      </c>
      <c r="B101" s="3">
        <v>1.1598539999999999</v>
      </c>
      <c r="C101" s="30" t="str">
        <f t="shared" si="7"/>
        <v/>
      </c>
      <c r="D101" s="41" t="str">
        <f t="shared" si="8"/>
        <v/>
      </c>
      <c r="E101" s="41" t="str">
        <f t="shared" si="9"/>
        <v/>
      </c>
      <c r="F101" s="16">
        <v>2523.4299999999998</v>
      </c>
      <c r="G101" s="16">
        <v>333.57</v>
      </c>
      <c r="H101" s="16">
        <v>12.06</v>
      </c>
      <c r="I101" s="16">
        <v>1607.59</v>
      </c>
      <c r="J101" s="13">
        <v>694.2</v>
      </c>
      <c r="K101" s="14">
        <v>1196.8599999999999</v>
      </c>
    </row>
    <row r="102" spans="1:11" ht="18" customHeight="1">
      <c r="A102" s="9">
        <v>42979</v>
      </c>
      <c r="B102" s="3">
        <v>1.1000099999999999</v>
      </c>
      <c r="C102" s="30" t="str">
        <f t="shared" si="7"/>
        <v/>
      </c>
      <c r="D102" s="41" t="str">
        <f t="shared" si="8"/>
        <v/>
      </c>
      <c r="E102" s="41" t="str">
        <f t="shared" si="9"/>
        <v/>
      </c>
      <c r="F102" s="16">
        <v>2394.4699999999998</v>
      </c>
      <c r="G102" s="16">
        <v>316.27</v>
      </c>
      <c r="H102" s="16">
        <v>13.41</v>
      </c>
      <c r="I102" s="16">
        <v>1527.07</v>
      </c>
      <c r="J102" s="14">
        <v>652.82000000000005</v>
      </c>
      <c r="K102" s="14">
        <v>1074.79</v>
      </c>
    </row>
    <row r="103" spans="1:11" ht="18" customHeight="1">
      <c r="A103" s="9">
        <v>42948</v>
      </c>
      <c r="B103" s="3">
        <v>1.1288959999999999</v>
      </c>
      <c r="C103" s="30" t="str">
        <f t="shared" si="7"/>
        <v/>
      </c>
      <c r="D103" s="41" t="str">
        <f t="shared" si="8"/>
        <v/>
      </c>
      <c r="E103" s="41" t="str">
        <f t="shared" si="9"/>
        <v/>
      </c>
      <c r="F103" s="16">
        <v>2363.19</v>
      </c>
      <c r="G103" s="16">
        <v>308.27999999999997</v>
      </c>
      <c r="H103" s="16">
        <v>13.64</v>
      </c>
      <c r="I103" s="16">
        <v>1485.29</v>
      </c>
      <c r="J103" s="14">
        <v>657.83</v>
      </c>
      <c r="K103" s="14">
        <v>1034.49</v>
      </c>
    </row>
    <row r="104" spans="1:11" ht="18" customHeight="1">
      <c r="A104" s="9">
        <v>42917</v>
      </c>
      <c r="B104" s="3">
        <v>1.1488400000000001</v>
      </c>
      <c r="C104" s="30" t="str">
        <f t="shared" si="7"/>
        <v/>
      </c>
      <c r="D104" s="41" t="str">
        <f t="shared" si="8"/>
        <v/>
      </c>
      <c r="E104" s="41" t="str">
        <f t="shared" si="9"/>
        <v/>
      </c>
      <c r="F104" s="16">
        <v>2402.71</v>
      </c>
      <c r="G104" s="16">
        <v>314.60000000000002</v>
      </c>
      <c r="H104" s="16">
        <v>12.79</v>
      </c>
      <c r="I104" s="16">
        <v>1518.56</v>
      </c>
      <c r="J104" s="14">
        <v>650.47</v>
      </c>
      <c r="K104" s="14">
        <v>1008.63</v>
      </c>
    </row>
    <row r="105" spans="1:11" ht="18" customHeight="1">
      <c r="A105" s="9">
        <v>42887</v>
      </c>
      <c r="B105" s="3">
        <v>1.144647</v>
      </c>
      <c r="C105" s="30" t="str">
        <f t="shared" si="7"/>
        <v/>
      </c>
      <c r="D105" s="41" t="str">
        <f t="shared" si="8"/>
        <v/>
      </c>
      <c r="E105" s="41" t="str">
        <f t="shared" si="9"/>
        <v/>
      </c>
      <c r="F105" s="16">
        <v>2391.79</v>
      </c>
      <c r="G105" s="16">
        <v>311.76</v>
      </c>
      <c r="H105" s="16">
        <v>12</v>
      </c>
      <c r="I105" s="16">
        <v>1508.92</v>
      </c>
      <c r="J105" s="14">
        <v>669.04</v>
      </c>
      <c r="K105" s="14">
        <v>1031.51</v>
      </c>
    </row>
    <row r="106" spans="1:11" ht="18" customHeight="1">
      <c r="A106" s="9">
        <v>42856</v>
      </c>
      <c r="B106" s="3">
        <v>1.1169709999999999</v>
      </c>
      <c r="C106" s="30" t="str">
        <f t="shared" si="7"/>
        <v/>
      </c>
      <c r="D106" s="41" t="str">
        <f t="shared" si="8"/>
        <v/>
      </c>
      <c r="E106" s="41" t="str">
        <f t="shared" si="9"/>
        <v/>
      </c>
      <c r="F106" s="16">
        <v>2347.38</v>
      </c>
      <c r="G106" s="16">
        <v>304.67</v>
      </c>
      <c r="H106" s="16">
        <v>13.18</v>
      </c>
      <c r="I106" s="16">
        <v>1475.69</v>
      </c>
      <c r="J106" s="14">
        <v>652.04</v>
      </c>
      <c r="K106" s="14">
        <v>988.04</v>
      </c>
    </row>
    <row r="107" spans="1:11" ht="18" customHeight="1">
      <c r="A107" s="9">
        <v>42826</v>
      </c>
      <c r="B107" s="3">
        <v>1.0832040000000001</v>
      </c>
      <c r="C107" s="30" t="str">
        <f t="shared" si="7"/>
        <v/>
      </c>
      <c r="D107" s="41" t="str">
        <f t="shared" si="8"/>
        <v/>
      </c>
      <c r="E107" s="41" t="str">
        <f t="shared" si="9"/>
        <v/>
      </c>
      <c r="F107" s="16">
        <v>2205.44</v>
      </c>
      <c r="G107" s="16">
        <v>287.20999999999998</v>
      </c>
      <c r="H107" s="16">
        <v>12.27</v>
      </c>
      <c r="I107" s="16">
        <v>1392.27</v>
      </c>
      <c r="J107" s="14">
        <v>628.24</v>
      </c>
      <c r="K107" s="14">
        <v>940.33</v>
      </c>
    </row>
    <row r="108" spans="1:11" ht="18" customHeight="1">
      <c r="A108" s="9">
        <v>42795</v>
      </c>
      <c r="B108" s="3">
        <v>1.062262</v>
      </c>
      <c r="C108" s="30" t="str">
        <f t="shared" si="7"/>
        <v/>
      </c>
      <c r="D108" s="41" t="str">
        <f t="shared" si="8"/>
        <v/>
      </c>
      <c r="E108" s="41" t="str">
        <f t="shared" si="9"/>
        <v/>
      </c>
      <c r="F108" s="16">
        <v>2160.23</v>
      </c>
      <c r="G108" s="16">
        <v>280.64</v>
      </c>
      <c r="H108" s="16">
        <v>11.06</v>
      </c>
      <c r="I108" s="16">
        <v>1362.28</v>
      </c>
      <c r="J108" s="14">
        <v>619.28</v>
      </c>
      <c r="K108" s="14">
        <v>921.26</v>
      </c>
    </row>
    <row r="109" spans="1:11" ht="18" customHeight="1">
      <c r="A109" s="9">
        <v>42767</v>
      </c>
      <c r="B109" s="3">
        <v>1.0296369999999999</v>
      </c>
      <c r="C109" s="30" t="str">
        <f t="shared" si="7"/>
        <v/>
      </c>
      <c r="D109" s="41" t="str">
        <f t="shared" si="8"/>
        <v/>
      </c>
      <c r="E109" s="41" t="str">
        <f t="shared" si="9"/>
        <v/>
      </c>
      <c r="F109" s="16">
        <v>2091.64</v>
      </c>
      <c r="G109" s="16">
        <v>270.06</v>
      </c>
      <c r="H109" s="16">
        <v>10.64</v>
      </c>
      <c r="I109" s="16">
        <v>1307.68</v>
      </c>
      <c r="J109" s="13">
        <v>612.20000000000005</v>
      </c>
      <c r="K109" s="14">
        <v>916.75</v>
      </c>
    </row>
    <row r="110" spans="1:11" ht="18" customHeight="1">
      <c r="A110" s="9">
        <v>42736</v>
      </c>
      <c r="B110" s="3">
        <v>1.0175460000000001</v>
      </c>
      <c r="C110" s="30" t="str">
        <f t="shared" si="7"/>
        <v/>
      </c>
      <c r="D110" s="41" t="str">
        <f t="shared" si="8"/>
        <v/>
      </c>
      <c r="E110" s="41" t="str">
        <f t="shared" si="9"/>
        <v/>
      </c>
      <c r="F110" s="16">
        <v>2067.5700000000002</v>
      </c>
      <c r="G110" s="16">
        <v>268.08999999999997</v>
      </c>
      <c r="H110" s="16">
        <v>12.53</v>
      </c>
      <c r="I110" s="16">
        <v>1305.02</v>
      </c>
      <c r="J110" s="14">
        <v>616.13</v>
      </c>
      <c r="K110" s="14">
        <v>904.84</v>
      </c>
    </row>
    <row r="111" spans="1:11" ht="18" customHeight="1">
      <c r="A111" s="9">
        <v>42705</v>
      </c>
      <c r="B111" s="3">
        <v>0.99650899999999998</v>
      </c>
      <c r="C111" s="30" t="str">
        <f t="shared" si="7"/>
        <v/>
      </c>
      <c r="D111" s="41" t="str">
        <f t="shared" si="8"/>
        <v/>
      </c>
      <c r="E111" s="41" t="str">
        <f t="shared" si="9"/>
        <v/>
      </c>
      <c r="F111" s="16">
        <v>2026.46</v>
      </c>
      <c r="G111" s="16">
        <v>260.01</v>
      </c>
      <c r="H111" s="16">
        <v>11.51</v>
      </c>
      <c r="I111" s="16">
        <v>1260.6600000000001</v>
      </c>
      <c r="J111" s="14">
        <v>631.44000000000005</v>
      </c>
      <c r="K111" s="14">
        <v>936.09</v>
      </c>
    </row>
    <row r="112" spans="1:11" ht="18" customHeight="1">
      <c r="A112" s="9">
        <v>42675</v>
      </c>
      <c r="B112" s="3">
        <v>0.98469499999999999</v>
      </c>
      <c r="C112" s="30" t="str">
        <f t="shared" si="7"/>
        <v/>
      </c>
      <c r="D112" s="41" t="str">
        <f t="shared" si="8"/>
        <v/>
      </c>
      <c r="E112" s="41" t="str">
        <f t="shared" si="9"/>
        <v/>
      </c>
      <c r="F112" s="16">
        <v>1983.48</v>
      </c>
      <c r="G112" s="16">
        <v>254.26</v>
      </c>
      <c r="H112" s="16">
        <v>12.8</v>
      </c>
      <c r="I112" s="16">
        <v>1218.23</v>
      </c>
      <c r="J112" s="14">
        <v>596.11</v>
      </c>
      <c r="K112" s="14">
        <v>892.08</v>
      </c>
    </row>
    <row r="113" spans="1:11" ht="18" customHeight="1">
      <c r="A113" s="9">
        <v>42644</v>
      </c>
      <c r="B113" s="3">
        <v>0.99016099999999996</v>
      </c>
      <c r="C113" s="30" t="str">
        <f t="shared" si="7"/>
        <v/>
      </c>
      <c r="D113" s="41" t="str">
        <f t="shared" si="8"/>
        <v/>
      </c>
      <c r="E113" s="41" t="str">
        <f t="shared" si="9"/>
        <v/>
      </c>
      <c r="F113" s="16">
        <v>2008.19</v>
      </c>
      <c r="G113" s="16">
        <v>255.93</v>
      </c>
      <c r="H113" s="16">
        <v>14.61</v>
      </c>
      <c r="I113" s="16">
        <v>1229.5</v>
      </c>
      <c r="J113" s="14">
        <v>624.67999999999995</v>
      </c>
      <c r="K113" s="14">
        <v>939.76</v>
      </c>
    </row>
    <row r="114" spans="1:11" ht="18" customHeight="1">
      <c r="A114" s="9">
        <v>42614</v>
      </c>
      <c r="B114" s="3">
        <v>1.081105</v>
      </c>
      <c r="C114" s="30" t="str">
        <f t="shared" si="7"/>
        <v/>
      </c>
      <c r="D114" s="41" t="str">
        <f t="shared" si="8"/>
        <v/>
      </c>
      <c r="E114" s="41" t="str">
        <f t="shared" si="9"/>
        <v/>
      </c>
      <c r="F114" s="16">
        <v>2043.63</v>
      </c>
      <c r="G114" s="16">
        <v>257.49</v>
      </c>
      <c r="H114" s="16">
        <v>14.11</v>
      </c>
      <c r="I114" s="16">
        <v>1237.6400000000001</v>
      </c>
      <c r="J114" s="14">
        <v>681.21</v>
      </c>
      <c r="K114" s="14">
        <v>1010.18</v>
      </c>
    </row>
    <row r="115" spans="1:11" ht="18" customHeight="1">
      <c r="A115" s="9">
        <v>42583</v>
      </c>
      <c r="B115" s="3">
        <v>1.076362</v>
      </c>
      <c r="C115" s="30" t="str">
        <f t="shared" si="7"/>
        <v/>
      </c>
      <c r="D115" s="41" t="str">
        <f t="shared" si="8"/>
        <v/>
      </c>
      <c r="E115" s="41" t="str">
        <f t="shared" si="9"/>
        <v/>
      </c>
      <c r="F115" s="16">
        <v>2034.65</v>
      </c>
      <c r="G115" s="16">
        <v>256.87</v>
      </c>
      <c r="H115" s="16">
        <v>11.56</v>
      </c>
      <c r="I115" s="16">
        <v>1234.47</v>
      </c>
      <c r="J115" s="14">
        <v>663.69</v>
      </c>
      <c r="K115" s="13">
        <v>997.9</v>
      </c>
    </row>
    <row r="116" spans="1:11" ht="18" customHeight="1">
      <c r="A116" s="9">
        <v>42552</v>
      </c>
      <c r="B116" s="3">
        <v>1.0668260000000001</v>
      </c>
      <c r="C116" s="30" t="str">
        <f t="shared" si="7"/>
        <v/>
      </c>
      <c r="D116" s="41" t="str">
        <f t="shared" si="8"/>
        <v/>
      </c>
      <c r="E116" s="41" t="str">
        <f t="shared" si="9"/>
        <v/>
      </c>
      <c r="F116" s="16">
        <v>2016.19</v>
      </c>
      <c r="G116" s="16">
        <v>251.48</v>
      </c>
      <c r="H116" s="16">
        <v>12.6</v>
      </c>
      <c r="I116" s="16">
        <v>1214.74</v>
      </c>
      <c r="J116" s="14">
        <v>706.24</v>
      </c>
      <c r="K116" s="15">
        <v>1058</v>
      </c>
    </row>
    <row r="117" spans="1:11" ht="18" customHeight="1">
      <c r="A117" s="9">
        <v>42522</v>
      </c>
      <c r="B117" s="3">
        <v>1.0395460000000001</v>
      </c>
      <c r="C117" s="30" t="str">
        <f t="shared" si="7"/>
        <v/>
      </c>
      <c r="D117" s="41" t="str">
        <f t="shared" si="8"/>
        <v/>
      </c>
      <c r="E117" s="41" t="str">
        <f t="shared" si="9"/>
        <v/>
      </c>
      <c r="F117" s="16">
        <v>1970.35</v>
      </c>
      <c r="G117" s="16">
        <v>244.14</v>
      </c>
      <c r="H117" s="16">
        <v>13.9</v>
      </c>
      <c r="I117" s="16">
        <v>1175.52</v>
      </c>
      <c r="J117" s="14">
        <v>675.09</v>
      </c>
      <c r="K117" s="14">
        <v>1032.75</v>
      </c>
    </row>
    <row r="118" spans="1:11" ht="18" customHeight="1">
      <c r="A118" s="9">
        <v>42491</v>
      </c>
      <c r="B118" s="3">
        <v>1.0459909999999999</v>
      </c>
      <c r="C118" s="30" t="str">
        <f t="shared" si="7"/>
        <v/>
      </c>
      <c r="D118" s="41" t="str">
        <f t="shared" si="8"/>
        <v/>
      </c>
      <c r="E118" s="41" t="str">
        <f t="shared" si="9"/>
        <v/>
      </c>
      <c r="F118" s="16">
        <v>1983.4</v>
      </c>
      <c r="G118" s="16">
        <v>243.63</v>
      </c>
      <c r="H118" s="16">
        <v>11.81</v>
      </c>
      <c r="I118" s="16">
        <v>1175.94</v>
      </c>
      <c r="J118" s="14">
        <v>698.45</v>
      </c>
      <c r="K118" s="14">
        <v>1068.73</v>
      </c>
    </row>
    <row r="119" spans="1:11" ht="18" customHeight="1">
      <c r="A119" s="9">
        <v>42461</v>
      </c>
      <c r="B119" s="3">
        <v>1.123364</v>
      </c>
      <c r="C119" s="30" t="str">
        <f t="shared" si="7"/>
        <v/>
      </c>
      <c r="D119" s="41" t="str">
        <f t="shared" si="8"/>
        <v/>
      </c>
      <c r="E119" s="41" t="str">
        <f t="shared" si="9"/>
        <v/>
      </c>
      <c r="F119" s="16">
        <v>1994.15</v>
      </c>
      <c r="G119" s="16">
        <v>245.2</v>
      </c>
      <c r="H119" s="16">
        <v>12.42</v>
      </c>
      <c r="I119" s="16">
        <v>1185.6099999999999</v>
      </c>
      <c r="J119" s="14">
        <v>699.77</v>
      </c>
      <c r="K119" s="14">
        <v>1065.27</v>
      </c>
    </row>
    <row r="120" spans="1:11" ht="18" customHeight="1">
      <c r="A120" s="9">
        <v>42430</v>
      </c>
      <c r="B120" s="3">
        <v>1.1237200000000001</v>
      </c>
      <c r="C120" s="30" t="str">
        <f t="shared" si="7"/>
        <v/>
      </c>
      <c r="D120" s="41" t="str">
        <f t="shared" si="8"/>
        <v/>
      </c>
      <c r="E120" s="41" t="str">
        <f t="shared" si="9"/>
        <v/>
      </c>
      <c r="F120" s="16">
        <v>1995.85</v>
      </c>
      <c r="G120" s="16">
        <v>245.86</v>
      </c>
      <c r="H120" s="16">
        <v>12.33</v>
      </c>
      <c r="I120" s="16">
        <v>1190.68</v>
      </c>
      <c r="J120" s="14">
        <v>688.38</v>
      </c>
      <c r="K120" s="14">
        <v>1073.68</v>
      </c>
    </row>
    <row r="121" spans="1:11" ht="18" customHeight="1">
      <c r="A121" s="9">
        <v>42401</v>
      </c>
      <c r="B121" s="3">
        <v>1.0790029999999999</v>
      </c>
      <c r="C121" s="30" t="str">
        <f t="shared" si="7"/>
        <v/>
      </c>
      <c r="D121" s="41" t="str">
        <f t="shared" si="8"/>
        <v/>
      </c>
      <c r="E121" s="41" t="str">
        <f t="shared" si="9"/>
        <v/>
      </c>
      <c r="F121" s="16">
        <v>1916.66</v>
      </c>
      <c r="G121" s="16">
        <v>234.63</v>
      </c>
      <c r="H121" s="16">
        <v>17.559999999999999</v>
      </c>
      <c r="I121" s="16">
        <v>1142.04</v>
      </c>
      <c r="J121" s="14">
        <v>651.62</v>
      </c>
      <c r="K121" s="14">
        <v>1045.53</v>
      </c>
    </row>
    <row r="122" spans="1:11" ht="18" customHeight="1">
      <c r="A122" s="9">
        <v>42370</v>
      </c>
      <c r="B122" s="3">
        <v>1.0715060000000001</v>
      </c>
      <c r="C122" s="30" t="str">
        <f t="shared" si="7"/>
        <v/>
      </c>
      <c r="D122" s="41" t="str">
        <f t="shared" si="8"/>
        <v/>
      </c>
      <c r="E122" s="41" t="str">
        <f t="shared" si="9"/>
        <v/>
      </c>
      <c r="F122" s="16">
        <v>1912.06</v>
      </c>
      <c r="G122" s="16">
        <v>232.1</v>
      </c>
      <c r="H122" s="16">
        <v>17.93</v>
      </c>
      <c r="I122" s="16">
        <v>1127.96</v>
      </c>
      <c r="J122" s="13">
        <v>682.8</v>
      </c>
      <c r="K122" s="14">
        <v>1128.24</v>
      </c>
    </row>
    <row r="123" spans="1:11" ht="18" customHeight="1">
      <c r="A123" s="9">
        <v>42339</v>
      </c>
      <c r="B123" s="3">
        <v>1.1016900000000001</v>
      </c>
      <c r="C123" s="30" t="str">
        <f t="shared" si="7"/>
        <v/>
      </c>
      <c r="D123" s="41" t="str">
        <f t="shared" si="8"/>
        <v/>
      </c>
      <c r="E123" s="41" t="str">
        <f t="shared" si="9"/>
        <v/>
      </c>
      <c r="F123" s="16">
        <v>1961.31</v>
      </c>
      <c r="G123" s="16">
        <v>240.38</v>
      </c>
      <c r="H123" s="16">
        <v>14.18</v>
      </c>
      <c r="I123" s="16">
        <v>1167.53</v>
      </c>
      <c r="J123" s="14">
        <v>682.35</v>
      </c>
      <c r="K123" s="14">
        <v>1095.46</v>
      </c>
    </row>
    <row r="124" spans="1:11" ht="18" customHeight="1">
      <c r="A124" s="9">
        <v>42309</v>
      </c>
      <c r="B124" s="3">
        <v>1.1182080000000001</v>
      </c>
      <c r="C124" s="30" t="str">
        <f t="shared" si="7"/>
        <v/>
      </c>
      <c r="D124" s="41" t="str">
        <f t="shared" si="8"/>
        <v/>
      </c>
      <c r="E124" s="41" t="str">
        <f t="shared" si="9"/>
        <v/>
      </c>
      <c r="F124" s="16">
        <v>1991.97</v>
      </c>
      <c r="G124" s="16">
        <v>244.24</v>
      </c>
      <c r="H124" s="16">
        <v>14.37</v>
      </c>
      <c r="I124" s="16">
        <v>1176.8</v>
      </c>
      <c r="J124" s="14">
        <v>688.38</v>
      </c>
      <c r="K124" s="14">
        <v>1102.28</v>
      </c>
    </row>
    <row r="125" spans="1:11" ht="18" customHeight="1">
      <c r="A125" s="9">
        <v>42278</v>
      </c>
      <c r="B125" s="3">
        <v>1.1388529999999999</v>
      </c>
      <c r="C125" s="30" t="str">
        <f t="shared" si="7"/>
        <v/>
      </c>
      <c r="D125" s="41" t="str">
        <f t="shared" si="8"/>
        <v/>
      </c>
      <c r="E125" s="41" t="str">
        <f t="shared" si="9"/>
        <v/>
      </c>
      <c r="F125" s="16">
        <v>2029.47</v>
      </c>
      <c r="G125" s="16">
        <v>249.41</v>
      </c>
      <c r="H125" s="16">
        <v>14.22</v>
      </c>
      <c r="I125" s="16">
        <v>1207.32</v>
      </c>
      <c r="J125" s="14">
        <v>683.63</v>
      </c>
      <c r="K125" s="14">
        <v>1069.95</v>
      </c>
    </row>
    <row r="126" spans="1:11" ht="18" customHeight="1">
      <c r="A126" s="9">
        <v>42248</v>
      </c>
      <c r="B126" s="3">
        <v>1.100371</v>
      </c>
      <c r="C126" s="30" t="str">
        <f t="shared" si="7"/>
        <v/>
      </c>
      <c r="D126" s="41" t="str">
        <f t="shared" si="8"/>
        <v/>
      </c>
      <c r="E126" s="41" t="str">
        <f t="shared" si="9"/>
        <v/>
      </c>
      <c r="F126" s="16">
        <v>1962.81</v>
      </c>
      <c r="G126" s="16">
        <v>236.71</v>
      </c>
      <c r="H126" s="16">
        <v>20.48</v>
      </c>
      <c r="I126" s="16">
        <v>1136.19</v>
      </c>
      <c r="J126" s="14">
        <v>678.48</v>
      </c>
      <c r="K126" s="14">
        <v>1068.3499999999999</v>
      </c>
    </row>
    <row r="127" spans="1:11" ht="18" customHeight="1">
      <c r="A127" s="9">
        <v>42217</v>
      </c>
      <c r="B127" s="3">
        <v>1.076578</v>
      </c>
      <c r="C127" s="30" t="str">
        <f t="shared" si="7"/>
        <v/>
      </c>
      <c r="D127" s="41" t="str">
        <f t="shared" si="8"/>
        <v/>
      </c>
      <c r="E127" s="41" t="str">
        <f t="shared" si="9"/>
        <v/>
      </c>
      <c r="F127" s="16">
        <v>1941.49</v>
      </c>
      <c r="G127" s="16">
        <v>232.8</v>
      </c>
      <c r="H127" s="16">
        <v>19.75</v>
      </c>
      <c r="I127" s="16">
        <v>1113.48</v>
      </c>
      <c r="J127" s="14">
        <v>687.11</v>
      </c>
      <c r="K127" s="14">
        <v>1115.31</v>
      </c>
    </row>
    <row r="128" spans="1:11" ht="18" customHeight="1">
      <c r="A128" s="9">
        <v>42186</v>
      </c>
      <c r="B128" s="3">
        <v>1.118217</v>
      </c>
      <c r="C128" s="30" t="str">
        <f t="shared" si="7"/>
        <v/>
      </c>
      <c r="D128" s="41" t="str">
        <f t="shared" si="8"/>
        <v/>
      </c>
      <c r="E128" s="41" t="str">
        <f t="shared" si="9"/>
        <v/>
      </c>
      <c r="F128" s="16">
        <v>2030.16</v>
      </c>
      <c r="G128" s="16">
        <v>244.3</v>
      </c>
      <c r="H128" s="16">
        <v>13.54</v>
      </c>
      <c r="I128" s="16">
        <v>1173</v>
      </c>
      <c r="J128" s="14">
        <v>725.06</v>
      </c>
      <c r="K128" s="14">
        <v>1163.3599999999999</v>
      </c>
    </row>
    <row r="129" spans="1:11" ht="18" customHeight="1">
      <c r="A129" s="9">
        <v>42156</v>
      </c>
      <c r="B129" s="3">
        <v>1.1449069999999999</v>
      </c>
      <c r="C129" s="30" t="str">
        <f t="shared" si="7"/>
        <v/>
      </c>
      <c r="D129" s="41" t="str">
        <f t="shared" si="8"/>
        <v/>
      </c>
      <c r="E129" s="41" t="str">
        <f t="shared" si="9"/>
        <v/>
      </c>
      <c r="F129" s="16">
        <v>2074.1999999999998</v>
      </c>
      <c r="G129" s="16">
        <v>252.27</v>
      </c>
      <c r="H129" s="16">
        <v>14.45</v>
      </c>
      <c r="I129" s="16">
        <v>1215.6500000000001</v>
      </c>
      <c r="J129" s="14">
        <v>742.27</v>
      </c>
      <c r="K129" s="14">
        <v>1139.1500000000001</v>
      </c>
    </row>
    <row r="130" spans="1:11" ht="18" customHeight="1">
      <c r="A130" s="9">
        <v>42125</v>
      </c>
      <c r="B130" s="3">
        <v>1.1653309999999999</v>
      </c>
      <c r="C130" s="30" t="str">
        <f t="shared" si="7"/>
        <v/>
      </c>
      <c r="D130" s="41" t="str">
        <f t="shared" si="8"/>
        <v/>
      </c>
      <c r="E130" s="41" t="str">
        <f t="shared" si="9"/>
        <v/>
      </c>
      <c r="F130" s="16">
        <v>2114.8000000000002</v>
      </c>
      <c r="G130" s="16">
        <v>260.39</v>
      </c>
      <c r="H130" s="16">
        <v>12.59</v>
      </c>
      <c r="I130" s="16">
        <v>1262.31</v>
      </c>
      <c r="J130" s="14">
        <v>711.39</v>
      </c>
      <c r="K130" s="14">
        <v>1129.76</v>
      </c>
    </row>
    <row r="131" spans="1:11" ht="18" customHeight="1">
      <c r="A131" s="9">
        <v>42095</v>
      </c>
      <c r="B131" s="3">
        <v>1.2403200000000001</v>
      </c>
      <c r="C131" s="30" t="str">
        <f t="shared" si="7"/>
        <v/>
      </c>
      <c r="D131" s="41" t="str">
        <f t="shared" si="8"/>
        <v/>
      </c>
      <c r="E131" s="41" t="str">
        <f t="shared" si="9"/>
        <v/>
      </c>
      <c r="F131" s="16">
        <v>2127.17</v>
      </c>
      <c r="G131" s="16">
        <v>266.42</v>
      </c>
      <c r="H131" s="16">
        <v>11.76</v>
      </c>
      <c r="I131" s="16">
        <v>1295.9000000000001</v>
      </c>
      <c r="J131" s="14">
        <v>689.01</v>
      </c>
      <c r="K131" s="13">
        <v>1104.2</v>
      </c>
    </row>
    <row r="132" spans="1:11" ht="18" customHeight="1">
      <c r="A132" s="9">
        <v>42064</v>
      </c>
      <c r="B132" s="3">
        <v>1.1897869999999999</v>
      </c>
      <c r="C132" s="30" t="str">
        <f t="shared" ref="C132:C195" si="13">IF(B132&lt;=C$1, "Risk", "")</f>
        <v/>
      </c>
      <c r="D132" s="41" t="str">
        <f t="shared" si="8"/>
        <v/>
      </c>
      <c r="E132" s="41" t="str">
        <f t="shared" si="9"/>
        <v/>
      </c>
      <c r="F132" s="16">
        <v>2041.03</v>
      </c>
      <c r="G132" s="16">
        <v>257.27999999999997</v>
      </c>
      <c r="H132" s="16">
        <v>11.09</v>
      </c>
      <c r="I132" s="16">
        <v>1244.9100000000001</v>
      </c>
      <c r="J132" s="14">
        <v>650.49</v>
      </c>
      <c r="K132" s="14">
        <v>1050.1199999999999</v>
      </c>
    </row>
    <row r="133" spans="1:11" ht="18" customHeight="1">
      <c r="A133" s="9">
        <v>42036</v>
      </c>
      <c r="B133" s="3">
        <v>1.1522790000000001</v>
      </c>
      <c r="C133" s="30" t="str">
        <f t="shared" si="13"/>
        <v/>
      </c>
      <c r="D133" s="41" t="str">
        <f t="shared" ref="D133:D196" si="14">IF(B133&lt;=D$1, "Risk", "")</f>
        <v/>
      </c>
      <c r="E133" s="41" t="str">
        <f t="shared" ref="E133:E196" si="15">IF(B133&lt;=E$1, "Risk", "")</f>
        <v/>
      </c>
      <c r="F133" s="16">
        <v>1985.8</v>
      </c>
      <c r="G133" s="16">
        <v>251.46</v>
      </c>
      <c r="H133" s="16">
        <v>11.11</v>
      </c>
      <c r="I133" s="16">
        <v>1223.93</v>
      </c>
      <c r="J133" s="14">
        <v>624.55999999999995</v>
      </c>
      <c r="K133" s="13">
        <v>1021.6</v>
      </c>
    </row>
    <row r="134" spans="1:11" ht="18" customHeight="1">
      <c r="A134" s="9">
        <v>42005</v>
      </c>
      <c r="B134" s="3">
        <v>1.1316949999999999</v>
      </c>
      <c r="C134" s="30" t="str">
        <f t="shared" si="13"/>
        <v/>
      </c>
      <c r="D134" s="41" t="str">
        <f t="shared" si="14"/>
        <v/>
      </c>
      <c r="E134" s="41" t="str">
        <f t="shared" si="15"/>
        <v/>
      </c>
      <c r="F134" s="16">
        <v>1949.26</v>
      </c>
      <c r="G134" s="16">
        <v>249.88</v>
      </c>
      <c r="H134" s="16">
        <v>13.67</v>
      </c>
      <c r="I134" s="16">
        <v>1219.56</v>
      </c>
      <c r="J134" s="14">
        <v>591.58000000000004</v>
      </c>
      <c r="K134" s="14">
        <v>965.87</v>
      </c>
    </row>
    <row r="135" spans="1:11" ht="18" customHeight="1">
      <c r="A135" s="9">
        <v>41974</v>
      </c>
      <c r="B135" s="3">
        <v>1.1122719999999999</v>
      </c>
      <c r="C135" s="30" t="str">
        <f t="shared" si="13"/>
        <v/>
      </c>
      <c r="D135" s="41" t="str">
        <f t="shared" si="14"/>
        <v/>
      </c>
      <c r="E135" s="41" t="str">
        <f t="shared" si="15"/>
        <v/>
      </c>
      <c r="F135" s="16">
        <v>1915.59</v>
      </c>
      <c r="G135" s="16">
        <v>244.05</v>
      </c>
      <c r="H135" s="16">
        <v>12.97</v>
      </c>
      <c r="I135" s="16">
        <v>1184.5999999999999</v>
      </c>
      <c r="J135" s="14">
        <v>542.97</v>
      </c>
      <c r="K135" s="14">
        <v>894.44</v>
      </c>
    </row>
    <row r="136" spans="1:11" ht="18" customHeight="1">
      <c r="A136" s="9">
        <v>41944</v>
      </c>
      <c r="B136" s="3">
        <v>1.139229</v>
      </c>
      <c r="C136" s="30" t="str">
        <f t="shared" si="13"/>
        <v/>
      </c>
      <c r="D136" s="41" t="str">
        <f t="shared" si="14"/>
        <v/>
      </c>
      <c r="E136" s="41" t="str">
        <f t="shared" si="15"/>
        <v/>
      </c>
      <c r="F136" s="16">
        <v>1980.78</v>
      </c>
      <c r="G136" s="16">
        <v>253.7</v>
      </c>
      <c r="H136" s="16">
        <v>11.59</v>
      </c>
      <c r="I136" s="16">
        <v>1226.24</v>
      </c>
      <c r="J136" s="14">
        <v>545.08000000000004</v>
      </c>
      <c r="K136" s="14">
        <v>896.82</v>
      </c>
    </row>
    <row r="137" spans="1:11" ht="18" customHeight="1">
      <c r="A137" s="9">
        <v>41913</v>
      </c>
      <c r="B137" s="3">
        <v>1.113874</v>
      </c>
      <c r="C137" s="30" t="str">
        <f t="shared" si="13"/>
        <v/>
      </c>
      <c r="D137" s="41" t="str">
        <f t="shared" si="14"/>
        <v/>
      </c>
      <c r="E137" s="41" t="str">
        <f t="shared" si="15"/>
        <v/>
      </c>
      <c r="F137" s="16">
        <v>1964.43</v>
      </c>
      <c r="G137" s="16">
        <v>250.45</v>
      </c>
      <c r="H137" s="16">
        <v>13.99</v>
      </c>
      <c r="I137" s="16">
        <v>1207.9000000000001</v>
      </c>
      <c r="J137" s="13">
        <v>558.70000000000005</v>
      </c>
      <c r="K137" s="14">
        <v>920.41</v>
      </c>
    </row>
    <row r="138" spans="1:11" ht="18" customHeight="1">
      <c r="A138" s="9">
        <v>41883</v>
      </c>
      <c r="B138" s="3">
        <v>1.145802</v>
      </c>
      <c r="C138" s="30" t="str">
        <f t="shared" si="13"/>
        <v/>
      </c>
      <c r="D138" s="41" t="str">
        <f t="shared" si="14"/>
        <v/>
      </c>
      <c r="E138" s="41" t="str">
        <f t="shared" si="15"/>
        <v/>
      </c>
      <c r="F138" s="16">
        <v>2020.09</v>
      </c>
      <c r="G138" s="16">
        <v>256.77</v>
      </c>
      <c r="H138" s="16">
        <v>12.69</v>
      </c>
      <c r="I138" s="16">
        <v>1240.73</v>
      </c>
      <c r="J138" s="14">
        <v>573.22</v>
      </c>
      <c r="K138" s="14">
        <v>954.34</v>
      </c>
    </row>
    <row r="139" spans="1:11" ht="18" customHeight="1">
      <c r="A139" s="9">
        <v>41852</v>
      </c>
      <c r="B139" s="3">
        <v>1.1735180000000001</v>
      </c>
      <c r="C139" s="30" t="str">
        <f t="shared" si="13"/>
        <v/>
      </c>
      <c r="D139" s="41" t="str">
        <f t="shared" si="14"/>
        <v/>
      </c>
      <c r="E139" s="41" t="str">
        <f t="shared" si="15"/>
        <v/>
      </c>
      <c r="F139" s="16">
        <v>2068.54</v>
      </c>
      <c r="G139" s="16">
        <v>265.41000000000003</v>
      </c>
      <c r="H139" s="16">
        <v>10.86</v>
      </c>
      <c r="I139" s="16">
        <v>1288.7</v>
      </c>
      <c r="J139" s="13">
        <v>570.20000000000005</v>
      </c>
      <c r="K139" s="14">
        <v>944.48</v>
      </c>
    </row>
    <row r="140" spans="1:11" ht="18" customHeight="1">
      <c r="A140" s="9">
        <v>41821</v>
      </c>
      <c r="B140" s="3">
        <v>1.176464</v>
      </c>
      <c r="C140" s="30" t="str">
        <f t="shared" si="13"/>
        <v/>
      </c>
      <c r="D140" s="41" t="str">
        <f t="shared" si="14"/>
        <v/>
      </c>
      <c r="E140" s="41" t="str">
        <f t="shared" si="15"/>
        <v/>
      </c>
      <c r="F140" s="16">
        <v>2076.12</v>
      </c>
      <c r="G140" s="16">
        <v>269.68</v>
      </c>
      <c r="H140" s="16">
        <v>12.69</v>
      </c>
      <c r="I140" s="16">
        <v>1318.05</v>
      </c>
      <c r="J140" s="14">
        <v>536.32000000000005</v>
      </c>
      <c r="K140" s="14">
        <v>877.17</v>
      </c>
    </row>
    <row r="141" spans="1:11" ht="18" customHeight="1">
      <c r="A141" s="9">
        <v>41791</v>
      </c>
      <c r="B141" s="3">
        <v>1.14174</v>
      </c>
      <c r="C141" s="30" t="str">
        <f t="shared" si="13"/>
        <v/>
      </c>
      <c r="D141" s="41" t="str">
        <f t="shared" si="14"/>
        <v/>
      </c>
      <c r="E141" s="41" t="str">
        <f t="shared" si="15"/>
        <v/>
      </c>
      <c r="F141" s="16">
        <v>2002.21</v>
      </c>
      <c r="G141" s="16">
        <v>260.56</v>
      </c>
      <c r="H141" s="16">
        <v>11.48</v>
      </c>
      <c r="I141" s="16">
        <v>1264.44</v>
      </c>
      <c r="J141" s="14">
        <v>537.05999999999995</v>
      </c>
      <c r="K141" s="14">
        <v>885.49</v>
      </c>
    </row>
    <row r="142" spans="1:11" ht="18" customHeight="1">
      <c r="A142" s="9">
        <v>41760</v>
      </c>
      <c r="B142" s="3">
        <v>1.137718</v>
      </c>
      <c r="C142" s="30" t="str">
        <f t="shared" si="13"/>
        <v/>
      </c>
      <c r="D142" s="41" t="str">
        <f t="shared" si="14"/>
        <v/>
      </c>
      <c r="E142" s="41" t="str">
        <f t="shared" si="15"/>
        <v/>
      </c>
      <c r="F142" s="16">
        <v>1994.96</v>
      </c>
      <c r="G142" s="16">
        <v>259.94</v>
      </c>
      <c r="H142" s="16">
        <v>10.86</v>
      </c>
      <c r="I142" s="16">
        <v>1273.0899999999999</v>
      </c>
      <c r="J142" s="14">
        <v>546.53</v>
      </c>
      <c r="K142" s="14">
        <v>900.98</v>
      </c>
    </row>
    <row r="143" spans="1:11" ht="18" customHeight="1">
      <c r="A143" s="9">
        <v>41730</v>
      </c>
      <c r="B143" s="3">
        <v>1.091137</v>
      </c>
      <c r="C143" s="30" t="str">
        <f t="shared" si="13"/>
        <v/>
      </c>
      <c r="D143" s="41" t="str">
        <f t="shared" si="14"/>
        <v/>
      </c>
      <c r="E143" s="41" t="str">
        <f t="shared" si="15"/>
        <v/>
      </c>
      <c r="F143" s="16">
        <v>1961.79</v>
      </c>
      <c r="G143" s="16">
        <v>255.33</v>
      </c>
      <c r="H143" s="16">
        <v>11.6</v>
      </c>
      <c r="I143" s="16">
        <v>1246.49</v>
      </c>
      <c r="J143" s="14">
        <v>559.34</v>
      </c>
      <c r="K143" s="14">
        <v>933.77</v>
      </c>
    </row>
    <row r="144" spans="1:11" ht="18" customHeight="1">
      <c r="A144" s="9">
        <v>41699</v>
      </c>
      <c r="B144" s="3">
        <v>1.179996</v>
      </c>
      <c r="C144" s="30" t="str">
        <f t="shared" si="13"/>
        <v/>
      </c>
      <c r="D144" s="41" t="str">
        <f t="shared" si="14"/>
        <v/>
      </c>
      <c r="E144" s="41" t="str">
        <f t="shared" si="15"/>
        <v/>
      </c>
      <c r="F144" s="16">
        <v>1985.61</v>
      </c>
      <c r="G144" s="16">
        <v>258.11</v>
      </c>
      <c r="H144" s="16">
        <v>13.82</v>
      </c>
      <c r="I144" s="16">
        <v>1261.1300000000001</v>
      </c>
      <c r="J144" s="14">
        <v>541.58000000000004</v>
      </c>
      <c r="K144" s="14">
        <v>903.93</v>
      </c>
    </row>
    <row r="145" spans="1:11" ht="18" customHeight="1">
      <c r="A145" s="9">
        <v>41671</v>
      </c>
      <c r="B145" s="3">
        <v>1.172771</v>
      </c>
      <c r="C145" s="30" t="str">
        <f t="shared" si="13"/>
        <v/>
      </c>
      <c r="D145" s="41" t="str">
        <f t="shared" si="14"/>
        <v/>
      </c>
      <c r="E145" s="41" t="str">
        <f t="shared" si="15"/>
        <v/>
      </c>
      <c r="F145" s="16">
        <v>1979.99</v>
      </c>
      <c r="G145" s="16">
        <v>258.41000000000003</v>
      </c>
      <c r="H145" s="16">
        <v>13.49</v>
      </c>
      <c r="I145" s="16">
        <v>1263.67</v>
      </c>
      <c r="J145" s="14">
        <v>528.96</v>
      </c>
      <c r="K145" s="14">
        <v>896.99</v>
      </c>
    </row>
    <row r="146" spans="1:11" ht="18" customHeight="1">
      <c r="A146" s="9">
        <v>41640</v>
      </c>
      <c r="B146" s="3">
        <v>1.150638</v>
      </c>
      <c r="C146" s="30" t="str">
        <f t="shared" si="13"/>
        <v/>
      </c>
      <c r="D146" s="41" t="str">
        <f t="shared" si="14"/>
        <v/>
      </c>
      <c r="E146" s="41" t="str">
        <f t="shared" si="15"/>
        <v/>
      </c>
      <c r="F146" s="16">
        <v>1941.15</v>
      </c>
      <c r="G146" s="16">
        <v>252.89</v>
      </c>
      <c r="H146" s="16">
        <v>14.43</v>
      </c>
      <c r="I146" s="16">
        <v>1248.94</v>
      </c>
      <c r="J146" s="13">
        <v>515.20000000000005</v>
      </c>
      <c r="K146" s="14">
        <v>884.82</v>
      </c>
    </row>
    <row r="147" spans="1:11" ht="18" customHeight="1">
      <c r="A147" s="9">
        <v>41609</v>
      </c>
      <c r="B147" s="3">
        <v>1.1950190000000001</v>
      </c>
      <c r="C147" s="30" t="str">
        <f t="shared" si="13"/>
        <v/>
      </c>
      <c r="D147" s="41" t="str">
        <f t="shared" si="14"/>
        <v/>
      </c>
      <c r="E147" s="41" t="str">
        <f t="shared" si="15"/>
        <v/>
      </c>
      <c r="F147" s="16">
        <v>2011.34</v>
      </c>
      <c r="G147" s="16">
        <v>264.24</v>
      </c>
      <c r="H147" s="16">
        <v>12.84</v>
      </c>
      <c r="I147" s="16">
        <v>1303.6600000000001</v>
      </c>
      <c r="J147" s="14">
        <v>499.99</v>
      </c>
      <c r="K147" s="14">
        <v>855.88</v>
      </c>
    </row>
    <row r="148" spans="1:11" ht="18" customHeight="1">
      <c r="A148" s="9">
        <v>41579</v>
      </c>
      <c r="B148" s="3">
        <v>1.2160010000000001</v>
      </c>
      <c r="C148" s="30" t="str">
        <f t="shared" si="13"/>
        <v/>
      </c>
      <c r="D148" s="41" t="str">
        <f t="shared" si="14"/>
        <v/>
      </c>
      <c r="E148" s="41" t="str">
        <f t="shared" si="15"/>
        <v/>
      </c>
      <c r="F148" s="16">
        <v>2044.87</v>
      </c>
      <c r="G148" s="16">
        <v>269.57</v>
      </c>
      <c r="H148" s="16">
        <v>14.42</v>
      </c>
      <c r="I148" s="16">
        <v>1322.13</v>
      </c>
      <c r="J148" s="14">
        <v>517.05999999999995</v>
      </c>
      <c r="K148" s="14">
        <v>885.35</v>
      </c>
    </row>
    <row r="149" spans="1:11" ht="18" customHeight="1">
      <c r="A149" s="9">
        <v>41548</v>
      </c>
      <c r="B149" s="3">
        <v>1.201624</v>
      </c>
      <c r="C149" s="30" t="str">
        <f t="shared" si="13"/>
        <v/>
      </c>
      <c r="D149" s="41" t="str">
        <f t="shared" si="14"/>
        <v/>
      </c>
      <c r="E149" s="41" t="str">
        <f t="shared" si="15"/>
        <v/>
      </c>
      <c r="F149" s="16">
        <v>2030.09</v>
      </c>
      <c r="G149" s="16">
        <v>266.91000000000003</v>
      </c>
      <c r="H149" s="16">
        <v>14.41</v>
      </c>
      <c r="I149" s="16">
        <v>1315.77</v>
      </c>
      <c r="J149" s="14">
        <v>532.44000000000005</v>
      </c>
      <c r="K149" s="14">
        <v>910.62</v>
      </c>
    </row>
    <row r="150" spans="1:11" ht="18" customHeight="1">
      <c r="A150" s="9">
        <v>41518</v>
      </c>
      <c r="B150" s="3">
        <v>1.1809989999999999</v>
      </c>
      <c r="C150" s="30" t="str">
        <f t="shared" si="13"/>
        <v/>
      </c>
      <c r="D150" s="41" t="str">
        <f t="shared" si="14"/>
        <v/>
      </c>
      <c r="E150" s="41" t="str">
        <f t="shared" si="15"/>
        <v/>
      </c>
      <c r="F150" s="16">
        <v>1996.96</v>
      </c>
      <c r="G150" s="16">
        <v>260.91000000000003</v>
      </c>
      <c r="H150" s="16">
        <v>15.38</v>
      </c>
      <c r="I150" s="16">
        <v>1287.3800000000001</v>
      </c>
      <c r="J150" s="14">
        <v>534.89</v>
      </c>
      <c r="K150" s="14">
        <v>917.72</v>
      </c>
    </row>
    <row r="151" spans="1:11" ht="18" customHeight="1">
      <c r="A151" s="9">
        <v>41487</v>
      </c>
      <c r="B151" s="3">
        <v>1.140471</v>
      </c>
      <c r="C151" s="30" t="str">
        <f t="shared" si="13"/>
        <v/>
      </c>
      <c r="D151" s="41" t="str">
        <f t="shared" si="14"/>
        <v/>
      </c>
      <c r="E151" s="41" t="str">
        <f t="shared" si="15"/>
        <v/>
      </c>
      <c r="F151" s="16">
        <v>1926.36</v>
      </c>
      <c r="G151" s="16">
        <v>251.74</v>
      </c>
      <c r="H151" s="16">
        <v>15.73</v>
      </c>
      <c r="I151" s="16">
        <v>1237.3499999999999</v>
      </c>
      <c r="J151" s="14">
        <v>516.74</v>
      </c>
      <c r="K151" s="13">
        <v>874.7</v>
      </c>
    </row>
    <row r="152" spans="1:11" ht="18" customHeight="1">
      <c r="A152" s="9">
        <v>41456</v>
      </c>
      <c r="B152" s="3">
        <v>1.1277759999999999</v>
      </c>
      <c r="C152" s="30" t="str">
        <f t="shared" si="13"/>
        <v/>
      </c>
      <c r="D152" s="41" t="str">
        <f t="shared" si="14"/>
        <v/>
      </c>
      <c r="E152" s="41" t="str">
        <f t="shared" si="15"/>
        <v/>
      </c>
      <c r="F152" s="16">
        <v>1914.03</v>
      </c>
      <c r="G152" s="16">
        <v>247.99</v>
      </c>
      <c r="H152" s="16">
        <v>16.260000000000002</v>
      </c>
      <c r="I152" s="16">
        <v>1224.78</v>
      </c>
      <c r="J152" s="14">
        <v>554.30999999999995</v>
      </c>
      <c r="K152" s="14">
        <v>961.94</v>
      </c>
    </row>
    <row r="153" spans="1:11" ht="18" customHeight="1">
      <c r="A153" s="9">
        <v>41426</v>
      </c>
      <c r="B153" s="3">
        <v>1.1070580000000001</v>
      </c>
      <c r="C153" s="30" t="str">
        <f t="shared" si="13"/>
        <v/>
      </c>
      <c r="D153" s="41" t="str">
        <f t="shared" si="14"/>
        <v/>
      </c>
      <c r="E153" s="41" t="str">
        <f t="shared" si="15"/>
        <v/>
      </c>
      <c r="F153" s="16">
        <v>1863.32</v>
      </c>
      <c r="G153" s="16">
        <v>242.27</v>
      </c>
      <c r="H153" s="16">
        <v>17.11</v>
      </c>
      <c r="I153" s="16">
        <v>1193.22</v>
      </c>
      <c r="J153" s="14">
        <v>519.05999999999995</v>
      </c>
      <c r="K153" s="14">
        <v>886.36</v>
      </c>
    </row>
    <row r="154" spans="1:11" ht="18" customHeight="1">
      <c r="A154" s="9">
        <v>41395</v>
      </c>
      <c r="B154" s="3">
        <v>1.186987</v>
      </c>
      <c r="C154" s="30" t="str">
        <f t="shared" si="13"/>
        <v/>
      </c>
      <c r="D154" s="41" t="str">
        <f t="shared" si="14"/>
        <v/>
      </c>
      <c r="E154" s="41" t="str">
        <f t="shared" si="15"/>
        <v/>
      </c>
      <c r="F154" s="16">
        <v>2001.05</v>
      </c>
      <c r="G154" s="16">
        <v>261.47000000000003</v>
      </c>
      <c r="H154" s="16">
        <v>14.16</v>
      </c>
      <c r="I154" s="16">
        <v>1300.8900000000001</v>
      </c>
      <c r="J154" s="14">
        <v>577.87</v>
      </c>
      <c r="K154" s="14">
        <v>980.29</v>
      </c>
    </row>
    <row r="155" spans="1:11" ht="18" customHeight="1">
      <c r="A155" s="9">
        <v>41365</v>
      </c>
      <c r="B155" s="3">
        <v>1.1660159999999999</v>
      </c>
      <c r="C155" s="30" t="str">
        <f t="shared" si="13"/>
        <v/>
      </c>
      <c r="D155" s="41" t="str">
        <f t="shared" si="14"/>
        <v/>
      </c>
      <c r="E155" s="41" t="str">
        <f t="shared" si="15"/>
        <v/>
      </c>
      <c r="F155" s="16">
        <v>1963.95</v>
      </c>
      <c r="G155" s="16">
        <v>255.72</v>
      </c>
      <c r="H155" s="16">
        <v>14.74</v>
      </c>
      <c r="I155" s="16">
        <v>1275.3499999999999</v>
      </c>
      <c r="J155" s="14">
        <v>563.87</v>
      </c>
      <c r="K155" s="14">
        <v>962.25</v>
      </c>
    </row>
    <row r="156" spans="1:11" ht="18" customHeight="1">
      <c r="A156" s="9">
        <v>41334</v>
      </c>
      <c r="B156" s="3">
        <v>1.2511699999999999</v>
      </c>
      <c r="C156" s="30" t="str">
        <f t="shared" si="13"/>
        <v/>
      </c>
      <c r="D156" s="41" t="str">
        <f t="shared" si="14"/>
        <v/>
      </c>
      <c r="E156" s="41" t="str">
        <f t="shared" si="15"/>
        <v/>
      </c>
      <c r="F156" s="16">
        <v>2004.89</v>
      </c>
      <c r="G156" s="16">
        <v>263.39</v>
      </c>
      <c r="H156" s="16">
        <v>14.34</v>
      </c>
      <c r="I156" s="16">
        <v>1313.78</v>
      </c>
      <c r="J156" s="14">
        <v>555.02</v>
      </c>
      <c r="K156" s="14">
        <v>973.03</v>
      </c>
    </row>
    <row r="157" spans="1:11" ht="18" customHeight="1">
      <c r="A157" s="9">
        <v>41306</v>
      </c>
      <c r="B157" s="3">
        <v>1.2645219999999999</v>
      </c>
      <c r="C157" s="30" t="str">
        <f t="shared" si="13"/>
        <v/>
      </c>
      <c r="D157" s="41" t="str">
        <f t="shared" si="14"/>
        <v/>
      </c>
      <c r="E157" s="41" t="str">
        <f t="shared" si="15"/>
        <v/>
      </c>
      <c r="F157" s="16">
        <v>2026.49</v>
      </c>
      <c r="G157" s="16">
        <v>268.01</v>
      </c>
      <c r="H157" s="16">
        <v>15.19</v>
      </c>
      <c r="I157" s="16">
        <v>1344.57</v>
      </c>
      <c r="J157" s="14">
        <v>535.87</v>
      </c>
      <c r="K157" s="14">
        <v>944.37</v>
      </c>
    </row>
    <row r="158" spans="1:11" ht="18" customHeight="1">
      <c r="A158" s="9">
        <v>41275</v>
      </c>
      <c r="B158" s="3">
        <v>1.22597</v>
      </c>
      <c r="C158" s="30" t="str">
        <f t="shared" si="13"/>
        <v/>
      </c>
      <c r="D158" s="41" t="str">
        <f t="shared" si="14"/>
        <v/>
      </c>
      <c r="E158" s="41" t="str">
        <f t="shared" si="15"/>
        <v/>
      </c>
      <c r="F158" s="16">
        <v>1961.94</v>
      </c>
      <c r="G158" s="16">
        <v>258.07</v>
      </c>
      <c r="H158" s="16">
        <v>15.18</v>
      </c>
      <c r="I158" s="16">
        <v>1290.6099999999999</v>
      </c>
      <c r="J158" s="14">
        <v>503.67</v>
      </c>
      <c r="K158" s="14">
        <v>883.56</v>
      </c>
    </row>
    <row r="159" spans="1:11" ht="18" customHeight="1">
      <c r="A159" s="9">
        <v>41244</v>
      </c>
      <c r="B159" s="3">
        <v>1.248632</v>
      </c>
      <c r="C159" s="30" t="str">
        <f t="shared" si="13"/>
        <v/>
      </c>
      <c r="D159" s="41" t="str">
        <f t="shared" si="14"/>
        <v/>
      </c>
      <c r="E159" s="41" t="str">
        <f t="shared" si="15"/>
        <v/>
      </c>
      <c r="F159" s="16">
        <v>1997.05</v>
      </c>
      <c r="G159" s="16">
        <v>263.92</v>
      </c>
      <c r="H159" s="16">
        <v>15.89</v>
      </c>
      <c r="I159" s="16">
        <v>1329.58</v>
      </c>
      <c r="J159" s="14">
        <v>496.32</v>
      </c>
      <c r="K159" s="13">
        <v>880.2</v>
      </c>
    </row>
    <row r="160" spans="1:11" ht="18" customHeight="1">
      <c r="A160" s="9">
        <v>41214</v>
      </c>
      <c r="B160" s="3">
        <v>1.2084109999999999</v>
      </c>
      <c r="C160" s="30" t="str">
        <f t="shared" si="13"/>
        <v/>
      </c>
      <c r="D160" s="41" t="str">
        <f t="shared" si="14"/>
        <v/>
      </c>
      <c r="E160" s="41" t="str">
        <f t="shared" si="15"/>
        <v/>
      </c>
      <c r="F160" s="16">
        <v>1932.9</v>
      </c>
      <c r="G160" s="16">
        <v>254.25</v>
      </c>
      <c r="H160" s="16">
        <v>14.87</v>
      </c>
      <c r="I160" s="16">
        <v>1273.51</v>
      </c>
      <c r="J160" s="14">
        <v>499.37</v>
      </c>
      <c r="K160" s="14">
        <v>876.85</v>
      </c>
    </row>
    <row r="161" spans="1:11" ht="18" customHeight="1">
      <c r="A161" s="9">
        <v>41183</v>
      </c>
      <c r="B161" s="3">
        <v>1.194307</v>
      </c>
      <c r="C161" s="30" t="str">
        <f t="shared" si="13"/>
        <v/>
      </c>
      <c r="D161" s="41" t="str">
        <f t="shared" si="14"/>
        <v/>
      </c>
      <c r="E161" s="41" t="str">
        <f t="shared" si="15"/>
        <v/>
      </c>
      <c r="F161" s="16">
        <v>1912.06</v>
      </c>
      <c r="G161" s="16">
        <v>250.18</v>
      </c>
      <c r="H161" s="16">
        <v>18.37</v>
      </c>
      <c r="I161" s="16">
        <v>1249.08</v>
      </c>
      <c r="J161" s="14">
        <v>508.31</v>
      </c>
      <c r="K161" s="14">
        <v>893.42</v>
      </c>
    </row>
    <row r="162" spans="1:11" ht="18" customHeight="1">
      <c r="A162" s="9">
        <v>41153</v>
      </c>
      <c r="B162" s="3">
        <v>1.2496210000000001</v>
      </c>
      <c r="C162" s="30" t="str">
        <f t="shared" si="13"/>
        <v/>
      </c>
      <c r="D162" s="41" t="str">
        <f t="shared" si="14"/>
        <v/>
      </c>
      <c r="E162" s="41" t="str">
        <f t="shared" si="15"/>
        <v/>
      </c>
      <c r="F162" s="16">
        <v>1996.21</v>
      </c>
      <c r="G162" s="16">
        <v>262.49</v>
      </c>
      <c r="H162" s="16">
        <v>17.23</v>
      </c>
      <c r="I162" s="16">
        <v>1317.13</v>
      </c>
      <c r="J162" s="14">
        <v>523.78</v>
      </c>
      <c r="K162" s="14">
        <v>925.14</v>
      </c>
    </row>
    <row r="163" spans="1:11" ht="18" customHeight="1">
      <c r="A163" s="9">
        <v>41122</v>
      </c>
      <c r="B163" s="3">
        <v>1.1915880000000001</v>
      </c>
      <c r="C163" s="30" t="str">
        <f t="shared" si="13"/>
        <v/>
      </c>
      <c r="D163" s="41" t="str">
        <f t="shared" si="14"/>
        <v/>
      </c>
      <c r="E163" s="41" t="str">
        <f t="shared" si="15"/>
        <v/>
      </c>
      <c r="F163" s="16">
        <v>1905.12</v>
      </c>
      <c r="G163" s="16">
        <v>250.56</v>
      </c>
      <c r="H163" s="16">
        <v>20.350000000000001</v>
      </c>
      <c r="I163" s="16">
        <v>1254.68</v>
      </c>
      <c r="J163" s="14">
        <v>508.35</v>
      </c>
      <c r="K163" s="14">
        <v>922.68</v>
      </c>
    </row>
    <row r="164" spans="1:11" ht="18" customHeight="1">
      <c r="A164" s="9">
        <v>41091</v>
      </c>
      <c r="B164" s="3">
        <v>1.1835039999999999</v>
      </c>
      <c r="C164" s="30" t="str">
        <f t="shared" si="13"/>
        <v/>
      </c>
      <c r="D164" s="41" t="str">
        <f t="shared" si="14"/>
        <v/>
      </c>
      <c r="E164" s="41" t="str">
        <f t="shared" si="15"/>
        <v/>
      </c>
      <c r="F164" s="16">
        <v>1881.99</v>
      </c>
      <c r="G164" s="16">
        <v>250.08</v>
      </c>
      <c r="H164" s="16">
        <v>20.32</v>
      </c>
      <c r="I164" s="16">
        <v>1256.44</v>
      </c>
      <c r="J164" s="14">
        <v>467.61</v>
      </c>
      <c r="K164" s="14">
        <v>841.13</v>
      </c>
    </row>
    <row r="165" spans="1:11" ht="18" customHeight="1">
      <c r="A165" s="9">
        <v>41061</v>
      </c>
      <c r="B165" s="3">
        <v>1.165116</v>
      </c>
      <c r="C165" s="30" t="str">
        <f t="shared" si="13"/>
        <v/>
      </c>
      <c r="D165" s="41" t="str">
        <f t="shared" si="14"/>
        <v/>
      </c>
      <c r="E165" s="41" t="str">
        <f t="shared" si="15"/>
        <v/>
      </c>
      <c r="F165" s="16">
        <v>1854.01</v>
      </c>
      <c r="G165" s="16">
        <v>244.9</v>
      </c>
      <c r="H165" s="16">
        <v>20.03</v>
      </c>
      <c r="I165" s="16">
        <v>1232.6099999999999</v>
      </c>
      <c r="J165" s="14">
        <v>489.16</v>
      </c>
      <c r="K165" s="13">
        <v>882.8</v>
      </c>
    </row>
    <row r="166" spans="1:11" ht="18" customHeight="1">
      <c r="A166" s="9">
        <v>41030</v>
      </c>
      <c r="B166" s="3">
        <v>1.158393</v>
      </c>
      <c r="C166" s="30" t="str">
        <f t="shared" si="13"/>
        <v/>
      </c>
      <c r="D166" s="41" t="str">
        <f t="shared" si="14"/>
        <v/>
      </c>
      <c r="E166" s="41" t="str">
        <f t="shared" si="15"/>
        <v/>
      </c>
      <c r="F166" s="16">
        <v>1843.47</v>
      </c>
      <c r="G166" s="16">
        <v>244.05</v>
      </c>
      <c r="H166" s="16">
        <v>22.69</v>
      </c>
      <c r="I166" s="16">
        <v>1228.04</v>
      </c>
      <c r="J166" s="14">
        <v>471.94</v>
      </c>
      <c r="K166" s="14">
        <v>873.73</v>
      </c>
    </row>
    <row r="167" spans="1:11" ht="18" customHeight="1">
      <c r="A167" s="9">
        <v>41000</v>
      </c>
      <c r="B167" s="3">
        <v>1.2452559999999999</v>
      </c>
      <c r="C167" s="30" t="str">
        <f t="shared" si="13"/>
        <v/>
      </c>
      <c r="D167" s="41" t="str">
        <f t="shared" si="14"/>
        <v/>
      </c>
      <c r="E167" s="41" t="str">
        <f t="shared" si="15"/>
        <v/>
      </c>
      <c r="F167" s="16">
        <v>1981.99</v>
      </c>
      <c r="G167" s="16">
        <v>264.35000000000002</v>
      </c>
      <c r="H167" s="16">
        <v>17.309999999999999</v>
      </c>
      <c r="I167" s="16">
        <v>1339.72</v>
      </c>
      <c r="J167" s="14">
        <v>478.89</v>
      </c>
      <c r="K167" s="14">
        <v>864.72</v>
      </c>
    </row>
    <row r="168" spans="1:11" ht="18" customHeight="1">
      <c r="A168" s="9">
        <v>40969</v>
      </c>
      <c r="B168" s="3">
        <v>1.3139989999999999</v>
      </c>
      <c r="C168" s="30" t="str">
        <f t="shared" si="13"/>
        <v/>
      </c>
      <c r="D168" s="41" t="str">
        <f t="shared" si="14"/>
        <v/>
      </c>
      <c r="E168" s="41" t="str">
        <f t="shared" si="15"/>
        <v/>
      </c>
      <c r="F168" s="16">
        <v>2014.04</v>
      </c>
      <c r="G168" s="16">
        <v>266.58</v>
      </c>
      <c r="H168" s="16">
        <v>17.559999999999999</v>
      </c>
      <c r="I168" s="16">
        <v>1353.11</v>
      </c>
      <c r="J168" s="14">
        <v>519.55999999999995</v>
      </c>
      <c r="K168" s="14">
        <v>943.42</v>
      </c>
    </row>
    <row r="169" spans="1:11" ht="18" customHeight="1">
      <c r="A169" s="9">
        <v>40940</v>
      </c>
      <c r="B169" s="3">
        <v>1.3252440000000001</v>
      </c>
      <c r="C169" s="30" t="str">
        <f t="shared" si="13"/>
        <v/>
      </c>
      <c r="D169" s="41" t="str">
        <f t="shared" si="14"/>
        <v/>
      </c>
      <c r="E169" s="41" t="str">
        <f t="shared" si="15"/>
        <v/>
      </c>
      <c r="F169" s="16">
        <v>2030.25</v>
      </c>
      <c r="G169" s="16">
        <v>267.13</v>
      </c>
      <c r="H169" s="16">
        <v>19.399999999999999</v>
      </c>
      <c r="I169" s="16">
        <v>1361.87</v>
      </c>
      <c r="J169" s="13">
        <v>542.29999999999995</v>
      </c>
      <c r="K169" s="14">
        <v>988.15</v>
      </c>
    </row>
    <row r="170" spans="1:11" ht="18" customHeight="1">
      <c r="A170" s="9">
        <v>40909</v>
      </c>
      <c r="B170" s="3">
        <v>1.2748459999999999</v>
      </c>
      <c r="C170" s="30" t="str">
        <f t="shared" si="13"/>
        <v/>
      </c>
      <c r="D170" s="41" t="str">
        <f t="shared" si="14"/>
        <v/>
      </c>
      <c r="E170" s="41" t="str">
        <f t="shared" si="15"/>
        <v/>
      </c>
      <c r="F170" s="16">
        <v>1955.79</v>
      </c>
      <c r="G170" s="16">
        <v>256.89999999999998</v>
      </c>
      <c r="H170" s="16">
        <v>23.36</v>
      </c>
      <c r="I170" s="16">
        <v>1316.01</v>
      </c>
      <c r="J170" s="14">
        <v>513.99</v>
      </c>
      <c r="K170" s="14">
        <v>966.47</v>
      </c>
    </row>
    <row r="171" spans="1:11" ht="18" customHeight="1">
      <c r="A171" s="9">
        <v>40878</v>
      </c>
      <c r="B171" s="3">
        <v>1.1906669999999999</v>
      </c>
      <c r="C171" s="30" t="str">
        <f t="shared" si="13"/>
        <v/>
      </c>
      <c r="D171" s="41" t="str">
        <f t="shared" si="14"/>
        <v/>
      </c>
      <c r="E171" s="41" t="str">
        <f t="shared" si="15"/>
        <v/>
      </c>
      <c r="F171" s="16">
        <v>1825.74</v>
      </c>
      <c r="G171" s="16">
        <v>238.08</v>
      </c>
      <c r="H171" s="16">
        <v>26.4</v>
      </c>
      <c r="I171" s="16">
        <v>1215.8800000000001</v>
      </c>
      <c r="J171" s="14">
        <v>500.18</v>
      </c>
      <c r="K171" s="14">
        <v>965.62</v>
      </c>
    </row>
    <row r="172" spans="1:11" ht="18" customHeight="1">
      <c r="A172" s="9">
        <v>40848</v>
      </c>
      <c r="B172" s="3">
        <v>1.2039150000000001</v>
      </c>
      <c r="C172" s="30" t="str">
        <f t="shared" si="13"/>
        <v/>
      </c>
      <c r="D172" s="41" t="str">
        <f t="shared" si="14"/>
        <v/>
      </c>
      <c r="E172" s="41" t="str">
        <f t="shared" si="15"/>
        <v/>
      </c>
      <c r="F172" s="16">
        <v>1847.51</v>
      </c>
      <c r="G172" s="16">
        <v>241.19</v>
      </c>
      <c r="H172" s="16">
        <v>29.04</v>
      </c>
      <c r="I172" s="16">
        <v>1223.58</v>
      </c>
      <c r="J172" s="14">
        <v>492.81</v>
      </c>
      <c r="K172" s="14">
        <v>973.91</v>
      </c>
    </row>
    <row r="173" spans="1:11" ht="18" customHeight="1">
      <c r="A173" s="9">
        <v>40817</v>
      </c>
      <c r="B173" s="3">
        <v>1.2442869999999999</v>
      </c>
      <c r="C173" s="30" t="str">
        <f t="shared" si="13"/>
        <v/>
      </c>
      <c r="D173" s="41" t="str">
        <f t="shared" si="14"/>
        <v/>
      </c>
      <c r="E173" s="41" t="str">
        <f t="shared" si="15"/>
        <v/>
      </c>
      <c r="F173" s="16">
        <v>1909.03</v>
      </c>
      <c r="G173" s="16">
        <v>249.88</v>
      </c>
      <c r="H173" s="16">
        <v>31.02</v>
      </c>
      <c r="I173" s="16">
        <v>1276.67</v>
      </c>
      <c r="J173" s="14">
        <v>490.69</v>
      </c>
      <c r="K173" s="13">
        <v>983.8</v>
      </c>
    </row>
    <row r="174" spans="1:11" ht="18" customHeight="1">
      <c r="A174" s="9">
        <v>40787</v>
      </c>
      <c r="B174" s="3">
        <v>1.151486</v>
      </c>
      <c r="C174" s="30" t="str">
        <f t="shared" si="13"/>
        <v/>
      </c>
      <c r="D174" s="41" t="str">
        <f t="shared" si="14"/>
        <v/>
      </c>
      <c r="E174" s="41" t="str">
        <f t="shared" si="15"/>
        <v/>
      </c>
      <c r="F174" s="16">
        <v>1769.65</v>
      </c>
      <c r="G174" s="16">
        <v>230.41</v>
      </c>
      <c r="H174" s="16">
        <v>40.56</v>
      </c>
      <c r="I174" s="16">
        <v>1162.3599999999999</v>
      </c>
      <c r="J174" s="14">
        <v>449.66</v>
      </c>
      <c r="K174" s="14">
        <v>916.17</v>
      </c>
    </row>
    <row r="175" spans="1:11" ht="18" customHeight="1">
      <c r="A175" s="9">
        <v>40756</v>
      </c>
      <c r="B175" s="3">
        <v>1.224227</v>
      </c>
      <c r="C175" s="30" t="str">
        <f t="shared" si="13"/>
        <v/>
      </c>
      <c r="D175" s="41" t="str">
        <f t="shared" si="14"/>
        <v/>
      </c>
      <c r="E175" s="41" t="str">
        <f t="shared" si="15"/>
        <v/>
      </c>
      <c r="F175" s="16">
        <v>1880.11</v>
      </c>
      <c r="G175" s="16">
        <v>242.16</v>
      </c>
      <c r="H175" s="16">
        <v>28.05</v>
      </c>
      <c r="I175" s="16">
        <v>1216.98</v>
      </c>
      <c r="J175" s="14">
        <v>493.44</v>
      </c>
      <c r="K175" s="13">
        <v>987.9</v>
      </c>
    </row>
    <row r="176" spans="1:11" ht="18" customHeight="1">
      <c r="A176" s="9">
        <v>40725</v>
      </c>
      <c r="B176" s="3">
        <v>1.3914200000000001</v>
      </c>
      <c r="C176" s="30" t="str">
        <f t="shared" si="13"/>
        <v/>
      </c>
      <c r="D176" s="41" t="str">
        <f t="shared" si="14"/>
        <v/>
      </c>
      <c r="E176" s="41" t="str">
        <f t="shared" si="15"/>
        <v/>
      </c>
      <c r="F176" s="16">
        <v>2133.21</v>
      </c>
      <c r="G176" s="16">
        <v>277.11</v>
      </c>
      <c r="H176" s="16">
        <v>21</v>
      </c>
      <c r="I176" s="16">
        <v>1401.67</v>
      </c>
      <c r="J176" s="14">
        <v>536.04999999999995</v>
      </c>
      <c r="K176" s="14">
        <v>1070.3900000000001</v>
      </c>
    </row>
    <row r="177" spans="1:11" ht="18" customHeight="1">
      <c r="A177" s="9">
        <v>40695</v>
      </c>
      <c r="B177" s="3">
        <v>1.3809899999999999</v>
      </c>
      <c r="C177" s="30" t="str">
        <f t="shared" si="13"/>
        <v/>
      </c>
      <c r="D177" s="41" t="str">
        <f t="shared" si="14"/>
        <v/>
      </c>
      <c r="E177" s="41" t="str">
        <f t="shared" si="15"/>
        <v/>
      </c>
      <c r="F177" s="16">
        <v>2100.69</v>
      </c>
      <c r="G177" s="16">
        <v>275.17</v>
      </c>
      <c r="H177" s="16">
        <v>19.239999999999998</v>
      </c>
      <c r="I177" s="16">
        <v>1393.86</v>
      </c>
      <c r="J177" s="14">
        <v>479.55</v>
      </c>
      <c r="K177" s="14">
        <v>952.97</v>
      </c>
    </row>
    <row r="178" spans="1:11" ht="18" customHeight="1">
      <c r="A178" s="9">
        <v>40664</v>
      </c>
      <c r="B178" s="3">
        <v>1.4063650000000001</v>
      </c>
      <c r="C178" s="30" t="str">
        <f t="shared" si="13"/>
        <v/>
      </c>
      <c r="D178" s="41" t="str">
        <f t="shared" si="14"/>
        <v/>
      </c>
      <c r="E178" s="41" t="str">
        <f t="shared" si="15"/>
        <v/>
      </c>
      <c r="F178" s="16">
        <v>2142.4699999999998</v>
      </c>
      <c r="G178" s="16">
        <v>282.76</v>
      </c>
      <c r="H178" s="16">
        <v>18.559999999999999</v>
      </c>
      <c r="I178" s="16">
        <v>1429.99</v>
      </c>
      <c r="J178" s="14">
        <v>484.54</v>
      </c>
      <c r="K178" s="14">
        <v>948.75</v>
      </c>
    </row>
    <row r="179" spans="1:11" ht="18" customHeight="1">
      <c r="A179" s="9">
        <v>40634</v>
      </c>
      <c r="B179" s="3">
        <v>1.4379519999999999</v>
      </c>
      <c r="C179" s="30" t="str">
        <f t="shared" si="13"/>
        <v/>
      </c>
      <c r="D179" s="41" t="str">
        <f t="shared" si="14"/>
        <v/>
      </c>
      <c r="E179" s="41" t="str">
        <f t="shared" si="15"/>
        <v/>
      </c>
      <c r="F179" s="16">
        <v>2192.36</v>
      </c>
      <c r="G179" s="16">
        <v>290.39</v>
      </c>
      <c r="H179" s="16">
        <v>18.36</v>
      </c>
      <c r="I179" s="16">
        <v>1470.69</v>
      </c>
      <c r="J179" s="15">
        <v>511</v>
      </c>
      <c r="K179" s="14">
        <v>994.75</v>
      </c>
    </row>
    <row r="180" spans="1:11" ht="18" customHeight="1">
      <c r="A180" s="9">
        <v>40603</v>
      </c>
      <c r="B180" s="3">
        <v>1.549609</v>
      </c>
      <c r="C180" s="30" t="str">
        <f t="shared" si="13"/>
        <v/>
      </c>
      <c r="D180" s="41" t="str">
        <f t="shared" si="14"/>
        <v/>
      </c>
      <c r="E180" s="41" t="str">
        <f t="shared" si="15"/>
        <v/>
      </c>
      <c r="F180" s="16">
        <v>2106.6999999999998</v>
      </c>
      <c r="G180" s="16">
        <v>278.87</v>
      </c>
      <c r="H180" s="16">
        <v>16.57</v>
      </c>
      <c r="I180" s="16">
        <v>1419.37</v>
      </c>
      <c r="J180" s="14">
        <v>525.41999999999996</v>
      </c>
      <c r="K180" s="14">
        <v>1033.07</v>
      </c>
    </row>
    <row r="181" spans="1:11" ht="18" customHeight="1">
      <c r="A181" s="9">
        <v>40575</v>
      </c>
      <c r="B181" s="3">
        <v>1.4250750000000001</v>
      </c>
      <c r="C181" s="30" t="str">
        <f t="shared" si="13"/>
        <v/>
      </c>
      <c r="D181" s="41" t="str">
        <f t="shared" si="14"/>
        <v/>
      </c>
      <c r="E181" s="41" t="str">
        <f t="shared" si="15"/>
        <v/>
      </c>
      <c r="F181" s="16">
        <v>1939.3</v>
      </c>
      <c r="G181" s="16">
        <v>256.36</v>
      </c>
      <c r="H181" s="16">
        <v>20.059999999999999</v>
      </c>
      <c r="I181" s="16">
        <v>1298.24</v>
      </c>
      <c r="J181" s="14">
        <v>504.46</v>
      </c>
      <c r="K181" s="14">
        <v>999.69</v>
      </c>
    </row>
    <row r="182" spans="1:11" ht="18" customHeight="1">
      <c r="A182" s="9">
        <v>40544</v>
      </c>
      <c r="B182" s="3">
        <v>1.521261</v>
      </c>
      <c r="C182" s="30" t="str">
        <f t="shared" si="13"/>
        <v/>
      </c>
      <c r="D182" s="41" t="str">
        <f t="shared" si="14"/>
        <v/>
      </c>
      <c r="E182" s="41" t="str">
        <f t="shared" si="15"/>
        <v/>
      </c>
      <c r="F182" s="16">
        <v>2069.73</v>
      </c>
      <c r="G182" s="16">
        <v>273.12</v>
      </c>
      <c r="H182" s="16">
        <v>16.3</v>
      </c>
      <c r="I182" s="16">
        <v>1392.19</v>
      </c>
      <c r="J182" s="14">
        <v>521.38</v>
      </c>
      <c r="K182" s="14">
        <v>1037.72</v>
      </c>
    </row>
    <row r="183" spans="1:11" ht="18" customHeight="1">
      <c r="A183" s="9">
        <v>40513</v>
      </c>
      <c r="B183" s="3">
        <v>1.5031829999999999</v>
      </c>
      <c r="C183" s="30" t="str">
        <f t="shared" si="13"/>
        <v/>
      </c>
      <c r="D183" s="41" t="str">
        <f t="shared" si="14"/>
        <v/>
      </c>
      <c r="E183" s="41" t="str">
        <f t="shared" si="15"/>
        <v/>
      </c>
      <c r="F183" s="16">
        <v>2051</v>
      </c>
      <c r="G183" s="16">
        <v>271.19</v>
      </c>
      <c r="H183" s="16">
        <v>15.83</v>
      </c>
      <c r="I183" s="16">
        <v>1391.42</v>
      </c>
      <c r="J183" s="14">
        <v>510.69</v>
      </c>
      <c r="K183" s="13">
        <v>997.9</v>
      </c>
    </row>
    <row r="184" spans="1:11" ht="18" customHeight="1">
      <c r="A184" s="9">
        <v>40483</v>
      </c>
      <c r="B184" s="3">
        <v>1.3943779999999999</v>
      </c>
      <c r="C184" s="30" t="str">
        <f t="shared" si="13"/>
        <v/>
      </c>
      <c r="D184" s="41" t="str">
        <f t="shared" si="14"/>
        <v/>
      </c>
      <c r="E184" s="41" t="str">
        <f t="shared" si="15"/>
        <v/>
      </c>
      <c r="F184" s="16">
        <v>1904.63</v>
      </c>
      <c r="G184" s="16">
        <v>249.64</v>
      </c>
      <c r="H184" s="16">
        <v>22.76</v>
      </c>
      <c r="I184" s="16">
        <v>1269.1500000000001</v>
      </c>
      <c r="J184" s="14">
        <v>498.39</v>
      </c>
      <c r="K184" s="14">
        <v>971.73</v>
      </c>
    </row>
    <row r="185" spans="1:11" ht="18" customHeight="1">
      <c r="A185" s="9">
        <v>40452</v>
      </c>
      <c r="B185" s="3">
        <v>1.3795040000000001</v>
      </c>
      <c r="C185" s="30" t="str">
        <f t="shared" si="13"/>
        <v/>
      </c>
      <c r="D185" s="41" t="str">
        <f t="shared" si="14"/>
        <v/>
      </c>
      <c r="E185" s="41" t="str">
        <f t="shared" si="15"/>
        <v/>
      </c>
      <c r="F185" s="16">
        <v>1882.95</v>
      </c>
      <c r="G185" s="16">
        <v>242.98</v>
      </c>
      <c r="H185" s="16">
        <v>18.600000000000001</v>
      </c>
      <c r="I185" s="16">
        <v>1226.1099999999999</v>
      </c>
      <c r="J185" s="14">
        <v>526.45000000000005</v>
      </c>
      <c r="K185" s="14">
        <v>1019.44</v>
      </c>
    </row>
    <row r="186" spans="1:11" ht="18" customHeight="1">
      <c r="A186" s="9">
        <v>40422</v>
      </c>
      <c r="B186" s="3">
        <v>1.371021</v>
      </c>
      <c r="C186" s="30" t="str">
        <f t="shared" si="13"/>
        <v/>
      </c>
      <c r="D186" s="41" t="str">
        <f t="shared" si="14"/>
        <v/>
      </c>
      <c r="E186" s="41" t="str">
        <f t="shared" si="15"/>
        <v/>
      </c>
      <c r="F186" s="16">
        <v>1872.81</v>
      </c>
      <c r="G186" s="16">
        <v>242.95</v>
      </c>
      <c r="H186" s="16">
        <v>16.77</v>
      </c>
      <c r="I186" s="16">
        <v>1234.21</v>
      </c>
      <c r="J186" s="14">
        <v>492.75</v>
      </c>
      <c r="K186" s="14">
        <v>963.37</v>
      </c>
    </row>
    <row r="187" spans="1:11" ht="18" customHeight="1">
      <c r="A187" s="9">
        <v>40391</v>
      </c>
      <c r="B187" s="3">
        <v>1.2758419999999999</v>
      </c>
      <c r="C187" s="30" t="str">
        <f t="shared" si="13"/>
        <v/>
      </c>
      <c r="D187" s="41" t="str">
        <f t="shared" si="14"/>
        <v/>
      </c>
      <c r="E187" s="41" t="str">
        <f t="shared" si="15"/>
        <v/>
      </c>
      <c r="F187" s="16">
        <v>1742.75</v>
      </c>
      <c r="G187" s="16">
        <v>226.81</v>
      </c>
      <c r="H187" s="16">
        <v>18.79</v>
      </c>
      <c r="I187" s="16">
        <v>1149.3499999999999</v>
      </c>
      <c r="J187" s="14">
        <v>464.71</v>
      </c>
      <c r="K187" s="14">
        <v>889.81</v>
      </c>
    </row>
    <row r="188" spans="1:11" ht="18" customHeight="1">
      <c r="A188" s="9">
        <v>40360</v>
      </c>
      <c r="B188" s="3">
        <v>1.286538</v>
      </c>
      <c r="C188" s="30" t="str">
        <f t="shared" si="13"/>
        <v/>
      </c>
      <c r="D188" s="41" t="str">
        <f t="shared" si="14"/>
        <v/>
      </c>
      <c r="E188" s="41" t="str">
        <f t="shared" si="15"/>
        <v/>
      </c>
      <c r="F188" s="16">
        <v>1759.33</v>
      </c>
      <c r="G188" s="16">
        <v>229.25</v>
      </c>
      <c r="H188" s="16">
        <v>19.260000000000002</v>
      </c>
      <c r="I188" s="16">
        <v>1167.8699999999999</v>
      </c>
      <c r="J188" s="14">
        <v>481.45</v>
      </c>
      <c r="K188" s="14">
        <v>918.99</v>
      </c>
    </row>
    <row r="189" spans="1:11" ht="18" customHeight="1">
      <c r="A189" s="9">
        <v>40330</v>
      </c>
      <c r="B189" s="3">
        <v>1.260346</v>
      </c>
      <c r="C189" s="30" t="str">
        <f t="shared" si="13"/>
        <v/>
      </c>
      <c r="D189" s="41" t="str">
        <f t="shared" si="14"/>
        <v/>
      </c>
      <c r="E189" s="41" t="str">
        <f t="shared" si="15"/>
        <v/>
      </c>
      <c r="F189" s="16">
        <v>1698.29</v>
      </c>
      <c r="G189" s="16">
        <v>220.85</v>
      </c>
      <c r="H189" s="16">
        <v>21.9</v>
      </c>
      <c r="I189" s="16">
        <v>1119.93</v>
      </c>
      <c r="J189" s="14">
        <v>489.98</v>
      </c>
      <c r="K189" s="14">
        <v>943.44</v>
      </c>
    </row>
    <row r="190" spans="1:11" ht="18" customHeight="1">
      <c r="A190" s="9">
        <v>40299</v>
      </c>
      <c r="B190" s="3">
        <v>1.2201850000000001</v>
      </c>
      <c r="C190" s="30" t="str">
        <f t="shared" si="13"/>
        <v/>
      </c>
      <c r="D190" s="41" t="str">
        <f t="shared" si="14"/>
        <v/>
      </c>
      <c r="E190" s="41" t="str">
        <f t="shared" si="15"/>
        <v/>
      </c>
      <c r="F190" s="16">
        <v>1641.25</v>
      </c>
      <c r="G190" s="16">
        <v>214.34</v>
      </c>
      <c r="H190" s="16">
        <v>24.01</v>
      </c>
      <c r="I190" s="16">
        <v>1079.8599999999999</v>
      </c>
      <c r="J190" s="14">
        <v>489.42</v>
      </c>
      <c r="K190" s="14">
        <v>939.54</v>
      </c>
    </row>
    <row r="191" spans="1:11" ht="18" customHeight="1">
      <c r="A191" s="9">
        <v>40269</v>
      </c>
      <c r="B191" s="3">
        <v>1.273026</v>
      </c>
      <c r="C191" s="30" t="str">
        <f t="shared" si="13"/>
        <v/>
      </c>
      <c r="D191" s="41" t="str">
        <f t="shared" si="14"/>
        <v/>
      </c>
      <c r="E191" s="41" t="str">
        <f t="shared" si="15"/>
        <v/>
      </c>
      <c r="F191" s="16">
        <v>1741.56</v>
      </c>
      <c r="G191" s="16">
        <v>227.95</v>
      </c>
      <c r="H191" s="16">
        <v>18.27</v>
      </c>
      <c r="I191" s="16">
        <v>1159.4100000000001</v>
      </c>
      <c r="J191" s="14">
        <v>523.75</v>
      </c>
      <c r="K191" s="14">
        <v>985.47</v>
      </c>
    </row>
    <row r="192" spans="1:11" ht="18" customHeight="1">
      <c r="A192" s="9">
        <v>40238</v>
      </c>
      <c r="B192" s="3">
        <v>1.3561719999999999</v>
      </c>
      <c r="C192" s="30" t="str">
        <f t="shared" si="13"/>
        <v/>
      </c>
      <c r="D192" s="41" t="str">
        <f t="shared" si="14"/>
        <v/>
      </c>
      <c r="E192" s="41" t="str">
        <f t="shared" si="15"/>
        <v/>
      </c>
      <c r="F192" s="16">
        <v>1692.85</v>
      </c>
      <c r="G192" s="16">
        <v>221.58</v>
      </c>
      <c r="H192" s="16">
        <v>17.68</v>
      </c>
      <c r="I192" s="16">
        <v>1128.25</v>
      </c>
      <c r="J192" s="14">
        <v>515.74</v>
      </c>
      <c r="K192" s="37">
        <v>957.81</v>
      </c>
    </row>
    <row r="193" spans="1:20" ht="18" customHeight="1">
      <c r="A193" s="9">
        <v>40210</v>
      </c>
      <c r="B193" s="3">
        <v>1.2761750000000001</v>
      </c>
      <c r="C193" s="30" t="str">
        <f t="shared" si="13"/>
        <v/>
      </c>
      <c r="D193" s="41" t="str">
        <f t="shared" si="14"/>
        <v/>
      </c>
      <c r="E193" s="41" t="str">
        <f t="shared" si="15"/>
        <v/>
      </c>
      <c r="F193" s="16">
        <v>1594.58</v>
      </c>
      <c r="G193" s="16">
        <v>208.36</v>
      </c>
      <c r="H193" s="16">
        <v>20.59</v>
      </c>
      <c r="I193" s="16">
        <v>1054.43</v>
      </c>
      <c r="J193" s="14">
        <v>507.03</v>
      </c>
      <c r="K193" s="37">
        <v>928.29</v>
      </c>
    </row>
    <row r="194" spans="1:20" ht="18" customHeight="1">
      <c r="A194" s="9">
        <v>40179</v>
      </c>
      <c r="B194" s="3">
        <v>1.2835559999999999</v>
      </c>
      <c r="C194" s="30" t="str">
        <f t="shared" si="13"/>
        <v/>
      </c>
      <c r="D194" s="41" t="str">
        <f t="shared" si="14"/>
        <v/>
      </c>
      <c r="E194" s="41" t="str">
        <f t="shared" si="15"/>
        <v/>
      </c>
      <c r="F194" s="16">
        <v>1602.43</v>
      </c>
      <c r="G194" s="16">
        <v>210.34</v>
      </c>
      <c r="H194" s="16">
        <v>23.29</v>
      </c>
      <c r="I194" s="16">
        <v>1062.81</v>
      </c>
      <c r="J194" s="14">
        <v>496.57</v>
      </c>
      <c r="K194" s="37">
        <v>922.07</v>
      </c>
    </row>
    <row r="195" spans="1:20" ht="18" customHeight="1">
      <c r="A195" s="9">
        <v>40148</v>
      </c>
      <c r="B195" s="3">
        <v>1.3417349999999999</v>
      </c>
      <c r="C195" s="30" t="str">
        <f t="shared" si="13"/>
        <v/>
      </c>
      <c r="D195" s="41" t="str">
        <f t="shared" si="14"/>
        <v/>
      </c>
      <c r="E195" s="41" t="str">
        <f t="shared" si="15"/>
        <v/>
      </c>
      <c r="F195" s="16">
        <v>1682.77</v>
      </c>
      <c r="G195" s="16">
        <v>221.86</v>
      </c>
      <c r="H195" s="16">
        <v>20.350000000000001</v>
      </c>
      <c r="I195" s="16">
        <v>1129.3</v>
      </c>
      <c r="J195" s="14">
        <v>513.57000000000005</v>
      </c>
      <c r="K195" s="38">
        <f>(J195/J194)*K194</f>
        <v>953.63692913385842</v>
      </c>
    </row>
    <row r="196" spans="1:20" ht="18" customHeight="1">
      <c r="A196" s="9">
        <v>40118</v>
      </c>
      <c r="B196" s="3">
        <v>1.2312620000000001</v>
      </c>
      <c r="C196" s="30" t="str">
        <f t="shared" ref="C196:C259" si="16">IF(B196&lt;=C$1, "Risk", "")</f>
        <v/>
      </c>
      <c r="D196" s="41" t="str">
        <f t="shared" si="14"/>
        <v/>
      </c>
      <c r="E196" s="41" t="str">
        <f t="shared" si="15"/>
        <v/>
      </c>
      <c r="F196" s="16">
        <v>1555.6</v>
      </c>
      <c r="G196" s="16">
        <v>204.75</v>
      </c>
      <c r="H196" s="16">
        <v>21.94</v>
      </c>
      <c r="I196" s="16">
        <v>1025.05</v>
      </c>
      <c r="J196" s="14">
        <v>464.32</v>
      </c>
      <c r="K196" s="38">
        <f t="shared" ref="K196:K259" si="17">(J196/J195)*K195</f>
        <v>862.18567855488652</v>
      </c>
      <c r="T196" s="32"/>
    </row>
    <row r="197" spans="1:20" ht="18" customHeight="1">
      <c r="A197" s="9">
        <v>40087</v>
      </c>
      <c r="B197" s="3">
        <v>1.2495289999999999</v>
      </c>
      <c r="C197" s="30" t="str">
        <f t="shared" si="16"/>
        <v/>
      </c>
      <c r="D197" s="41" t="str">
        <f t="shared" ref="D197:D260" si="18">IF(B197&lt;=D$1, "Risk", "")</f>
        <v/>
      </c>
      <c r="E197" s="41" t="str">
        <f t="shared" ref="E197:E260" si="19">IF(B197&lt;=E$1, "Risk", "")</f>
        <v/>
      </c>
      <c r="F197" s="16">
        <v>1580.69</v>
      </c>
      <c r="G197" s="16">
        <v>206.81</v>
      </c>
      <c r="H197" s="16">
        <v>25.41</v>
      </c>
      <c r="I197" s="16">
        <v>1032.8399999999999</v>
      </c>
      <c r="J197" s="14">
        <v>486.46</v>
      </c>
      <c r="K197" s="38">
        <f t="shared" si="17"/>
        <v>903.29696155627596</v>
      </c>
      <c r="S197" s="33"/>
      <c r="T197" s="32"/>
    </row>
    <row r="198" spans="1:20" ht="18" customHeight="1">
      <c r="A198" s="9">
        <v>40057</v>
      </c>
      <c r="B198" s="3">
        <v>1.3212820000000001</v>
      </c>
      <c r="C198" s="30" t="str">
        <f t="shared" si="16"/>
        <v/>
      </c>
      <c r="D198" s="41" t="str">
        <f t="shared" si="18"/>
        <v/>
      </c>
      <c r="E198" s="41" t="str">
        <f t="shared" si="19"/>
        <v/>
      </c>
      <c r="F198" s="16">
        <v>1673.14</v>
      </c>
      <c r="G198" s="16">
        <v>219.75</v>
      </c>
      <c r="H198" s="16">
        <v>22.85</v>
      </c>
      <c r="I198" s="16">
        <v>1112.79</v>
      </c>
      <c r="J198" s="14">
        <v>505.94</v>
      </c>
      <c r="K198" s="38">
        <f t="shared" si="17"/>
        <v>939.468948587309</v>
      </c>
      <c r="R198" s="33"/>
      <c r="S198" s="33"/>
      <c r="T198" s="32"/>
    </row>
    <row r="199" spans="1:20" ht="18" customHeight="1">
      <c r="A199" s="9">
        <v>40026</v>
      </c>
      <c r="B199" s="11">
        <v>1.2603839999999999</v>
      </c>
      <c r="C199" s="30" t="str">
        <f t="shared" si="16"/>
        <v/>
      </c>
      <c r="D199" s="41" t="str">
        <f t="shared" si="18"/>
        <v/>
      </c>
      <c r="E199" s="41" t="str">
        <f t="shared" si="19"/>
        <v/>
      </c>
      <c r="F199" s="16">
        <v>1591.85</v>
      </c>
      <c r="G199" s="16">
        <v>207.44</v>
      </c>
      <c r="H199" s="16">
        <v>23.97</v>
      </c>
      <c r="I199" s="16">
        <v>1041.1099999999999</v>
      </c>
      <c r="J199" s="13">
        <v>514.70000000000005</v>
      </c>
      <c r="K199" s="38">
        <f t="shared" si="17"/>
        <v>955.73520148216789</v>
      </c>
      <c r="Q199" s="33"/>
      <c r="R199" s="33"/>
      <c r="S199" s="33"/>
      <c r="T199" s="32"/>
    </row>
    <row r="200" spans="1:20" ht="18" customHeight="1">
      <c r="A200" s="9">
        <v>39995</v>
      </c>
      <c r="B200" s="11">
        <v>1.2340770000000001</v>
      </c>
      <c r="C200" s="30" t="str">
        <f t="shared" si="16"/>
        <v/>
      </c>
      <c r="D200" s="41" t="str">
        <f t="shared" si="18"/>
        <v/>
      </c>
      <c r="E200" s="41" t="str">
        <f t="shared" si="19"/>
        <v/>
      </c>
      <c r="F200" s="16">
        <v>1557.29</v>
      </c>
      <c r="G200" s="16">
        <v>202.96</v>
      </c>
      <c r="H200" s="16">
        <v>25.62</v>
      </c>
      <c r="I200" s="16">
        <v>1023.23</v>
      </c>
      <c r="J200" s="14">
        <v>504.35</v>
      </c>
      <c r="K200" s="38">
        <f t="shared" si="17"/>
        <v>936.5165122742012</v>
      </c>
      <c r="P200" s="33"/>
      <c r="Q200" s="33"/>
      <c r="R200" s="33"/>
      <c r="S200" s="33"/>
      <c r="T200" s="32"/>
    </row>
    <row r="201" spans="1:20" ht="18" customHeight="1">
      <c r="A201" s="9">
        <v>39965</v>
      </c>
      <c r="B201" s="11">
        <v>1.103451</v>
      </c>
      <c r="C201" s="30" t="str">
        <f t="shared" si="16"/>
        <v/>
      </c>
      <c r="D201" s="41" t="str">
        <f t="shared" si="18"/>
        <v/>
      </c>
      <c r="E201" s="41" t="str">
        <f t="shared" si="19"/>
        <v/>
      </c>
      <c r="F201" s="16">
        <v>1390.07</v>
      </c>
      <c r="G201" s="16">
        <v>178.99</v>
      </c>
      <c r="H201" s="16">
        <v>27.26</v>
      </c>
      <c r="I201" s="16">
        <v>899.36</v>
      </c>
      <c r="J201" s="14">
        <v>485.15</v>
      </c>
      <c r="K201" s="38">
        <f t="shared" si="17"/>
        <v>900.86445113478464</v>
      </c>
      <c r="O201" s="33"/>
      <c r="P201" s="32"/>
      <c r="Q201" s="32"/>
      <c r="R201" s="32"/>
      <c r="S201" s="32"/>
      <c r="T201" s="32"/>
    </row>
    <row r="202" spans="1:20" ht="18" customHeight="1">
      <c r="A202" s="9">
        <v>39934</v>
      </c>
      <c r="B202" s="11">
        <v>1.108449</v>
      </c>
      <c r="C202" s="30" t="str">
        <f t="shared" si="16"/>
        <v/>
      </c>
      <c r="D202" s="41" t="str">
        <f t="shared" si="18"/>
        <v/>
      </c>
      <c r="E202" s="41" t="str">
        <f t="shared" si="19"/>
        <v/>
      </c>
      <c r="F202" s="16">
        <v>1395.89</v>
      </c>
      <c r="G202" s="16">
        <v>178.7</v>
      </c>
      <c r="H202" s="16">
        <v>33.42</v>
      </c>
      <c r="I202" s="16">
        <v>895.72</v>
      </c>
      <c r="J202" s="13">
        <v>528.79999999999995</v>
      </c>
      <c r="K202" s="38">
        <f t="shared" si="17"/>
        <v>981.91718388142658</v>
      </c>
      <c r="N202" s="33"/>
      <c r="O202" s="33"/>
      <c r="P202" s="32"/>
      <c r="Q202" s="32"/>
      <c r="R202" s="32"/>
      <c r="S202" s="32"/>
      <c r="T202" s="32"/>
    </row>
    <row r="203" spans="1:20" ht="18" customHeight="1">
      <c r="A203" s="9">
        <v>39904</v>
      </c>
      <c r="B203" s="11">
        <v>1.148882</v>
      </c>
      <c r="C203" s="30" t="str">
        <f t="shared" si="16"/>
        <v/>
      </c>
      <c r="D203" s="41" t="str">
        <f t="shared" si="18"/>
        <v/>
      </c>
      <c r="E203" s="41" t="str">
        <f t="shared" si="19"/>
        <v/>
      </c>
      <c r="F203" s="16">
        <v>1369.36</v>
      </c>
      <c r="G203" s="16">
        <v>176</v>
      </c>
      <c r="H203" s="16">
        <v>34.57</v>
      </c>
      <c r="I203" s="16">
        <v>891.93</v>
      </c>
      <c r="J203" s="14">
        <v>500.98</v>
      </c>
      <c r="K203" s="38">
        <f t="shared" si="17"/>
        <v>930.25883279295988</v>
      </c>
      <c r="M203" s="33"/>
      <c r="N203" s="33"/>
      <c r="O203" s="33"/>
      <c r="P203" s="32"/>
      <c r="Q203" s="32"/>
      <c r="R203" s="32"/>
      <c r="S203" s="32"/>
      <c r="T203" s="32"/>
    </row>
    <row r="204" spans="1:20" ht="18" customHeight="1">
      <c r="A204" s="9">
        <v>39873</v>
      </c>
      <c r="B204" s="11">
        <v>1.0096160000000001</v>
      </c>
      <c r="C204" s="30" t="str">
        <f t="shared" si="16"/>
        <v/>
      </c>
      <c r="D204" s="41" t="str">
        <f t="shared" si="18"/>
        <v/>
      </c>
      <c r="E204" s="41" t="str">
        <f t="shared" si="19"/>
        <v/>
      </c>
      <c r="F204" s="16">
        <v>1206.26</v>
      </c>
      <c r="G204" s="16">
        <v>157.01</v>
      </c>
      <c r="H204" s="16">
        <v>39.56</v>
      </c>
      <c r="I204" s="16">
        <v>798.32</v>
      </c>
      <c r="J204" s="14">
        <v>421.44</v>
      </c>
      <c r="K204" s="38">
        <f t="shared" si="17"/>
        <v>782.56274201019005</v>
      </c>
      <c r="L204" s="33"/>
      <c r="M204" s="33"/>
      <c r="N204" s="33"/>
      <c r="O204" s="33"/>
      <c r="P204" s="32"/>
      <c r="Q204" s="32"/>
      <c r="R204" s="32"/>
      <c r="S204" s="32"/>
      <c r="T204" s="32"/>
    </row>
    <row r="205" spans="1:20" ht="18" customHeight="1">
      <c r="A205" s="9">
        <v>39845</v>
      </c>
      <c r="B205" s="3">
        <v>0.89</v>
      </c>
      <c r="C205" s="30" t="str">
        <f t="shared" si="16"/>
        <v>Risk</v>
      </c>
      <c r="D205" s="41" t="str">
        <f t="shared" si="18"/>
        <v/>
      </c>
      <c r="E205" s="41" t="str">
        <f t="shared" si="19"/>
        <v/>
      </c>
      <c r="F205" s="16">
        <v>1063.03</v>
      </c>
      <c r="G205" s="16">
        <v>138.07</v>
      </c>
      <c r="H205" s="16">
        <v>47.36</v>
      </c>
      <c r="I205" s="16">
        <v>694.11</v>
      </c>
      <c r="J205" s="14">
        <v>363.21</v>
      </c>
      <c r="K205" s="38">
        <f t="shared" si="17"/>
        <v>674.43672533580377</v>
      </c>
      <c r="L205" s="33"/>
      <c r="M205" s="33"/>
      <c r="N205" s="33"/>
      <c r="O205" s="33"/>
      <c r="P205" s="32"/>
      <c r="Q205" s="32"/>
      <c r="R205" s="32"/>
      <c r="S205" s="32"/>
      <c r="T205" s="32"/>
    </row>
    <row r="206" spans="1:20" ht="18" customHeight="1">
      <c r="A206" s="9">
        <v>39814</v>
      </c>
      <c r="B206" s="3">
        <v>0.97</v>
      </c>
      <c r="C206" s="30" t="str">
        <f t="shared" si="16"/>
        <v/>
      </c>
      <c r="D206" s="41" t="str">
        <f t="shared" si="18"/>
        <v/>
      </c>
      <c r="E206" s="41" t="str">
        <f t="shared" si="19"/>
        <v/>
      </c>
      <c r="F206" s="16">
        <v>1162.1099999999999</v>
      </c>
      <c r="G206" s="16">
        <v>151.33000000000001</v>
      </c>
      <c r="H206" s="16">
        <v>48.21</v>
      </c>
      <c r="I206" s="16">
        <v>768.59</v>
      </c>
      <c r="J206" s="13">
        <v>364.9</v>
      </c>
      <c r="K206" s="28">
        <f t="shared" si="17"/>
        <v>677.5748494673461</v>
      </c>
      <c r="L206" s="33"/>
      <c r="M206" s="33"/>
      <c r="N206" s="33"/>
      <c r="O206" s="33"/>
      <c r="P206" s="32"/>
      <c r="Q206" s="32"/>
      <c r="R206" s="32"/>
      <c r="S206" s="32"/>
      <c r="T206" s="32"/>
    </row>
    <row r="207" spans="1:20" ht="18" customHeight="1">
      <c r="A207" s="9">
        <v>39783</v>
      </c>
      <c r="B207" s="3">
        <v>0.94</v>
      </c>
      <c r="C207" s="30" t="str">
        <f t="shared" si="16"/>
        <v/>
      </c>
      <c r="D207" s="41" t="str">
        <f t="shared" si="18"/>
        <v/>
      </c>
      <c r="E207" s="41" t="str">
        <f t="shared" si="19"/>
        <v/>
      </c>
      <c r="F207" s="16">
        <v>1124.47</v>
      </c>
      <c r="G207" s="16">
        <v>146.35</v>
      </c>
      <c r="H207" s="16">
        <v>48.61</v>
      </c>
      <c r="I207" s="16">
        <v>744.27</v>
      </c>
      <c r="J207" s="14">
        <v>332.05</v>
      </c>
      <c r="K207" s="28">
        <f t="shared" si="17"/>
        <v>616.57640111162596</v>
      </c>
      <c r="L207" s="33"/>
      <c r="M207" s="33"/>
      <c r="N207" s="33"/>
      <c r="O207" s="33"/>
      <c r="P207" s="32"/>
      <c r="Q207" s="32"/>
      <c r="R207" s="32"/>
      <c r="S207" s="32"/>
      <c r="T207" s="32"/>
    </row>
    <row r="208" spans="1:20" ht="18" customHeight="1">
      <c r="A208" s="9">
        <v>39753</v>
      </c>
      <c r="B208" s="3">
        <v>0.9</v>
      </c>
      <c r="C208" s="30" t="str">
        <f t="shared" si="16"/>
        <v>Risk</v>
      </c>
      <c r="D208" s="41" t="str">
        <f t="shared" si="18"/>
        <v/>
      </c>
      <c r="E208" s="41" t="str">
        <f t="shared" si="19"/>
        <v/>
      </c>
      <c r="F208" s="16">
        <v>1076.07</v>
      </c>
      <c r="G208" s="16">
        <v>140.66</v>
      </c>
      <c r="H208" s="16">
        <v>57.79</v>
      </c>
      <c r="I208" s="16">
        <v>706.45</v>
      </c>
      <c r="J208" s="14">
        <v>307.48</v>
      </c>
      <c r="K208" s="28">
        <f t="shared" si="17"/>
        <v>570.95290412227905</v>
      </c>
      <c r="L208" s="34">
        <f>$I204/$I208</f>
        <v>1.1300445891428976</v>
      </c>
      <c r="M208" s="34">
        <f>$I203/$I208</f>
        <v>1.2625521976077569</v>
      </c>
      <c r="N208" s="34">
        <f>$I202/$I208</f>
        <v>1.267917050038927</v>
      </c>
      <c r="O208" s="34">
        <f>$I201/$I208</f>
        <v>1.2730695732182036</v>
      </c>
      <c r="P208" s="34">
        <f>$I200/$I208</f>
        <v>1.4484110694316652</v>
      </c>
      <c r="Q208" s="34">
        <f>$I199/$I208</f>
        <v>1.4737207162573429</v>
      </c>
      <c r="R208" s="34">
        <f>$I198/$I208</f>
        <v>1.5751857880954065</v>
      </c>
      <c r="S208" s="34">
        <f>$I197/$I208</f>
        <v>1.4620142968362939</v>
      </c>
      <c r="T208" s="34">
        <f>$I196/$I208</f>
        <v>1.4509873310213035</v>
      </c>
    </row>
    <row r="209" spans="1:11" ht="18" customHeight="1">
      <c r="A209" s="9">
        <v>39722</v>
      </c>
      <c r="B209" s="3">
        <v>0.93</v>
      </c>
      <c r="C209" s="30" t="str">
        <f t="shared" si="16"/>
        <v/>
      </c>
      <c r="D209" s="41" t="str">
        <f t="shared" si="18"/>
        <v/>
      </c>
      <c r="E209" s="41" t="str">
        <f t="shared" si="19"/>
        <v/>
      </c>
      <c r="F209" s="16">
        <v>1113.06</v>
      </c>
      <c r="G209" s="16">
        <v>147.5</v>
      </c>
      <c r="H209" s="16">
        <v>81.27</v>
      </c>
      <c r="I209" s="16">
        <v>740.18</v>
      </c>
      <c r="J209" s="14">
        <v>308.02999999999997</v>
      </c>
      <c r="K209" s="28">
        <f t="shared" si="17"/>
        <v>571.97418712366857</v>
      </c>
    </row>
    <row r="210" spans="1:11" ht="18" customHeight="1">
      <c r="A210" s="9">
        <v>39692</v>
      </c>
      <c r="B210" s="3">
        <v>1.2</v>
      </c>
      <c r="C210" s="30" t="str">
        <f t="shared" si="16"/>
        <v/>
      </c>
      <c r="D210" s="41" t="str">
        <f t="shared" si="18"/>
        <v/>
      </c>
      <c r="E210" s="41" t="str">
        <f t="shared" si="19"/>
        <v/>
      </c>
      <c r="F210" s="16">
        <v>1448.06</v>
      </c>
      <c r="G210" s="16">
        <v>186.62</v>
      </c>
      <c r="H210" s="16">
        <v>36.78</v>
      </c>
      <c r="I210" s="16">
        <v>936.31</v>
      </c>
      <c r="J210" s="14">
        <v>440.77</v>
      </c>
      <c r="K210" s="28">
        <f t="shared" si="17"/>
        <v>818.45619731357147</v>
      </c>
    </row>
    <row r="211" spans="1:11" ht="18" customHeight="1">
      <c r="A211" s="9">
        <v>39661</v>
      </c>
      <c r="B211" s="3">
        <v>1.22</v>
      </c>
      <c r="C211" s="30" t="str">
        <f t="shared" si="16"/>
        <v/>
      </c>
      <c r="D211" s="41" t="str">
        <f t="shared" si="18"/>
        <v/>
      </c>
      <c r="E211" s="41" t="str">
        <f t="shared" si="19"/>
        <v/>
      </c>
      <c r="F211" s="16">
        <v>1474.24</v>
      </c>
      <c r="G211" s="16">
        <v>188.96</v>
      </c>
      <c r="H211" s="16">
        <v>25.66</v>
      </c>
      <c r="I211" s="16">
        <v>967.11</v>
      </c>
      <c r="J211" s="14">
        <v>470.28</v>
      </c>
      <c r="K211" s="28">
        <f t="shared" si="17"/>
        <v>873.25267253358072</v>
      </c>
    </row>
    <row r="212" spans="1:11" ht="18" customHeight="1">
      <c r="A212" s="9">
        <v>39630</v>
      </c>
      <c r="B212" s="3">
        <v>1.33</v>
      </c>
      <c r="C212" s="30" t="str">
        <f t="shared" si="16"/>
        <v/>
      </c>
      <c r="D212" s="41" t="str">
        <f t="shared" si="18"/>
        <v/>
      </c>
      <c r="E212" s="41" t="str">
        <f t="shared" si="19"/>
        <v/>
      </c>
      <c r="F212" s="16">
        <v>1594.67</v>
      </c>
      <c r="G212" s="16">
        <v>204.12</v>
      </c>
      <c r="H212" s="16">
        <v>23.82</v>
      </c>
      <c r="I212" s="16">
        <v>1048.68</v>
      </c>
      <c r="J212" s="14">
        <v>539.44000000000005</v>
      </c>
      <c r="K212" s="28">
        <f t="shared" si="17"/>
        <v>1001.6743677628539</v>
      </c>
    </row>
    <row r="213" spans="1:11" ht="18" customHeight="1">
      <c r="A213" s="9">
        <v>39600</v>
      </c>
      <c r="B213" s="3">
        <v>1.4</v>
      </c>
      <c r="C213" s="30" t="str">
        <f t="shared" si="16"/>
        <v/>
      </c>
      <c r="D213" s="41" t="str">
        <f t="shared" si="18"/>
        <v/>
      </c>
      <c r="E213" s="41" t="str">
        <f t="shared" si="19"/>
        <v/>
      </c>
      <c r="F213" s="16">
        <v>1674.92</v>
      </c>
      <c r="G213" s="16">
        <v>213.52</v>
      </c>
      <c r="H213" s="16">
        <v>25.15</v>
      </c>
      <c r="I213" s="16">
        <v>1099.31</v>
      </c>
      <c r="J213" s="14">
        <v>590.19000000000005</v>
      </c>
      <c r="K213" s="28">
        <f t="shared" si="17"/>
        <v>1095.9109356183426</v>
      </c>
    </row>
    <row r="214" spans="1:11" ht="18" customHeight="1">
      <c r="A214" s="9">
        <v>39569</v>
      </c>
      <c r="B214" s="3">
        <v>1.54</v>
      </c>
      <c r="C214" s="30" t="str">
        <f t="shared" si="16"/>
        <v/>
      </c>
      <c r="D214" s="41" t="str">
        <f t="shared" si="18"/>
        <v/>
      </c>
      <c r="E214" s="41" t="str">
        <f t="shared" si="19"/>
        <v/>
      </c>
      <c r="F214" s="16">
        <v>1852.02</v>
      </c>
      <c r="G214" s="16">
        <v>237.46</v>
      </c>
      <c r="H214" s="16">
        <v>23.06</v>
      </c>
      <c r="I214" s="16">
        <v>1222.8699999999999</v>
      </c>
      <c r="J214" s="14">
        <v>652.15</v>
      </c>
      <c r="K214" s="28">
        <f t="shared" si="17"/>
        <v>1210.9631079203341</v>
      </c>
    </row>
    <row r="215" spans="1:11" ht="18" customHeight="1">
      <c r="A215" s="9">
        <v>39539</v>
      </c>
      <c r="B215" s="3">
        <v>1.52</v>
      </c>
      <c r="C215" s="30" t="str">
        <f t="shared" si="16"/>
        <v/>
      </c>
      <c r="D215" s="41" t="str">
        <f t="shared" si="18"/>
        <v/>
      </c>
      <c r="E215" s="41" t="str">
        <f t="shared" si="19"/>
        <v/>
      </c>
      <c r="F215" s="16">
        <v>1825.47</v>
      </c>
      <c r="G215" s="16">
        <v>235</v>
      </c>
      <c r="H215" s="16">
        <v>22.04</v>
      </c>
      <c r="I215" s="16">
        <v>1221.06</v>
      </c>
      <c r="J215" s="14">
        <v>647.02</v>
      </c>
      <c r="K215" s="28">
        <f t="shared" si="17"/>
        <v>1201.4373228346462</v>
      </c>
    </row>
    <row r="216" spans="1:11" ht="18" customHeight="1">
      <c r="A216" s="9">
        <v>39508</v>
      </c>
      <c r="B216" s="3">
        <v>1.59</v>
      </c>
      <c r="C216" s="30" t="str">
        <f t="shared" si="16"/>
        <v/>
      </c>
      <c r="D216" s="41" t="str">
        <f t="shared" si="18"/>
        <v/>
      </c>
      <c r="E216" s="41" t="str">
        <f t="shared" si="19"/>
        <v/>
      </c>
      <c r="F216" s="16">
        <v>1703.99</v>
      </c>
      <c r="G216" s="16">
        <v>217.65</v>
      </c>
      <c r="H216" s="16">
        <v>27.05</v>
      </c>
      <c r="I216" s="16">
        <v>1121.1099999999999</v>
      </c>
      <c r="J216" s="14">
        <v>644.45000000000005</v>
      </c>
      <c r="K216" s="28">
        <f t="shared" si="17"/>
        <v>1196.6651459008808</v>
      </c>
    </row>
    <row r="217" spans="1:11" ht="18" customHeight="1">
      <c r="A217" s="9">
        <v>39479</v>
      </c>
      <c r="B217" s="3">
        <v>1.58</v>
      </c>
      <c r="C217" s="30" t="str">
        <f t="shared" si="16"/>
        <v/>
      </c>
      <c r="D217" s="41" t="str">
        <f t="shared" si="18"/>
        <v/>
      </c>
      <c r="E217" s="41" t="str">
        <f t="shared" si="19"/>
        <v/>
      </c>
      <c r="F217" s="16">
        <v>1711.62</v>
      </c>
      <c r="G217" s="16">
        <v>216.85</v>
      </c>
      <c r="H217" s="16">
        <v>29.21</v>
      </c>
      <c r="I217" s="16">
        <v>1122.94</v>
      </c>
      <c r="J217" s="14">
        <v>655.94</v>
      </c>
      <c r="K217" s="28">
        <f t="shared" si="17"/>
        <v>1218.0006762390003</v>
      </c>
    </row>
    <row r="218" spans="1:11" ht="18" customHeight="1">
      <c r="A218" s="9">
        <v>39448</v>
      </c>
      <c r="B218" s="3">
        <v>1.51</v>
      </c>
      <c r="C218" s="30" t="str">
        <f t="shared" si="16"/>
        <v/>
      </c>
      <c r="D218" s="41" t="str">
        <f t="shared" si="18"/>
        <v/>
      </c>
      <c r="E218" s="41" t="str">
        <f t="shared" si="19"/>
        <v/>
      </c>
      <c r="F218" s="16">
        <v>1624.68</v>
      </c>
      <c r="G218" s="16">
        <v>207.77</v>
      </c>
      <c r="H218" s="16">
        <v>31.39</v>
      </c>
      <c r="I218" s="16">
        <v>1076.3499999999999</v>
      </c>
      <c r="J218" s="14">
        <v>608.84</v>
      </c>
      <c r="K218" s="28">
        <f t="shared" si="17"/>
        <v>1130.5417137563693</v>
      </c>
    </row>
    <row r="219" spans="1:11" ht="18" customHeight="1">
      <c r="A219" s="9">
        <v>39417</v>
      </c>
      <c r="B219" s="3">
        <v>1.75</v>
      </c>
      <c r="C219" s="30" t="str">
        <f t="shared" si="16"/>
        <v/>
      </c>
      <c r="D219" s="41" t="str">
        <f t="shared" si="18"/>
        <v/>
      </c>
      <c r="E219" s="41" t="str">
        <f t="shared" si="19"/>
        <v/>
      </c>
      <c r="F219" s="16">
        <v>1897.13</v>
      </c>
      <c r="G219" s="16">
        <v>241.27</v>
      </c>
      <c r="H219" s="16">
        <v>25.13</v>
      </c>
      <c r="I219" s="16">
        <v>1252.6300000000001</v>
      </c>
      <c r="J219" s="14">
        <v>704.23</v>
      </c>
      <c r="K219" s="28">
        <f t="shared" si="17"/>
        <v>1307.6693237610011</v>
      </c>
    </row>
    <row r="220" spans="1:11" ht="18" customHeight="1">
      <c r="A220" s="9">
        <v>39387</v>
      </c>
      <c r="B220" s="3">
        <v>1.76</v>
      </c>
      <c r="C220" s="30" t="str">
        <f t="shared" si="16"/>
        <v/>
      </c>
      <c r="D220" s="41" t="str">
        <f t="shared" si="18"/>
        <v/>
      </c>
      <c r="E220" s="41" t="str">
        <f t="shared" si="19"/>
        <v/>
      </c>
      <c r="F220" s="16">
        <v>1906</v>
      </c>
      <c r="G220" s="16">
        <v>241.91</v>
      </c>
      <c r="H220" s="16">
        <v>32.76</v>
      </c>
      <c r="I220" s="16">
        <v>1254.6099999999999</v>
      </c>
      <c r="J220" s="14">
        <v>741.84</v>
      </c>
      <c r="K220" s="28">
        <f t="shared" si="17"/>
        <v>1377.5065122742017</v>
      </c>
    </row>
    <row r="221" spans="1:11" ht="18" customHeight="1">
      <c r="A221" s="9">
        <v>39356</v>
      </c>
      <c r="B221" s="3">
        <v>1.9</v>
      </c>
      <c r="C221" s="30" t="str">
        <f t="shared" si="16"/>
        <v/>
      </c>
      <c r="D221" s="41" t="str">
        <f t="shared" si="18"/>
        <v/>
      </c>
      <c r="E221" s="41" t="str">
        <f t="shared" si="19"/>
        <v/>
      </c>
      <c r="F221" s="16">
        <v>2064.85</v>
      </c>
      <c r="G221" s="16">
        <v>260.42</v>
      </c>
      <c r="H221" s="16">
        <v>34.049999999999997</v>
      </c>
      <c r="I221" s="16">
        <v>1353.07</v>
      </c>
      <c r="J221" s="14">
        <v>810.07</v>
      </c>
      <c r="K221" s="28">
        <f t="shared" si="17"/>
        <v>1504.2013107920341</v>
      </c>
    </row>
    <row r="222" spans="1:11" ht="18" customHeight="1">
      <c r="A222" s="9">
        <v>39326</v>
      </c>
      <c r="B222" s="3">
        <v>1.8</v>
      </c>
      <c r="C222" s="30" t="str">
        <f t="shared" si="16"/>
        <v/>
      </c>
      <c r="D222" s="41" t="str">
        <f t="shared" si="18"/>
        <v/>
      </c>
      <c r="E222" s="41" t="str">
        <f t="shared" si="19"/>
        <v/>
      </c>
      <c r="F222" s="16">
        <v>1946.48</v>
      </c>
      <c r="G222" s="16">
        <v>247.2</v>
      </c>
      <c r="H222" s="16">
        <v>25.78</v>
      </c>
      <c r="I222" s="16">
        <v>1290.02</v>
      </c>
      <c r="J222" s="14">
        <v>794.56</v>
      </c>
      <c r="K222" s="28">
        <f t="shared" si="17"/>
        <v>1475.401130152849</v>
      </c>
    </row>
    <row r="223" spans="1:11" ht="18" customHeight="1">
      <c r="A223" s="9">
        <v>39295</v>
      </c>
      <c r="B223" s="3">
        <v>1.73</v>
      </c>
      <c r="C223" s="30" t="str">
        <f t="shared" si="16"/>
        <v/>
      </c>
      <c r="D223" s="41" t="str">
        <f t="shared" si="18"/>
        <v/>
      </c>
      <c r="E223" s="41" t="str">
        <f t="shared" si="19"/>
        <v/>
      </c>
      <c r="F223" s="16">
        <v>1873.24</v>
      </c>
      <c r="G223" s="16">
        <v>238.28</v>
      </c>
      <c r="H223" s="16">
        <v>32.33</v>
      </c>
      <c r="I223" s="16">
        <v>1244.42</v>
      </c>
      <c r="J223" s="14">
        <v>775.13</v>
      </c>
      <c r="K223" s="28">
        <f t="shared" si="17"/>
        <v>1439.3219870310334</v>
      </c>
    </row>
    <row r="224" spans="1:11" ht="18" customHeight="1">
      <c r="A224" s="9">
        <v>39264</v>
      </c>
      <c r="B224" s="3">
        <v>1.79</v>
      </c>
      <c r="C224" s="30" t="str">
        <f t="shared" si="16"/>
        <v/>
      </c>
      <c r="D224" s="41" t="str">
        <f t="shared" si="18"/>
        <v/>
      </c>
      <c r="E224" s="41" t="str">
        <f t="shared" si="19"/>
        <v/>
      </c>
      <c r="F224" s="16">
        <v>1933.27</v>
      </c>
      <c r="G224" s="16">
        <v>244.32</v>
      </c>
      <c r="H224" s="16">
        <v>27.71</v>
      </c>
      <c r="I224" s="16">
        <v>1277.22</v>
      </c>
      <c r="J224" s="14">
        <v>811.52</v>
      </c>
      <c r="K224" s="28">
        <f t="shared" si="17"/>
        <v>1506.8937841593336</v>
      </c>
    </row>
    <row r="225" spans="1:11" ht="18" customHeight="1">
      <c r="A225" s="9">
        <v>39234</v>
      </c>
      <c r="B225" s="3">
        <v>1.61</v>
      </c>
      <c r="C225" s="30" t="str">
        <f t="shared" si="16"/>
        <v/>
      </c>
      <c r="D225" s="41" t="str">
        <f t="shared" si="18"/>
        <v/>
      </c>
      <c r="E225" s="41" t="str">
        <f t="shared" si="19"/>
        <v/>
      </c>
      <c r="F225" s="16">
        <v>1743.6</v>
      </c>
      <c r="G225" s="16">
        <v>221.31</v>
      </c>
      <c r="H225" s="16">
        <v>19.95</v>
      </c>
      <c r="I225" s="16">
        <v>1154.8599999999999</v>
      </c>
      <c r="J225" s="14">
        <v>778.69</v>
      </c>
      <c r="K225" s="28">
        <f t="shared" si="17"/>
        <v>1445.9324733673004</v>
      </c>
    </row>
    <row r="226" spans="1:11" ht="18" customHeight="1">
      <c r="A226" s="9">
        <v>39203</v>
      </c>
      <c r="B226" s="3">
        <v>1.57</v>
      </c>
      <c r="C226" s="30" t="str">
        <f t="shared" si="16"/>
        <v/>
      </c>
      <c r="D226" s="41" t="str">
        <f t="shared" si="18"/>
        <v/>
      </c>
      <c r="E226" s="41" t="str">
        <f t="shared" si="19"/>
        <v/>
      </c>
      <c r="F226" s="16">
        <v>1700.91</v>
      </c>
      <c r="G226" s="16">
        <v>216.45</v>
      </c>
      <c r="H226" s="16">
        <v>18.59</v>
      </c>
      <c r="I226" s="16">
        <v>1144.5999999999999</v>
      </c>
      <c r="J226" s="14">
        <v>747.87</v>
      </c>
      <c r="K226" s="28">
        <f t="shared" si="17"/>
        <v>1388.7034877257995</v>
      </c>
    </row>
    <row r="227" spans="1:11" ht="18" customHeight="1">
      <c r="A227" s="9">
        <v>39173</v>
      </c>
      <c r="B227" s="3">
        <v>1.42</v>
      </c>
      <c r="C227" s="30" t="str">
        <f t="shared" si="16"/>
        <v/>
      </c>
      <c r="D227" s="41" t="str">
        <f t="shared" si="18"/>
        <v/>
      </c>
      <c r="E227" s="41" t="str">
        <f t="shared" si="19"/>
        <v/>
      </c>
      <c r="F227" s="16">
        <v>1542.24</v>
      </c>
      <c r="G227" s="16">
        <v>198.55</v>
      </c>
      <c r="H227" s="16">
        <v>18.989999999999998</v>
      </c>
      <c r="I227" s="16">
        <v>1053.69</v>
      </c>
      <c r="J227" s="14">
        <v>675.88</v>
      </c>
      <c r="K227" s="28">
        <f t="shared" si="17"/>
        <v>1255.0268272348314</v>
      </c>
    </row>
    <row r="228" spans="1:11" ht="18" customHeight="1">
      <c r="A228" s="9">
        <v>39142</v>
      </c>
      <c r="B228" s="3">
        <v>1.48</v>
      </c>
      <c r="C228" s="30" t="str">
        <f t="shared" si="16"/>
        <v/>
      </c>
      <c r="D228" s="41" t="str">
        <f t="shared" si="18"/>
        <v/>
      </c>
      <c r="E228" s="41" t="str">
        <f t="shared" si="19"/>
        <v/>
      </c>
      <c r="F228" s="16">
        <v>1452.55</v>
      </c>
      <c r="G228" s="16">
        <v>187.6</v>
      </c>
      <c r="H228" s="16">
        <v>19.64</v>
      </c>
      <c r="I228" s="16">
        <v>994.41</v>
      </c>
      <c r="J228" s="14">
        <v>648.99</v>
      </c>
      <c r="K228" s="28">
        <f t="shared" si="17"/>
        <v>1205.0953728578049</v>
      </c>
    </row>
    <row r="229" spans="1:11" ht="18" customHeight="1">
      <c r="A229" s="9">
        <v>39114</v>
      </c>
      <c r="B229" s="3">
        <v>1.45</v>
      </c>
      <c r="C229" s="30" t="str">
        <f t="shared" si="16"/>
        <v/>
      </c>
      <c r="D229" s="41" t="str">
        <f t="shared" si="18"/>
        <v/>
      </c>
      <c r="E229" s="41" t="str">
        <f t="shared" si="19"/>
        <v/>
      </c>
      <c r="F229" s="16">
        <v>1417.34</v>
      </c>
      <c r="G229" s="16">
        <v>183.2</v>
      </c>
      <c r="H229" s="16">
        <v>20.38</v>
      </c>
      <c r="I229" s="16">
        <v>979.68</v>
      </c>
      <c r="J229" s="14">
        <v>600.92999999999995</v>
      </c>
      <c r="K229" s="28">
        <f t="shared" si="17"/>
        <v>1115.8538073182031</v>
      </c>
    </row>
    <row r="230" spans="1:11" ht="18" customHeight="1">
      <c r="A230" s="9">
        <v>39083</v>
      </c>
      <c r="B230" s="3">
        <v>1.39</v>
      </c>
      <c r="C230" s="30" t="str">
        <f t="shared" si="16"/>
        <v/>
      </c>
      <c r="D230" s="41" t="str">
        <f t="shared" si="18"/>
        <v/>
      </c>
      <c r="E230" s="41" t="str">
        <f t="shared" si="19"/>
        <v/>
      </c>
      <c r="F230" s="16">
        <v>1360.23</v>
      </c>
      <c r="G230" s="16">
        <v>175.99</v>
      </c>
      <c r="H230" s="16">
        <v>17.989999999999998</v>
      </c>
      <c r="I230" s="16">
        <v>947.06</v>
      </c>
      <c r="J230" s="14">
        <v>576.37</v>
      </c>
      <c r="K230" s="28">
        <f t="shared" si="17"/>
        <v>1070.2488791106998</v>
      </c>
    </row>
    <row r="231" spans="1:11" ht="18" customHeight="1">
      <c r="A231" s="9">
        <v>39052</v>
      </c>
      <c r="B231" s="3">
        <v>1.46</v>
      </c>
      <c r="C231" s="30" t="str">
        <f t="shared" si="16"/>
        <v/>
      </c>
      <c r="D231" s="41" t="str">
        <f t="shared" si="18"/>
        <v/>
      </c>
      <c r="E231" s="41" t="str">
        <f t="shared" si="19"/>
        <v/>
      </c>
      <c r="F231" s="16">
        <v>1434.46</v>
      </c>
      <c r="G231" s="16">
        <v>185.39</v>
      </c>
      <c r="H231" s="16">
        <v>15.4</v>
      </c>
      <c r="I231" s="16">
        <v>1000</v>
      </c>
      <c r="J231" s="14">
        <v>606.15</v>
      </c>
      <c r="K231" s="28">
        <f t="shared" si="17"/>
        <v>1125.5467114404821</v>
      </c>
    </row>
    <row r="232" spans="1:11" ht="18" customHeight="1">
      <c r="A232" s="9">
        <v>39022</v>
      </c>
      <c r="B232" s="3">
        <v>1.46</v>
      </c>
      <c r="C232" s="30" t="str">
        <f t="shared" si="16"/>
        <v/>
      </c>
      <c r="D232" s="41" t="str">
        <f t="shared" si="18"/>
        <v/>
      </c>
      <c r="E232" s="41" t="str">
        <f t="shared" si="19"/>
        <v/>
      </c>
      <c r="F232" s="16">
        <v>1432.21</v>
      </c>
      <c r="G232" s="16">
        <v>184.96</v>
      </c>
      <c r="H232" s="16">
        <v>14.68</v>
      </c>
      <c r="I232" s="28">
        <f>(G232/G231)*I231</f>
        <v>997.68056529478406</v>
      </c>
      <c r="J232" s="14">
        <v>622.16999999999996</v>
      </c>
      <c r="K232" s="28">
        <f t="shared" si="17"/>
        <v>1155.2938999536825</v>
      </c>
    </row>
    <row r="233" spans="1:11" ht="18" customHeight="1">
      <c r="A233" s="9">
        <v>38991</v>
      </c>
      <c r="B233" s="3">
        <v>1.4</v>
      </c>
      <c r="C233" s="30" t="str">
        <f t="shared" si="16"/>
        <v/>
      </c>
      <c r="D233" s="41" t="str">
        <f t="shared" si="18"/>
        <v/>
      </c>
      <c r="E233" s="41" t="str">
        <f t="shared" si="19"/>
        <v/>
      </c>
      <c r="F233" s="16">
        <v>1364.55</v>
      </c>
      <c r="G233" s="16">
        <v>176.84</v>
      </c>
      <c r="H233" s="16">
        <v>16.84</v>
      </c>
      <c r="I233" s="28">
        <f t="shared" ref="I233:I271" si="20">(G233/G232)*I232</f>
        <v>953.88100760558825</v>
      </c>
      <c r="J233" s="13">
        <v>586.1</v>
      </c>
      <c r="K233" s="28">
        <f t="shared" si="17"/>
        <v>1088.3163038443729</v>
      </c>
    </row>
    <row r="234" spans="1:11" ht="18" customHeight="1">
      <c r="A234" s="9">
        <v>38961</v>
      </c>
      <c r="B234" s="3">
        <v>1.4</v>
      </c>
      <c r="C234" s="30" t="str">
        <f t="shared" si="16"/>
        <v/>
      </c>
      <c r="D234" s="41" t="str">
        <f t="shared" si="18"/>
        <v/>
      </c>
      <c r="E234" s="41" t="str">
        <f t="shared" si="19"/>
        <v/>
      </c>
      <c r="F234" s="16">
        <v>1371.41</v>
      </c>
      <c r="G234" s="16">
        <v>178.05</v>
      </c>
      <c r="H234" s="16">
        <v>16.71</v>
      </c>
      <c r="I234" s="28">
        <f t="shared" si="20"/>
        <v>960.40778898538224</v>
      </c>
      <c r="J234" s="14">
        <v>600.41999999999996</v>
      </c>
      <c r="K234" s="28">
        <f t="shared" si="17"/>
        <v>1114.9067994441875</v>
      </c>
    </row>
    <row r="235" spans="1:11" ht="18" customHeight="1">
      <c r="A235" s="9">
        <v>38930</v>
      </c>
      <c r="B235" s="3">
        <v>1.38</v>
      </c>
      <c r="C235" s="30" t="str">
        <f t="shared" si="16"/>
        <v/>
      </c>
      <c r="D235" s="41" t="str">
        <f t="shared" si="18"/>
        <v/>
      </c>
      <c r="E235" s="41" t="str">
        <f t="shared" si="19"/>
        <v/>
      </c>
      <c r="F235" s="16">
        <v>1352.74</v>
      </c>
      <c r="G235" s="16">
        <v>175.44</v>
      </c>
      <c r="H235" s="16">
        <v>17.899999999999999</v>
      </c>
      <c r="I235" s="28">
        <f t="shared" si="20"/>
        <v>946.32935972814062</v>
      </c>
      <c r="J235" s="14">
        <v>572.83000000000004</v>
      </c>
      <c r="K235" s="28">
        <f t="shared" si="17"/>
        <v>1063.6755303381201</v>
      </c>
    </row>
    <row r="236" spans="1:11" ht="18" customHeight="1">
      <c r="A236" s="9">
        <v>38899</v>
      </c>
      <c r="B236" s="3">
        <v>1.33</v>
      </c>
      <c r="C236" s="30" t="str">
        <f t="shared" si="16"/>
        <v/>
      </c>
      <c r="D236" s="41" t="str">
        <f t="shared" si="18"/>
        <v/>
      </c>
      <c r="E236" s="41" t="str">
        <f t="shared" si="19"/>
        <v/>
      </c>
      <c r="F236" s="16">
        <v>1297.82</v>
      </c>
      <c r="G236" s="16">
        <v>168.51</v>
      </c>
      <c r="H236" s="16">
        <v>23.75</v>
      </c>
      <c r="I236" s="28">
        <f t="shared" si="20"/>
        <v>908.94870273477522</v>
      </c>
      <c r="J236" s="14">
        <v>557.66</v>
      </c>
      <c r="K236" s="28">
        <f t="shared" si="17"/>
        <v>1035.5066882816122</v>
      </c>
    </row>
    <row r="237" spans="1:11" ht="18" customHeight="1">
      <c r="A237" s="9">
        <v>38869</v>
      </c>
      <c r="B237" s="3">
        <v>1.33</v>
      </c>
      <c r="C237" s="30" t="str">
        <f t="shared" si="16"/>
        <v/>
      </c>
      <c r="D237" s="41" t="str">
        <f t="shared" si="18"/>
        <v/>
      </c>
      <c r="E237" s="41" t="str">
        <f t="shared" si="19"/>
        <v/>
      </c>
      <c r="F237" s="16">
        <v>1295.1500000000001</v>
      </c>
      <c r="G237" s="16">
        <v>167.45</v>
      </c>
      <c r="H237" s="16">
        <v>22.72</v>
      </c>
      <c r="I237" s="28">
        <f t="shared" si="20"/>
        <v>903.23102648470774</v>
      </c>
      <c r="J237" s="14">
        <v>590.67999999999995</v>
      </c>
      <c r="K237" s="28">
        <f t="shared" si="17"/>
        <v>1096.8208059286712</v>
      </c>
    </row>
    <row r="238" spans="1:11" ht="18" customHeight="1">
      <c r="A238" s="9">
        <v>38838</v>
      </c>
      <c r="B238" s="3">
        <v>1.36</v>
      </c>
      <c r="C238" s="30" t="str">
        <f t="shared" si="16"/>
        <v/>
      </c>
      <c r="D238" s="41" t="str">
        <f t="shared" si="18"/>
        <v/>
      </c>
      <c r="E238" s="41" t="str">
        <f t="shared" si="19"/>
        <v/>
      </c>
      <c r="F238" s="16">
        <v>1317.7</v>
      </c>
      <c r="G238" s="16">
        <v>171.01</v>
      </c>
      <c r="H238" s="16">
        <v>21.21</v>
      </c>
      <c r="I238" s="28">
        <f t="shared" si="20"/>
        <v>922.43378823021726</v>
      </c>
      <c r="J238" s="13">
        <v>630.5</v>
      </c>
      <c r="K238" s="28">
        <f t="shared" si="17"/>
        <v>1170.7616952292733</v>
      </c>
    </row>
    <row r="239" spans="1:11" ht="18" customHeight="1">
      <c r="A239" s="9">
        <v>38808</v>
      </c>
      <c r="B239" s="3">
        <v>1.46</v>
      </c>
      <c r="C239" s="30" t="str">
        <f t="shared" si="16"/>
        <v/>
      </c>
      <c r="D239" s="41" t="str">
        <f t="shared" si="18"/>
        <v/>
      </c>
      <c r="E239" s="41" t="str">
        <f t="shared" si="19"/>
        <v/>
      </c>
      <c r="F239" s="16">
        <v>1419.73</v>
      </c>
      <c r="G239" s="16">
        <v>184.1</v>
      </c>
      <c r="H239" s="16">
        <v>17.98</v>
      </c>
      <c r="I239" s="28">
        <f t="shared" si="20"/>
        <v>993.04169588435184</v>
      </c>
      <c r="J239" s="14">
        <v>685.44</v>
      </c>
      <c r="K239" s="28">
        <f t="shared" si="17"/>
        <v>1272.778582677166</v>
      </c>
    </row>
    <row r="240" spans="1:11" ht="18" customHeight="1">
      <c r="A240" s="9">
        <v>38777</v>
      </c>
      <c r="B240" s="3">
        <v>1.63</v>
      </c>
      <c r="C240" s="30" t="str">
        <f t="shared" si="16"/>
        <v/>
      </c>
      <c r="D240" s="41" t="str">
        <f t="shared" si="18"/>
        <v/>
      </c>
      <c r="E240" s="41" t="str">
        <f t="shared" si="19"/>
        <v/>
      </c>
      <c r="F240" s="16">
        <v>1359.6</v>
      </c>
      <c r="G240" s="16">
        <v>176.21</v>
      </c>
      <c r="H240" s="16">
        <v>18.190000000000001</v>
      </c>
      <c r="I240" s="28">
        <f t="shared" si="20"/>
        <v>950.48276606073682</v>
      </c>
      <c r="J240" s="14">
        <v>665.21</v>
      </c>
      <c r="K240" s="28">
        <f t="shared" si="17"/>
        <v>1235.2139370078746</v>
      </c>
    </row>
    <row r="241" spans="1:11" ht="18" customHeight="1">
      <c r="A241" s="9">
        <v>38749</v>
      </c>
      <c r="B241" s="3">
        <v>1.64</v>
      </c>
      <c r="C241" s="30" t="str">
        <f t="shared" si="16"/>
        <v/>
      </c>
      <c r="D241" s="41" t="str">
        <f t="shared" si="18"/>
        <v/>
      </c>
      <c r="E241" s="41" t="str">
        <f t="shared" si="19"/>
        <v/>
      </c>
      <c r="F241" s="16">
        <v>1371.59</v>
      </c>
      <c r="G241" s="16">
        <v>177.45</v>
      </c>
      <c r="H241" s="16">
        <v>19.899999999999999</v>
      </c>
      <c r="I241" s="28">
        <f t="shared" si="20"/>
        <v>957.171368466476</v>
      </c>
      <c r="J241" s="14">
        <v>682.36</v>
      </c>
      <c r="K241" s="28">
        <f t="shared" si="17"/>
        <v>1267.0593978693844</v>
      </c>
    </row>
    <row r="242" spans="1:11" ht="18" customHeight="1">
      <c r="A242" s="9">
        <v>38718</v>
      </c>
      <c r="B242" s="3">
        <v>1.65</v>
      </c>
      <c r="C242" s="30" t="str">
        <f t="shared" si="16"/>
        <v/>
      </c>
      <c r="D242" s="41" t="str">
        <f t="shared" si="18"/>
        <v/>
      </c>
      <c r="E242" s="41" t="str">
        <f t="shared" si="19"/>
        <v/>
      </c>
      <c r="F242" s="16">
        <v>1399.83</v>
      </c>
      <c r="G242" s="16">
        <v>180.65</v>
      </c>
      <c r="H242" s="16">
        <v>21.57</v>
      </c>
      <c r="I242" s="28">
        <f t="shared" si="20"/>
        <v>974.43227790064191</v>
      </c>
      <c r="J242" s="14">
        <v>690.24</v>
      </c>
      <c r="K242" s="28">
        <f t="shared" si="17"/>
        <v>1281.6915979620198</v>
      </c>
    </row>
    <row r="243" spans="1:11" ht="18" customHeight="1">
      <c r="A243" s="9">
        <v>38687</v>
      </c>
      <c r="B243" s="3">
        <v>1.63</v>
      </c>
      <c r="C243" s="30" t="str">
        <f t="shared" si="16"/>
        <v/>
      </c>
      <c r="D243" s="41" t="str">
        <f t="shared" si="18"/>
        <v/>
      </c>
      <c r="E243" s="41" t="str">
        <f t="shared" si="19"/>
        <v/>
      </c>
      <c r="F243" s="16">
        <v>1379.37</v>
      </c>
      <c r="G243" s="16">
        <v>177.43</v>
      </c>
      <c r="H243" s="16">
        <v>19.440000000000001</v>
      </c>
      <c r="I243" s="28">
        <f t="shared" si="20"/>
        <v>957.06348778251254</v>
      </c>
      <c r="J243" s="14">
        <v>701.79</v>
      </c>
      <c r="K243" s="28">
        <f t="shared" si="17"/>
        <v>1303.1385409912</v>
      </c>
    </row>
    <row r="244" spans="1:11" ht="18" customHeight="1">
      <c r="A244" s="9">
        <v>38657</v>
      </c>
      <c r="B244" s="3">
        <v>1.53</v>
      </c>
      <c r="C244" s="30" t="str">
        <f t="shared" si="16"/>
        <v/>
      </c>
      <c r="D244" s="41" t="str">
        <f t="shared" si="18"/>
        <v/>
      </c>
      <c r="E244" s="41" t="str">
        <f t="shared" si="19"/>
        <v/>
      </c>
      <c r="F244" s="16">
        <v>1297.44</v>
      </c>
      <c r="G244" s="16">
        <v>165.95</v>
      </c>
      <c r="H244" s="16">
        <v>23.38</v>
      </c>
      <c r="I244" s="28">
        <f t="shared" si="20"/>
        <v>895.13997518744259</v>
      </c>
      <c r="J244" s="14">
        <v>712.39</v>
      </c>
      <c r="K244" s="28">
        <f t="shared" si="17"/>
        <v>1322.8214497452527</v>
      </c>
    </row>
    <row r="245" spans="1:11" ht="18" customHeight="1">
      <c r="A245" s="9">
        <v>38626</v>
      </c>
      <c r="B245" s="3">
        <v>1.35</v>
      </c>
      <c r="C245" s="30" t="str">
        <f t="shared" si="16"/>
        <v/>
      </c>
      <c r="D245" s="41" t="str">
        <f t="shared" si="18"/>
        <v/>
      </c>
      <c r="E245" s="41" t="str">
        <f t="shared" si="19"/>
        <v/>
      </c>
      <c r="F245" s="16">
        <v>1158.1099999999999</v>
      </c>
      <c r="G245" s="16">
        <v>148.84</v>
      </c>
      <c r="H245" s="16">
        <v>25.85</v>
      </c>
      <c r="I245" s="28">
        <f t="shared" si="20"/>
        <v>802.84805005663725</v>
      </c>
      <c r="J245" s="14">
        <v>587.46</v>
      </c>
      <c r="K245" s="28">
        <f t="shared" si="17"/>
        <v>1090.8416581750814</v>
      </c>
    </row>
    <row r="246" spans="1:11" ht="18" customHeight="1">
      <c r="A246" s="9">
        <v>38596</v>
      </c>
      <c r="B246" s="3">
        <v>1.43</v>
      </c>
      <c r="C246" s="30" t="str">
        <f t="shared" si="16"/>
        <v/>
      </c>
      <c r="D246" s="41" t="str">
        <f t="shared" si="18"/>
        <v/>
      </c>
      <c r="E246" s="41" t="str">
        <f t="shared" si="19"/>
        <v/>
      </c>
      <c r="F246" s="16">
        <v>1221.01</v>
      </c>
      <c r="G246" s="16">
        <v>157.55000000000001</v>
      </c>
      <c r="H246" s="16">
        <v>23.82</v>
      </c>
      <c r="I246" s="28">
        <f t="shared" si="20"/>
        <v>849.83008792275734</v>
      </c>
      <c r="J246" s="14">
        <v>571.95000000000005</v>
      </c>
      <c r="K246" s="28">
        <f t="shared" si="17"/>
        <v>1062.0414775358968</v>
      </c>
    </row>
    <row r="247" spans="1:11" ht="18" customHeight="1">
      <c r="A247" s="9">
        <v>38565</v>
      </c>
      <c r="B247" s="3">
        <v>1.27</v>
      </c>
      <c r="C247" s="30" t="str">
        <f t="shared" si="16"/>
        <v/>
      </c>
      <c r="D247" s="41" t="str">
        <f t="shared" si="18"/>
        <v/>
      </c>
      <c r="E247" s="41" t="str">
        <f t="shared" si="19"/>
        <v/>
      </c>
      <c r="F247" s="16">
        <v>1083.33</v>
      </c>
      <c r="G247" s="16">
        <v>140.09</v>
      </c>
      <c r="H247" s="16">
        <v>21.12</v>
      </c>
      <c r="I247" s="28">
        <f t="shared" si="20"/>
        <v>755.65025082259012</v>
      </c>
      <c r="J247" s="14">
        <v>503.95</v>
      </c>
      <c r="K247" s="28">
        <f t="shared" si="17"/>
        <v>935.77376100046365</v>
      </c>
    </row>
    <row r="248" spans="1:11" ht="18" customHeight="1">
      <c r="A248" s="9">
        <v>38534</v>
      </c>
      <c r="B248" s="3">
        <v>1.3</v>
      </c>
      <c r="C248" s="30" t="str">
        <f t="shared" si="16"/>
        <v/>
      </c>
      <c r="D248" s="41" t="str">
        <f t="shared" si="18"/>
        <v/>
      </c>
      <c r="E248" s="41" t="str">
        <f t="shared" si="19"/>
        <v/>
      </c>
      <c r="F248" s="16">
        <v>1111.29</v>
      </c>
      <c r="G248" s="16">
        <v>143.32</v>
      </c>
      <c r="H248" s="16">
        <v>16.88</v>
      </c>
      <c r="I248" s="28">
        <f t="shared" si="20"/>
        <v>773.07298128270122</v>
      </c>
      <c r="J248" s="14">
        <v>546.67999999999995</v>
      </c>
      <c r="K248" s="28">
        <f t="shared" si="17"/>
        <v>1015.1181658175085</v>
      </c>
    </row>
    <row r="249" spans="1:11" ht="18" customHeight="1">
      <c r="A249" s="9">
        <v>38504</v>
      </c>
      <c r="B249" s="3">
        <v>1.18</v>
      </c>
      <c r="C249" s="30" t="str">
        <f t="shared" si="16"/>
        <v/>
      </c>
      <c r="D249" s="41" t="str">
        <f t="shared" si="18"/>
        <v/>
      </c>
      <c r="E249" s="41" t="str">
        <f t="shared" si="19"/>
        <v/>
      </c>
      <c r="F249" s="16">
        <v>1008.16</v>
      </c>
      <c r="G249" s="16">
        <v>129.43</v>
      </c>
      <c r="H249" s="16">
        <v>15.76</v>
      </c>
      <c r="I249" s="28">
        <f t="shared" si="20"/>
        <v>698.14984627002536</v>
      </c>
      <c r="J249" s="14">
        <v>503.21</v>
      </c>
      <c r="K249" s="28">
        <f t="shared" si="17"/>
        <v>934.39967114404863</v>
      </c>
    </row>
    <row r="250" spans="1:11" ht="18" customHeight="1">
      <c r="A250" s="9">
        <v>38473</v>
      </c>
      <c r="B250" s="3">
        <v>1.1399999999999999</v>
      </c>
      <c r="C250" s="30" t="str">
        <f t="shared" si="16"/>
        <v/>
      </c>
      <c r="D250" s="41" t="str">
        <f t="shared" si="18"/>
        <v/>
      </c>
      <c r="E250" s="41" t="str">
        <f t="shared" si="19"/>
        <v/>
      </c>
      <c r="F250" s="16">
        <v>970.21</v>
      </c>
      <c r="G250" s="16">
        <v>124.84</v>
      </c>
      <c r="H250" s="16">
        <v>16.350000000000001</v>
      </c>
      <c r="I250" s="28">
        <f t="shared" si="20"/>
        <v>673.39122930039377</v>
      </c>
      <c r="J250" s="14">
        <v>471.48</v>
      </c>
      <c r="K250" s="28">
        <f t="shared" si="17"/>
        <v>875.48092635479441</v>
      </c>
    </row>
    <row r="251" spans="1:11" ht="18" customHeight="1">
      <c r="A251" s="9">
        <v>38443</v>
      </c>
      <c r="B251" s="3">
        <v>1.07</v>
      </c>
      <c r="C251" s="30" t="str">
        <f t="shared" si="16"/>
        <v/>
      </c>
      <c r="D251" s="41" t="str">
        <f t="shared" si="18"/>
        <v/>
      </c>
      <c r="E251" s="41" t="str">
        <f t="shared" si="19"/>
        <v/>
      </c>
      <c r="F251" s="16">
        <v>911.3</v>
      </c>
      <c r="G251" s="16">
        <v>117.58</v>
      </c>
      <c r="H251" s="16">
        <v>22.48</v>
      </c>
      <c r="I251" s="28">
        <f t="shared" si="20"/>
        <v>634.23054102163007</v>
      </c>
      <c r="J251" s="13">
        <v>424.4</v>
      </c>
      <c r="K251" s="28">
        <f t="shared" si="17"/>
        <v>788.05910143585038</v>
      </c>
    </row>
    <row r="252" spans="1:11" ht="18" customHeight="1">
      <c r="A252" s="9">
        <v>38412</v>
      </c>
      <c r="B252" s="3">
        <v>1.27</v>
      </c>
      <c r="C252" s="30" t="str">
        <f t="shared" si="16"/>
        <v/>
      </c>
      <c r="D252" s="41" t="str">
        <f t="shared" si="18"/>
        <v/>
      </c>
      <c r="E252" s="41" t="str">
        <f t="shared" si="19"/>
        <v/>
      </c>
      <c r="F252" s="16">
        <v>965.68</v>
      </c>
      <c r="G252" s="16">
        <v>124.78</v>
      </c>
      <c r="H252" s="16">
        <v>19.690000000000001</v>
      </c>
      <c r="I252" s="28">
        <f t="shared" si="20"/>
        <v>673.06758724850317</v>
      </c>
      <c r="J252" s="14">
        <v>455.03</v>
      </c>
      <c r="K252" s="28">
        <f t="shared" si="17"/>
        <v>844.93528022232556</v>
      </c>
    </row>
    <row r="253" spans="1:11" ht="18" customHeight="1">
      <c r="A253" s="9">
        <v>38384</v>
      </c>
      <c r="B253" s="3">
        <v>1.33</v>
      </c>
      <c r="C253" s="30" t="str">
        <f t="shared" si="16"/>
        <v/>
      </c>
      <c r="D253" s="41" t="str">
        <f t="shared" si="18"/>
        <v/>
      </c>
      <c r="E253" s="41" t="str">
        <f t="shared" si="19"/>
        <v/>
      </c>
      <c r="F253" s="16">
        <v>1011.36</v>
      </c>
      <c r="G253" s="16">
        <v>130.85</v>
      </c>
      <c r="H253" s="16">
        <v>16.670000000000002</v>
      </c>
      <c r="I253" s="28">
        <f t="shared" si="20"/>
        <v>705.80937483143634</v>
      </c>
      <c r="J253" s="14">
        <v>498.38</v>
      </c>
      <c r="K253" s="28">
        <f t="shared" si="17"/>
        <v>925.43094951366425</v>
      </c>
    </row>
    <row r="254" spans="1:11" ht="18" customHeight="1">
      <c r="A254" s="9">
        <v>38353</v>
      </c>
      <c r="B254" s="3">
        <v>1.23</v>
      </c>
      <c r="C254" s="30" t="str">
        <f t="shared" si="16"/>
        <v/>
      </c>
      <c r="D254" s="41" t="str">
        <f t="shared" si="18"/>
        <v/>
      </c>
      <c r="E254" s="41" t="str">
        <f t="shared" si="19"/>
        <v/>
      </c>
      <c r="F254" s="16">
        <v>932.7</v>
      </c>
      <c r="G254" s="16">
        <v>121.06</v>
      </c>
      <c r="H254" s="16">
        <v>18.12</v>
      </c>
      <c r="I254" s="28">
        <f t="shared" si="20"/>
        <v>653.00178003128542</v>
      </c>
      <c r="J254" s="14">
        <v>472.95</v>
      </c>
      <c r="K254" s="28">
        <f t="shared" si="17"/>
        <v>878.2105372857809</v>
      </c>
    </row>
    <row r="255" spans="1:11" ht="18" customHeight="1">
      <c r="A255" s="9">
        <v>38322</v>
      </c>
      <c r="B255" s="3">
        <v>1.1599999999999999</v>
      </c>
      <c r="C255" s="30" t="str">
        <f t="shared" si="16"/>
        <v/>
      </c>
      <c r="D255" s="41" t="str">
        <f t="shared" si="18"/>
        <v/>
      </c>
      <c r="E255" s="41" t="str">
        <f t="shared" si="19"/>
        <v/>
      </c>
      <c r="F255" s="16">
        <v>895.92</v>
      </c>
      <c r="G255" s="16">
        <v>115.25</v>
      </c>
      <c r="H255" s="16">
        <v>21.29</v>
      </c>
      <c r="I255" s="28">
        <f t="shared" si="20"/>
        <v>621.66244133987811</v>
      </c>
      <c r="J255" s="14">
        <v>380.33</v>
      </c>
      <c r="K255" s="28">
        <f t="shared" si="17"/>
        <v>706.22647985178367</v>
      </c>
    </row>
    <row r="256" spans="1:11" ht="18" customHeight="1">
      <c r="A256" s="9">
        <v>38292</v>
      </c>
      <c r="B256" s="3">
        <v>1.1299999999999999</v>
      </c>
      <c r="C256" s="30" t="str">
        <f t="shared" si="16"/>
        <v/>
      </c>
      <c r="D256" s="41" t="str">
        <f t="shared" si="18"/>
        <v/>
      </c>
      <c r="E256" s="41" t="str">
        <f t="shared" si="19"/>
        <v/>
      </c>
      <c r="F256" s="16">
        <v>878.06</v>
      </c>
      <c r="G256" s="16">
        <v>113.4</v>
      </c>
      <c r="H256" s="16">
        <v>25.05</v>
      </c>
      <c r="I256" s="28">
        <f t="shared" si="20"/>
        <v>611.68347807325108</v>
      </c>
      <c r="J256" s="14">
        <v>373.43</v>
      </c>
      <c r="K256" s="28">
        <f t="shared" si="17"/>
        <v>693.41402037980595</v>
      </c>
    </row>
    <row r="257" spans="1:20" ht="18" customHeight="1">
      <c r="A257" s="9">
        <v>38261</v>
      </c>
      <c r="B257" s="3">
        <v>1.08</v>
      </c>
      <c r="C257" s="30" t="str">
        <f t="shared" si="16"/>
        <v/>
      </c>
      <c r="D257" s="41" t="str">
        <f t="shared" si="18"/>
        <v/>
      </c>
      <c r="E257" s="41" t="str">
        <f t="shared" si="19"/>
        <v/>
      </c>
      <c r="F257" s="16">
        <v>834.84</v>
      </c>
      <c r="G257" s="16">
        <v>107.99</v>
      </c>
      <c r="H257" s="16">
        <v>27.17</v>
      </c>
      <c r="I257" s="28">
        <f t="shared" si="20"/>
        <v>582.50175306111441</v>
      </c>
      <c r="J257" s="14">
        <v>357.04</v>
      </c>
      <c r="K257" s="28">
        <f t="shared" si="17"/>
        <v>662.97978693839787</v>
      </c>
    </row>
    <row r="258" spans="1:20" ht="18" customHeight="1">
      <c r="A258" s="9">
        <v>38231</v>
      </c>
      <c r="B258" s="3">
        <v>1.08</v>
      </c>
      <c r="C258" s="30" t="str">
        <f t="shared" si="16"/>
        <v/>
      </c>
      <c r="D258" s="41" t="str">
        <f t="shared" si="18"/>
        <v/>
      </c>
      <c r="E258" s="41" t="str">
        <f t="shared" si="19"/>
        <v/>
      </c>
      <c r="F258" s="16">
        <v>835.09</v>
      </c>
      <c r="G258" s="16">
        <v>107.69</v>
      </c>
      <c r="H258" s="21">
        <v>23.73</v>
      </c>
      <c r="I258" s="28">
        <f t="shared" si="20"/>
        <v>580.88354280166141</v>
      </c>
      <c r="J258" s="14">
        <v>362.08</v>
      </c>
      <c r="K258" s="28">
        <f t="shared" si="17"/>
        <v>672.33845298749463</v>
      </c>
    </row>
    <row r="259" spans="1:20" ht="18" customHeight="1">
      <c r="A259" s="9">
        <v>38200</v>
      </c>
      <c r="B259" s="3">
        <v>1.03</v>
      </c>
      <c r="C259" s="30" t="str">
        <f t="shared" si="16"/>
        <v/>
      </c>
      <c r="D259" s="41" t="str">
        <f t="shared" si="18"/>
        <v/>
      </c>
      <c r="E259" s="41" t="str">
        <f t="shared" si="19"/>
        <v/>
      </c>
      <c r="F259" s="16">
        <v>803.57</v>
      </c>
      <c r="G259" s="16">
        <v>102.89</v>
      </c>
      <c r="H259" s="21">
        <v>22.76</v>
      </c>
      <c r="I259" s="28">
        <f t="shared" si="20"/>
        <v>554.99217865041271</v>
      </c>
      <c r="J259" s="14">
        <v>355.66</v>
      </c>
      <c r="K259" s="28">
        <f t="shared" si="17"/>
        <v>660.41729504400234</v>
      </c>
    </row>
    <row r="260" spans="1:20" ht="18" customHeight="1">
      <c r="A260" s="9">
        <v>38169</v>
      </c>
      <c r="B260" s="3">
        <v>0.96</v>
      </c>
      <c r="C260" s="30" t="str">
        <f t="shared" ref="C260:C323" si="21">IF(B260&lt;=C$1, "Risk", "")</f>
        <v/>
      </c>
      <c r="D260" s="41" t="str">
        <f t="shared" si="18"/>
        <v/>
      </c>
      <c r="E260" s="41" t="str">
        <f t="shared" si="19"/>
        <v/>
      </c>
      <c r="F260" s="16">
        <v>735.34</v>
      </c>
      <c r="G260" s="16">
        <v>95.27</v>
      </c>
      <c r="H260" s="21">
        <v>28.62</v>
      </c>
      <c r="I260" s="28">
        <f t="shared" si="20"/>
        <v>513.8896380603054</v>
      </c>
      <c r="J260" s="14">
        <v>331.21</v>
      </c>
      <c r="K260" s="28">
        <f t="shared" ref="K260:K265" si="22">(J260/J259)*K259</f>
        <v>615.01662343677663</v>
      </c>
    </row>
    <row r="261" spans="1:20" ht="18" customHeight="1">
      <c r="A261" s="9">
        <v>38139</v>
      </c>
      <c r="B261" s="3">
        <v>1.01</v>
      </c>
      <c r="C261" s="30" t="str">
        <f t="shared" si="21"/>
        <v/>
      </c>
      <c r="D261" s="41" t="str">
        <f t="shared" ref="D261:D324" si="23">IF(B261&lt;=D$1, "Risk", "")</f>
        <v/>
      </c>
      <c r="E261" s="41" t="str">
        <f t="shared" ref="E261:E324" si="24">IF(B261&lt;=E$1, "Risk", "")</f>
        <v/>
      </c>
      <c r="F261" s="16">
        <v>785.79</v>
      </c>
      <c r="G261" s="16">
        <v>101.85</v>
      </c>
      <c r="H261" s="21">
        <v>32.36</v>
      </c>
      <c r="I261" s="28">
        <f t="shared" si="20"/>
        <v>549.38238308430891</v>
      </c>
      <c r="J261" s="14">
        <v>385.18</v>
      </c>
      <c r="K261" s="28">
        <f t="shared" si="22"/>
        <v>715.23233904585504</v>
      </c>
    </row>
    <row r="262" spans="1:20" ht="18" customHeight="1">
      <c r="A262" s="9">
        <v>38108</v>
      </c>
      <c r="B262" s="3">
        <v>1.02</v>
      </c>
      <c r="C262" s="30" t="str">
        <f t="shared" si="21"/>
        <v/>
      </c>
      <c r="D262" s="41" t="str">
        <f t="shared" si="23"/>
        <v/>
      </c>
      <c r="E262" s="41" t="str">
        <f t="shared" si="24"/>
        <v/>
      </c>
      <c r="F262" s="16">
        <v>803.84</v>
      </c>
      <c r="G262" s="16">
        <v>104.14</v>
      </c>
      <c r="H262" s="21">
        <v>30.14</v>
      </c>
      <c r="I262" s="28">
        <f t="shared" si="20"/>
        <v>561.73472139813396</v>
      </c>
      <c r="J262" s="14">
        <v>400.92</v>
      </c>
      <c r="K262" s="28">
        <f t="shared" si="22"/>
        <v>744.45960166743907</v>
      </c>
    </row>
    <row r="263" spans="1:20" ht="18" customHeight="1">
      <c r="A263" s="9">
        <v>38078</v>
      </c>
      <c r="B263" s="3">
        <v>1.1000000000000001</v>
      </c>
      <c r="C263" s="30" t="str">
        <f t="shared" si="21"/>
        <v/>
      </c>
      <c r="D263" s="41" t="str">
        <f t="shared" si="23"/>
        <v/>
      </c>
      <c r="E263" s="41" t="str">
        <f t="shared" si="24"/>
        <v/>
      </c>
      <c r="F263" s="16">
        <v>862.84</v>
      </c>
      <c r="G263" s="16">
        <v>112.4</v>
      </c>
      <c r="H263" s="21">
        <v>24.47</v>
      </c>
      <c r="I263" s="28">
        <f t="shared" si="20"/>
        <v>606.28944387507454</v>
      </c>
      <c r="J263" s="14">
        <v>453.47</v>
      </c>
      <c r="K263" s="28">
        <f t="shared" si="22"/>
        <v>842.03855025474809</v>
      </c>
      <c r="T263" s="32"/>
    </row>
    <row r="264" spans="1:20" ht="18" customHeight="1">
      <c r="A264" s="9">
        <v>38047</v>
      </c>
      <c r="B264" s="3">
        <v>1.1100000000000001</v>
      </c>
      <c r="C264" s="30" t="str">
        <f t="shared" si="21"/>
        <v/>
      </c>
      <c r="D264" s="41" t="str">
        <f t="shared" si="23"/>
        <v/>
      </c>
      <c r="E264" s="41" t="str">
        <f t="shared" si="24"/>
        <v/>
      </c>
      <c r="F264" s="16">
        <v>880.5</v>
      </c>
      <c r="G264" s="16">
        <v>115.98</v>
      </c>
      <c r="H264" s="21">
        <v>24.66</v>
      </c>
      <c r="I264" s="28">
        <f t="shared" si="20"/>
        <v>625.60008630454752</v>
      </c>
      <c r="J264" s="14">
        <v>434.16</v>
      </c>
      <c r="K264" s="28">
        <f t="shared" si="22"/>
        <v>806.18223251505378</v>
      </c>
      <c r="S264" s="33"/>
      <c r="T264" s="32"/>
    </row>
    <row r="265" spans="1:20" ht="18" customHeight="1">
      <c r="A265" s="9">
        <v>38018</v>
      </c>
      <c r="B265" s="3">
        <v>1.08</v>
      </c>
      <c r="C265" s="30" t="str">
        <f t="shared" si="21"/>
        <v/>
      </c>
      <c r="D265" s="41" t="str">
        <f t="shared" si="23"/>
        <v/>
      </c>
      <c r="E265" s="41" t="str">
        <f t="shared" si="24"/>
        <v/>
      </c>
      <c r="F265" s="16">
        <v>883.42</v>
      </c>
      <c r="G265" s="16">
        <v>115.92</v>
      </c>
      <c r="H265" s="21">
        <v>19.95</v>
      </c>
      <c r="I265" s="28">
        <f t="shared" si="20"/>
        <v>625.27644425265692</v>
      </c>
      <c r="J265" s="14">
        <v>428.68</v>
      </c>
      <c r="K265" s="28">
        <f t="shared" si="22"/>
        <v>796.00654006484535</v>
      </c>
      <c r="R265" s="33"/>
      <c r="S265" s="33"/>
      <c r="T265" s="32"/>
    </row>
    <row r="266" spans="1:20" ht="18" customHeight="1">
      <c r="A266" s="9">
        <v>37987</v>
      </c>
      <c r="B266" s="3">
        <v>1.07</v>
      </c>
      <c r="C266" s="30" t="str">
        <f t="shared" si="21"/>
        <v/>
      </c>
      <c r="D266" s="41" t="str">
        <f t="shared" si="23"/>
        <v/>
      </c>
      <c r="E266" s="41" t="str">
        <f t="shared" si="24"/>
        <v/>
      </c>
      <c r="F266" s="16">
        <v>848.5</v>
      </c>
      <c r="G266" s="16">
        <v>110.89</v>
      </c>
      <c r="H266" s="21">
        <v>21.23</v>
      </c>
      <c r="I266" s="28">
        <f t="shared" si="20"/>
        <v>598.14445223582754</v>
      </c>
      <c r="J266" s="14">
        <v>441.45</v>
      </c>
      <c r="K266" s="28">
        <f>(J266/J265)*K265</f>
        <v>819.71887447892595</v>
      </c>
      <c r="Q266" s="33"/>
      <c r="R266" s="33"/>
      <c r="S266" s="33"/>
      <c r="T266" s="32"/>
    </row>
    <row r="267" spans="1:20" ht="18" customHeight="1">
      <c r="A267" s="9">
        <v>37956</v>
      </c>
      <c r="B267" s="4">
        <v>1.02</v>
      </c>
      <c r="C267" s="30" t="str">
        <f t="shared" si="21"/>
        <v/>
      </c>
      <c r="D267" s="41" t="str">
        <f t="shared" si="23"/>
        <v/>
      </c>
      <c r="E267" s="41" t="str">
        <f t="shared" si="24"/>
        <v/>
      </c>
      <c r="F267" s="17">
        <v>811</v>
      </c>
      <c r="G267" s="27">
        <v>105.21</v>
      </c>
      <c r="H267" s="17">
        <v>22.5</v>
      </c>
      <c r="I267" s="28">
        <f t="shared" si="20"/>
        <v>567.50633799018317</v>
      </c>
      <c r="J267" s="29">
        <f>(F267/F266)*J266</f>
        <v>421.93983500294632</v>
      </c>
      <c r="K267" s="29">
        <f>(I267/I266)*K266</f>
        <v>777.73129032309305</v>
      </c>
      <c r="P267" s="33"/>
      <c r="Q267" s="33"/>
      <c r="R267" s="33"/>
      <c r="S267" s="33"/>
      <c r="T267" s="32"/>
    </row>
    <row r="268" spans="1:20" ht="18" customHeight="1">
      <c r="A268" s="9">
        <v>37926</v>
      </c>
      <c r="B268" s="4">
        <v>1.01</v>
      </c>
      <c r="C268" s="30" t="str">
        <f t="shared" si="21"/>
        <v/>
      </c>
      <c r="D268" s="41" t="str">
        <f t="shared" si="23"/>
        <v/>
      </c>
      <c r="E268" s="41" t="str">
        <f t="shared" si="24"/>
        <v/>
      </c>
      <c r="F268" s="17">
        <v>796</v>
      </c>
      <c r="G268" s="27">
        <v>103.61</v>
      </c>
      <c r="H268" s="17">
        <v>25.4</v>
      </c>
      <c r="I268" s="28">
        <f t="shared" si="20"/>
        <v>558.87588327310027</v>
      </c>
      <c r="J268" s="29">
        <f t="shared" ref="J268:J326" si="25">(F268/F267)*J267</f>
        <v>414.13576900412488</v>
      </c>
      <c r="K268" s="29">
        <f t="shared" ref="K268:K326" si="26">(I268/I267)*K267</f>
        <v>765.90380182849231</v>
      </c>
      <c r="O268" s="33"/>
      <c r="P268" s="32"/>
      <c r="Q268" s="32"/>
      <c r="R268" s="32"/>
      <c r="S268" s="32"/>
      <c r="T268" s="32"/>
    </row>
    <row r="269" spans="1:20" ht="18" customHeight="1">
      <c r="A269" s="9">
        <v>37895</v>
      </c>
      <c r="B269" s="7">
        <v>0.99</v>
      </c>
      <c r="C269" s="30" t="str">
        <f t="shared" si="21"/>
        <v/>
      </c>
      <c r="D269" s="41" t="str">
        <f t="shared" si="23"/>
        <v/>
      </c>
      <c r="E269" s="41" t="str">
        <f t="shared" si="24"/>
        <v/>
      </c>
      <c r="F269" s="18">
        <v>782</v>
      </c>
      <c r="G269" s="27">
        <v>101.44</v>
      </c>
      <c r="H269" s="18">
        <v>28.3</v>
      </c>
      <c r="I269" s="28">
        <f t="shared" si="20"/>
        <v>547.17082906305654</v>
      </c>
      <c r="J269" s="29">
        <f t="shared" si="25"/>
        <v>406.8519740718915</v>
      </c>
      <c r="K269" s="29">
        <f t="shared" si="26"/>
        <v>749.86277055768994</v>
      </c>
      <c r="N269" s="33"/>
      <c r="O269" s="33"/>
      <c r="P269" s="32"/>
      <c r="Q269" s="32"/>
      <c r="R269" s="32"/>
      <c r="S269" s="32"/>
      <c r="T269" s="32"/>
    </row>
    <row r="270" spans="1:20" ht="18" customHeight="1">
      <c r="A270" s="9">
        <v>37865</v>
      </c>
      <c r="B270" s="7">
        <v>0.89</v>
      </c>
      <c r="C270" s="30" t="str">
        <f t="shared" si="21"/>
        <v>Risk</v>
      </c>
      <c r="D270" s="41" t="str">
        <f t="shared" si="23"/>
        <v/>
      </c>
      <c r="E270" s="41" t="str">
        <f t="shared" si="24"/>
        <v/>
      </c>
      <c r="F270" s="18">
        <v>698</v>
      </c>
      <c r="G270" s="27">
        <v>89.55</v>
      </c>
      <c r="H270" s="18">
        <v>27</v>
      </c>
      <c r="I270" s="28">
        <f t="shared" si="20"/>
        <v>483.03576244673417</v>
      </c>
      <c r="J270" s="29">
        <f t="shared" si="25"/>
        <v>363.14920447849141</v>
      </c>
      <c r="K270" s="29">
        <f t="shared" si="26"/>
        <v>661.96974668218786</v>
      </c>
      <c r="M270" s="33"/>
      <c r="N270" s="33"/>
      <c r="O270" s="33"/>
      <c r="P270" s="32"/>
      <c r="Q270" s="32"/>
      <c r="R270" s="32"/>
      <c r="S270" s="32"/>
      <c r="T270" s="32"/>
    </row>
    <row r="271" spans="1:20" ht="18" customHeight="1">
      <c r="A271" s="9">
        <v>37834</v>
      </c>
      <c r="B271" s="7">
        <v>0.96</v>
      </c>
      <c r="C271" s="30" t="str">
        <f t="shared" si="21"/>
        <v/>
      </c>
      <c r="D271" s="41" t="str">
        <f t="shared" si="23"/>
        <v/>
      </c>
      <c r="E271" s="41" t="str">
        <f t="shared" si="24"/>
        <v/>
      </c>
      <c r="F271" s="18">
        <v>759</v>
      </c>
      <c r="G271" s="27">
        <v>97.59</v>
      </c>
      <c r="H271" s="18">
        <v>20.8</v>
      </c>
      <c r="I271" s="28">
        <f t="shared" si="20"/>
        <v>526.40379740007586</v>
      </c>
      <c r="J271" s="29">
        <f t="shared" si="25"/>
        <v>394.88573954036531</v>
      </c>
      <c r="K271" s="29">
        <f t="shared" si="26"/>
        <v>721.40287636755693</v>
      </c>
      <c r="L271" s="33"/>
      <c r="M271" s="33"/>
      <c r="N271" s="33"/>
      <c r="O271" s="33"/>
      <c r="P271" s="32"/>
      <c r="Q271" s="32"/>
      <c r="R271" s="32"/>
      <c r="S271" s="32"/>
      <c r="T271" s="32"/>
    </row>
    <row r="272" spans="1:20" ht="18" customHeight="1">
      <c r="A272" s="9">
        <v>37803</v>
      </c>
      <c r="B272" s="7">
        <v>0.9</v>
      </c>
      <c r="C272" s="30" t="str">
        <f t="shared" si="21"/>
        <v>Risk</v>
      </c>
      <c r="D272" s="41" t="str">
        <f t="shared" si="23"/>
        <v/>
      </c>
      <c r="E272" s="41" t="str">
        <f t="shared" si="24"/>
        <v/>
      </c>
      <c r="F272" s="18">
        <v>714</v>
      </c>
      <c r="G272" s="27">
        <v>91.52</v>
      </c>
      <c r="H272" s="18">
        <v>25.5</v>
      </c>
      <c r="I272" s="28">
        <f>(G272/G271)*I271</f>
        <v>493.66200981714252</v>
      </c>
      <c r="J272" s="29">
        <f t="shared" si="25"/>
        <v>371.47354154390098</v>
      </c>
      <c r="K272" s="29">
        <f t="shared" si="26"/>
        <v>676.53234189116506</v>
      </c>
      <c r="L272" s="33"/>
      <c r="M272" s="33"/>
      <c r="N272" s="33"/>
      <c r="O272" s="33"/>
      <c r="P272" s="32"/>
      <c r="Q272" s="32"/>
      <c r="R272" s="32"/>
      <c r="S272" s="32"/>
      <c r="T272" s="32"/>
    </row>
    <row r="273" spans="1:20" ht="18" customHeight="1">
      <c r="A273" s="9">
        <v>37773</v>
      </c>
      <c r="B273" s="7">
        <v>0.84</v>
      </c>
      <c r="C273" s="30" t="str">
        <f t="shared" si="21"/>
        <v>Risk</v>
      </c>
      <c r="D273" s="41" t="str">
        <f t="shared" si="23"/>
        <v>Risk</v>
      </c>
      <c r="E273" s="41" t="str">
        <f t="shared" si="24"/>
        <v/>
      </c>
      <c r="F273" s="18">
        <v>670</v>
      </c>
      <c r="G273" s="27">
        <v>85.47</v>
      </c>
      <c r="H273" s="18">
        <v>28.3</v>
      </c>
      <c r="I273" s="28">
        <f t="shared" ref="I273:I326" si="27">(G273/G272)*I272</f>
        <v>461.02810291817281</v>
      </c>
      <c r="J273" s="29">
        <f t="shared" si="25"/>
        <v>348.58161461402472</v>
      </c>
      <c r="K273" s="29">
        <f t="shared" si="26"/>
        <v>631.80965102095593</v>
      </c>
      <c r="L273" s="33"/>
      <c r="M273" s="33"/>
      <c r="N273" s="33"/>
      <c r="O273" s="33"/>
      <c r="P273" s="32"/>
      <c r="Q273" s="32"/>
      <c r="R273" s="32"/>
      <c r="S273" s="32"/>
      <c r="T273" s="32"/>
    </row>
    <row r="274" spans="1:20" ht="18" customHeight="1">
      <c r="A274" s="9">
        <v>37742</v>
      </c>
      <c r="B274" s="7">
        <v>0.79</v>
      </c>
      <c r="C274" s="30" t="str">
        <f t="shared" si="21"/>
        <v>Risk</v>
      </c>
      <c r="D274" s="41" t="str">
        <f t="shared" si="23"/>
        <v>Risk</v>
      </c>
      <c r="E274" s="41" t="str">
        <f t="shared" si="24"/>
        <v>Risk</v>
      </c>
      <c r="F274" s="18">
        <v>633</v>
      </c>
      <c r="G274" s="27">
        <v>80.53</v>
      </c>
      <c r="H274" s="18">
        <v>32.4</v>
      </c>
      <c r="I274" s="28">
        <f t="shared" si="27"/>
        <v>434.38157397917934</v>
      </c>
      <c r="J274" s="29">
        <f t="shared" si="25"/>
        <v>329.33158515026514</v>
      </c>
      <c r="K274" s="29">
        <f t="shared" si="26"/>
        <v>595.29228029387593</v>
      </c>
      <c r="L274" s="33"/>
      <c r="M274" s="33"/>
      <c r="N274" s="33"/>
      <c r="O274" s="33"/>
      <c r="P274" s="32"/>
      <c r="Q274" s="32"/>
      <c r="R274" s="32"/>
      <c r="S274" s="32"/>
      <c r="T274" s="32"/>
    </row>
    <row r="275" spans="1:20" ht="18" customHeight="1">
      <c r="A275" s="9">
        <v>37712</v>
      </c>
      <c r="B275" s="4">
        <v>0.76</v>
      </c>
      <c r="C275" s="30" t="str">
        <f t="shared" si="21"/>
        <v>Risk</v>
      </c>
      <c r="D275" s="41" t="str">
        <f t="shared" si="23"/>
        <v>Risk</v>
      </c>
      <c r="E275" s="41" t="str">
        <f t="shared" si="24"/>
        <v>Risk</v>
      </c>
      <c r="F275" s="17">
        <v>599</v>
      </c>
      <c r="G275" s="27">
        <v>76.45</v>
      </c>
      <c r="H275" s="17">
        <v>34.5</v>
      </c>
      <c r="I275" s="28">
        <f t="shared" si="27"/>
        <v>412.37391445061792</v>
      </c>
      <c r="J275" s="29">
        <f t="shared" si="25"/>
        <v>311.64236888626982</v>
      </c>
      <c r="K275" s="29">
        <f t="shared" si="26"/>
        <v>565.13218463264388</v>
      </c>
      <c r="L275" s="73">
        <f>1+(($I271/$I275)-1)*3</f>
        <v>1.8295618051013733</v>
      </c>
      <c r="M275" s="73">
        <f>1+(($I270/$I275)-1)*3</f>
        <v>1.5140614780902546</v>
      </c>
      <c r="N275" s="73">
        <f>1+(($I269/$I275)-1)*3</f>
        <v>1.9806409417920199</v>
      </c>
      <c r="O275" s="73">
        <f>1+(($I268/$I275)-1)*3</f>
        <v>2.0657946370176576</v>
      </c>
      <c r="P275" s="73">
        <f>1+(($I267/$I275)-1)*3</f>
        <v>2.1285807717462384</v>
      </c>
      <c r="Q275" s="73">
        <f>1+(($I266/$I275)-1)*3</f>
        <v>2.3514715500327004</v>
      </c>
      <c r="R275" s="73">
        <f>1+(($I265/$I275)-1)*3</f>
        <v>2.548855461085676</v>
      </c>
      <c r="S275" s="73">
        <f>1+(($I264/$I275)-1)*3</f>
        <v>2.5512099411379978</v>
      </c>
      <c r="T275" s="73">
        <f>1+(($I263/$I275)-1)*3</f>
        <v>2.4107259646827988</v>
      </c>
    </row>
    <row r="276" spans="1:20" ht="18" customHeight="1">
      <c r="A276" s="9">
        <v>37681</v>
      </c>
      <c r="B276" s="4">
        <v>0.89</v>
      </c>
      <c r="C276" s="30" t="str">
        <f t="shared" si="21"/>
        <v>Risk</v>
      </c>
      <c r="D276" s="41" t="str">
        <f t="shared" si="23"/>
        <v/>
      </c>
      <c r="E276" s="41" t="str">
        <f t="shared" si="24"/>
        <v/>
      </c>
      <c r="F276" s="17">
        <v>536</v>
      </c>
      <c r="G276" s="27">
        <v>68.05</v>
      </c>
      <c r="H276" s="17">
        <v>41</v>
      </c>
      <c r="I276" s="28">
        <f t="shared" si="27"/>
        <v>367.06402718593262</v>
      </c>
      <c r="J276" s="29">
        <f t="shared" si="25"/>
        <v>278.86529169121974</v>
      </c>
      <c r="K276" s="29">
        <f t="shared" si="26"/>
        <v>503.03787003598973</v>
      </c>
      <c r="L276" s="34">
        <f>$I275/$I276</f>
        <v>1.1234386480529024</v>
      </c>
      <c r="M276" s="34">
        <f t="shared" ref="M276:T276" si="28">$I275/$I276</f>
        <v>1.1234386480529024</v>
      </c>
      <c r="N276" s="34">
        <f t="shared" si="28"/>
        <v>1.1234386480529024</v>
      </c>
      <c r="O276" s="34">
        <f t="shared" si="28"/>
        <v>1.1234386480529024</v>
      </c>
      <c r="P276" s="34">
        <f t="shared" si="28"/>
        <v>1.1234386480529024</v>
      </c>
      <c r="Q276" s="34">
        <f t="shared" si="28"/>
        <v>1.1234386480529024</v>
      </c>
      <c r="R276" s="34">
        <f t="shared" si="28"/>
        <v>1.1234386480529024</v>
      </c>
      <c r="S276" s="34">
        <f t="shared" si="28"/>
        <v>1.1234386480529024</v>
      </c>
      <c r="T276" s="34">
        <f t="shared" si="28"/>
        <v>1.1234386480529024</v>
      </c>
    </row>
    <row r="277" spans="1:20" ht="18" customHeight="1">
      <c r="A277" s="9">
        <v>37653</v>
      </c>
      <c r="B277" s="4">
        <v>0.96</v>
      </c>
      <c r="C277" s="30" t="str">
        <f t="shared" si="21"/>
        <v/>
      </c>
      <c r="D277" s="41" t="str">
        <f t="shared" si="23"/>
        <v/>
      </c>
      <c r="E277" s="41" t="str">
        <f t="shared" si="24"/>
        <v/>
      </c>
      <c r="F277" s="17">
        <v>575</v>
      </c>
      <c r="G277" s="27">
        <v>72.849999999999994</v>
      </c>
      <c r="H277" s="17">
        <v>35.5</v>
      </c>
      <c r="I277" s="28">
        <f t="shared" si="27"/>
        <v>392.95539133718131</v>
      </c>
      <c r="J277" s="29">
        <f t="shared" si="25"/>
        <v>299.1558632881555</v>
      </c>
      <c r="K277" s="29">
        <f t="shared" si="26"/>
        <v>538.52033551979207</v>
      </c>
    </row>
    <row r="278" spans="1:20" ht="18" customHeight="1">
      <c r="A278" s="9">
        <v>37622</v>
      </c>
      <c r="B278" s="4">
        <v>0.98</v>
      </c>
      <c r="C278" s="30" t="str">
        <f t="shared" si="21"/>
        <v/>
      </c>
      <c r="D278" s="41" t="str">
        <f t="shared" si="23"/>
        <v/>
      </c>
      <c r="E278" s="41" t="str">
        <f t="shared" si="24"/>
        <v/>
      </c>
      <c r="F278" s="17">
        <v>592</v>
      </c>
      <c r="G278" s="27">
        <v>75.22</v>
      </c>
      <c r="H278" s="17">
        <v>35.9</v>
      </c>
      <c r="I278" s="28">
        <f t="shared" si="27"/>
        <v>405.73925238686036</v>
      </c>
      <c r="J278" s="29">
        <f t="shared" si="25"/>
        <v>308.00047142015313</v>
      </c>
      <c r="K278" s="29">
        <f t="shared" si="26"/>
        <v>556.03980285241948</v>
      </c>
    </row>
    <row r="279" spans="1:20" ht="18" customHeight="1">
      <c r="A279" s="9">
        <v>37591</v>
      </c>
      <c r="B279" s="4">
        <v>1.05</v>
      </c>
      <c r="C279" s="30" t="str">
        <f t="shared" si="21"/>
        <v/>
      </c>
      <c r="D279" s="41" t="str">
        <f t="shared" si="23"/>
        <v/>
      </c>
      <c r="E279" s="41" t="str">
        <f t="shared" si="24"/>
        <v/>
      </c>
      <c r="F279" s="17">
        <v>628</v>
      </c>
      <c r="G279" s="27">
        <v>79.87</v>
      </c>
      <c r="H279" s="17">
        <v>35.6</v>
      </c>
      <c r="I279" s="28">
        <f t="shared" si="27"/>
        <v>430.82151140838261</v>
      </c>
      <c r="J279" s="29">
        <f t="shared" si="25"/>
        <v>326.73022981732458</v>
      </c>
      <c r="K279" s="29">
        <f t="shared" si="26"/>
        <v>590.41344128985304</v>
      </c>
    </row>
    <row r="280" spans="1:20" ht="18" customHeight="1">
      <c r="A280" s="9">
        <v>37561</v>
      </c>
      <c r="B280" s="4">
        <v>1.19</v>
      </c>
      <c r="C280" s="30" t="str">
        <f t="shared" si="21"/>
        <v/>
      </c>
      <c r="D280" s="41" t="str">
        <f t="shared" si="23"/>
        <v/>
      </c>
      <c r="E280" s="41" t="str">
        <f t="shared" si="24"/>
        <v/>
      </c>
      <c r="F280" s="17">
        <v>725</v>
      </c>
      <c r="G280" s="27">
        <v>92.05</v>
      </c>
      <c r="H280" s="17">
        <v>40.9</v>
      </c>
      <c r="I280" s="28">
        <f t="shared" si="27"/>
        <v>496.5208479421762</v>
      </c>
      <c r="J280" s="29">
        <f t="shared" si="25"/>
        <v>377.19652327636993</v>
      </c>
      <c r="K280" s="29">
        <f t="shared" si="26"/>
        <v>680.45019745500144</v>
      </c>
    </row>
    <row r="281" spans="1:20" ht="18" customHeight="1">
      <c r="A281" s="9">
        <v>37530</v>
      </c>
      <c r="B281" s="4">
        <v>1.08</v>
      </c>
      <c r="C281" s="30" t="str">
        <f t="shared" si="21"/>
        <v/>
      </c>
      <c r="D281" s="41" t="str">
        <f t="shared" si="23"/>
        <v/>
      </c>
      <c r="E281" s="41" t="str">
        <f t="shared" si="24"/>
        <v/>
      </c>
      <c r="F281" s="17">
        <v>659</v>
      </c>
      <c r="G281" s="27">
        <v>83.1</v>
      </c>
      <c r="H281" s="17">
        <v>40.9</v>
      </c>
      <c r="I281" s="28">
        <f t="shared" si="27"/>
        <v>448.2442418684937</v>
      </c>
      <c r="J281" s="29">
        <f t="shared" si="25"/>
        <v>342.85863288155554</v>
      </c>
      <c r="K281" s="29">
        <f t="shared" si="26"/>
        <v>614.29018368832828</v>
      </c>
    </row>
    <row r="282" spans="1:20" ht="18" customHeight="1">
      <c r="A282" s="9">
        <v>37500</v>
      </c>
      <c r="B282" s="4">
        <v>1.06</v>
      </c>
      <c r="C282" s="30" t="str">
        <f t="shared" si="21"/>
        <v/>
      </c>
      <c r="D282" s="41" t="str">
        <f t="shared" si="23"/>
        <v/>
      </c>
      <c r="E282" s="41" t="str">
        <f t="shared" si="24"/>
        <v/>
      </c>
      <c r="F282" s="17">
        <v>646</v>
      </c>
      <c r="G282" s="27">
        <v>81.37</v>
      </c>
      <c r="H282" s="22">
        <v>40</v>
      </c>
      <c r="I282" s="28">
        <f t="shared" si="27"/>
        <v>438.91256270564787</v>
      </c>
      <c r="J282" s="29">
        <f t="shared" si="25"/>
        <v>336.09510901591028</v>
      </c>
      <c r="K282" s="29">
        <f t="shared" si="26"/>
        <v>601.50171175354126</v>
      </c>
      <c r="T282" s="32"/>
    </row>
    <row r="283" spans="1:20" ht="18" customHeight="1">
      <c r="A283" s="9">
        <v>37469</v>
      </c>
      <c r="B283" s="4">
        <v>1.2</v>
      </c>
      <c r="C283" s="30" t="str">
        <f t="shared" si="21"/>
        <v/>
      </c>
      <c r="D283" s="41" t="str">
        <f t="shared" si="23"/>
        <v/>
      </c>
      <c r="E283" s="41" t="str">
        <f t="shared" si="24"/>
        <v/>
      </c>
      <c r="F283" s="17">
        <v>736</v>
      </c>
      <c r="G283" s="27">
        <v>92.55</v>
      </c>
      <c r="H283" s="22">
        <v>40</v>
      </c>
      <c r="I283" s="28">
        <f t="shared" si="27"/>
        <v>499.2178650412647</v>
      </c>
      <c r="J283" s="29">
        <f t="shared" si="25"/>
        <v>382.919505008839</v>
      </c>
      <c r="K283" s="29">
        <f t="shared" si="26"/>
        <v>684.1462876095643</v>
      </c>
      <c r="S283" s="32"/>
      <c r="T283" s="32"/>
    </row>
    <row r="284" spans="1:20" ht="18" customHeight="1">
      <c r="A284" s="9">
        <v>37438</v>
      </c>
      <c r="B284" s="4">
        <v>1.1599999999999999</v>
      </c>
      <c r="C284" s="30" t="str">
        <f t="shared" si="21"/>
        <v/>
      </c>
      <c r="D284" s="41" t="str">
        <f t="shared" si="23"/>
        <v/>
      </c>
      <c r="E284" s="41" t="str">
        <f t="shared" si="24"/>
        <v/>
      </c>
      <c r="F284" s="17">
        <v>718</v>
      </c>
      <c r="G284" s="27">
        <v>90.16</v>
      </c>
      <c r="H284" s="22">
        <v>35</v>
      </c>
      <c r="I284" s="28">
        <f t="shared" si="27"/>
        <v>486.32612330762208</v>
      </c>
      <c r="J284" s="29">
        <f t="shared" si="25"/>
        <v>373.55462581025324</v>
      </c>
      <c r="K284" s="29">
        <f t="shared" si="26"/>
        <v>666.47897667075438</v>
      </c>
      <c r="R284" s="33"/>
      <c r="S284" s="32"/>
      <c r="T284" s="32"/>
    </row>
    <row r="285" spans="1:20" ht="18" customHeight="1">
      <c r="A285" s="9">
        <v>37408</v>
      </c>
      <c r="B285" s="4">
        <v>1.21</v>
      </c>
      <c r="C285" s="30" t="str">
        <f t="shared" si="21"/>
        <v/>
      </c>
      <c r="D285" s="41" t="str">
        <f t="shared" si="23"/>
        <v/>
      </c>
      <c r="E285" s="41" t="str">
        <f t="shared" si="24"/>
        <v/>
      </c>
      <c r="F285" s="17">
        <v>743</v>
      </c>
      <c r="G285" s="27">
        <v>93.69</v>
      </c>
      <c r="H285" s="22">
        <v>40</v>
      </c>
      <c r="I285" s="28">
        <f t="shared" si="27"/>
        <v>505.36706402718625</v>
      </c>
      <c r="J285" s="29">
        <f t="shared" si="25"/>
        <v>386.56140247495563</v>
      </c>
      <c r="K285" s="29">
        <f t="shared" si="26"/>
        <v>692.57337316196742</v>
      </c>
      <c r="Q285" s="33"/>
      <c r="R285" s="33"/>
      <c r="S285" s="32"/>
      <c r="T285" s="32"/>
    </row>
    <row r="286" spans="1:20" ht="18" customHeight="1">
      <c r="A286" s="9">
        <v>37377</v>
      </c>
      <c r="B286" s="4">
        <v>1.34</v>
      </c>
      <c r="C286" s="30" t="str">
        <f t="shared" si="21"/>
        <v/>
      </c>
      <c r="D286" s="41" t="str">
        <f t="shared" si="23"/>
        <v/>
      </c>
      <c r="E286" s="41" t="str">
        <f t="shared" si="24"/>
        <v/>
      </c>
      <c r="F286" s="17">
        <v>796</v>
      </c>
      <c r="G286" s="27">
        <v>100.8</v>
      </c>
      <c r="H286" s="22">
        <v>35</v>
      </c>
      <c r="I286" s="28">
        <f t="shared" si="27"/>
        <v>543.71864717622339</v>
      </c>
      <c r="J286" s="29">
        <f t="shared" si="25"/>
        <v>414.13576900412471</v>
      </c>
      <c r="K286" s="29">
        <f t="shared" si="26"/>
        <v>745.13177515984967</v>
      </c>
      <c r="P286" s="33"/>
      <c r="Q286" s="33"/>
      <c r="R286" s="33"/>
      <c r="S286" s="32"/>
      <c r="T286" s="32"/>
    </row>
    <row r="287" spans="1:20" ht="18" customHeight="1">
      <c r="A287" s="9">
        <v>37347</v>
      </c>
      <c r="B287" s="4">
        <v>1.4</v>
      </c>
      <c r="C287" s="30" t="str">
        <f t="shared" si="21"/>
        <v/>
      </c>
      <c r="D287" s="41" t="str">
        <f t="shared" si="23"/>
        <v/>
      </c>
      <c r="E287" s="41" t="str">
        <f t="shared" si="24"/>
        <v/>
      </c>
      <c r="F287" s="17">
        <v>842</v>
      </c>
      <c r="G287" s="27">
        <v>106.39</v>
      </c>
      <c r="H287" s="22">
        <v>32</v>
      </c>
      <c r="I287" s="28">
        <f t="shared" si="27"/>
        <v>573.87129834403186</v>
      </c>
      <c r="J287" s="29">
        <f t="shared" si="25"/>
        <v>438.06823806717716</v>
      </c>
      <c r="K287" s="29">
        <f t="shared" si="26"/>
        <v>786.4540630878613</v>
      </c>
      <c r="O287" s="33"/>
      <c r="P287" s="33"/>
      <c r="Q287" s="33"/>
      <c r="R287" s="33"/>
      <c r="S287" s="32"/>
      <c r="T287" s="32"/>
    </row>
    <row r="288" spans="1:20" ht="18" customHeight="1">
      <c r="A288" s="9">
        <v>37316</v>
      </c>
      <c r="B288" s="7">
        <v>1.49</v>
      </c>
      <c r="C288" s="30" t="str">
        <f t="shared" si="21"/>
        <v/>
      </c>
      <c r="D288" s="41" t="str">
        <f t="shared" si="23"/>
        <v/>
      </c>
      <c r="E288" s="41" t="str">
        <f t="shared" si="24"/>
        <v/>
      </c>
      <c r="F288" s="18">
        <v>896</v>
      </c>
      <c r="G288" s="27">
        <v>111.84</v>
      </c>
      <c r="H288" s="23">
        <v>15</v>
      </c>
      <c r="I288" s="28">
        <f t="shared" si="27"/>
        <v>603.26878472409555</v>
      </c>
      <c r="J288" s="29">
        <f t="shared" si="25"/>
        <v>466.16287566293437</v>
      </c>
      <c r="K288" s="29">
        <f t="shared" si="26"/>
        <v>826.74144577259528</v>
      </c>
      <c r="N288" s="33"/>
      <c r="O288" s="33"/>
      <c r="P288" s="33"/>
      <c r="Q288" s="33"/>
      <c r="R288" s="33"/>
      <c r="S288" s="32"/>
      <c r="T288" s="32"/>
    </row>
    <row r="289" spans="1:22" ht="18" customHeight="1">
      <c r="A289" s="9">
        <v>37288</v>
      </c>
      <c r="B289" s="7">
        <v>1.363</v>
      </c>
      <c r="C289" s="30" t="str">
        <f t="shared" si="21"/>
        <v/>
      </c>
      <c r="D289" s="41" t="str">
        <f t="shared" si="23"/>
        <v/>
      </c>
      <c r="E289" s="41" t="str">
        <f t="shared" si="24"/>
        <v/>
      </c>
      <c r="F289" s="18">
        <v>820</v>
      </c>
      <c r="G289" s="27">
        <v>102.62</v>
      </c>
      <c r="H289" s="23">
        <v>15</v>
      </c>
      <c r="I289" s="28">
        <f t="shared" si="27"/>
        <v>553.53578941690523</v>
      </c>
      <c r="J289" s="29">
        <f t="shared" si="25"/>
        <v>426.62227460223903</v>
      </c>
      <c r="K289" s="29">
        <f t="shared" si="26"/>
        <v>758.58554332245808</v>
      </c>
      <c r="M289" s="33"/>
      <c r="N289" s="33"/>
      <c r="O289" s="33"/>
      <c r="P289" s="33"/>
      <c r="Q289" s="33"/>
      <c r="R289" s="33"/>
      <c r="S289" s="32"/>
      <c r="T289" s="32"/>
    </row>
    <row r="290" spans="1:22" ht="18" customHeight="1">
      <c r="A290" s="9">
        <v>37257</v>
      </c>
      <c r="B290" s="7">
        <v>1.244</v>
      </c>
      <c r="C290" s="30" t="str">
        <f t="shared" si="21"/>
        <v/>
      </c>
      <c r="D290" s="41" t="str">
        <f t="shared" si="23"/>
        <v/>
      </c>
      <c r="E290" s="41" t="str">
        <f t="shared" si="24"/>
        <v/>
      </c>
      <c r="F290" s="18">
        <v>748</v>
      </c>
      <c r="G290" s="27">
        <v>92.99</v>
      </c>
      <c r="H290" s="23">
        <v>15</v>
      </c>
      <c r="I290" s="28">
        <f t="shared" si="27"/>
        <v>501.59124008846243</v>
      </c>
      <c r="J290" s="29">
        <f t="shared" si="25"/>
        <v>389.16275780789613</v>
      </c>
      <c r="K290" s="29">
        <f t="shared" si="26"/>
        <v>687.39884694557952</v>
      </c>
      <c r="L290" s="33"/>
      <c r="M290" s="33"/>
      <c r="N290" s="33"/>
      <c r="O290" s="33"/>
      <c r="P290" s="33"/>
      <c r="Q290" s="33"/>
      <c r="R290" s="33"/>
      <c r="S290" s="32"/>
      <c r="T290" s="32"/>
    </row>
    <row r="291" spans="1:22" ht="18" customHeight="1">
      <c r="A291" s="9">
        <v>37226</v>
      </c>
      <c r="B291" s="7">
        <v>1.1539999999999999</v>
      </c>
      <c r="C291" s="30" t="str">
        <f t="shared" si="21"/>
        <v/>
      </c>
      <c r="D291" s="41" t="str">
        <f t="shared" si="23"/>
        <v/>
      </c>
      <c r="E291" s="41" t="str">
        <f t="shared" si="24"/>
        <v/>
      </c>
      <c r="F291" s="18">
        <v>694</v>
      </c>
      <c r="G291" s="27">
        <v>86.97</v>
      </c>
      <c r="H291" s="23">
        <v>15</v>
      </c>
      <c r="I291" s="28">
        <f t="shared" si="27"/>
        <v>469.11915421543796</v>
      </c>
      <c r="J291" s="29">
        <f t="shared" si="25"/>
        <v>361.06812021213892</v>
      </c>
      <c r="K291" s="29">
        <f t="shared" si="26"/>
        <v>642.89792148464403</v>
      </c>
      <c r="L291" s="33"/>
      <c r="M291" s="33"/>
      <c r="N291" s="33"/>
      <c r="O291" s="33"/>
      <c r="P291" s="33"/>
      <c r="Q291" s="33"/>
      <c r="R291" s="33"/>
      <c r="S291" s="32"/>
      <c r="T291" s="32"/>
    </row>
    <row r="292" spans="1:22" ht="18" customHeight="1">
      <c r="A292" s="9">
        <v>37196</v>
      </c>
      <c r="B292" s="7">
        <v>1.071</v>
      </c>
      <c r="C292" s="30" t="str">
        <f t="shared" si="21"/>
        <v/>
      </c>
      <c r="D292" s="41" t="str">
        <f t="shared" si="23"/>
        <v/>
      </c>
      <c r="E292" s="41" t="str">
        <f t="shared" si="24"/>
        <v/>
      </c>
      <c r="F292" s="18">
        <v>644</v>
      </c>
      <c r="G292" s="27">
        <v>80.03</v>
      </c>
      <c r="H292" s="23">
        <v>15</v>
      </c>
      <c r="I292" s="28">
        <f t="shared" si="27"/>
        <v>431.68455688009089</v>
      </c>
      <c r="J292" s="29">
        <f t="shared" si="25"/>
        <v>335.05456688273409</v>
      </c>
      <c r="K292" s="29">
        <f t="shared" si="26"/>
        <v>591.59619013931319</v>
      </c>
      <c r="L292" s="33"/>
      <c r="M292" s="33"/>
      <c r="N292" s="33"/>
      <c r="O292" s="33"/>
      <c r="P292" s="33"/>
      <c r="Q292" s="33"/>
      <c r="R292" s="33"/>
      <c r="S292" s="32"/>
      <c r="T292" s="32"/>
    </row>
    <row r="293" spans="1:22" ht="18" customHeight="1">
      <c r="A293" s="9">
        <v>37165</v>
      </c>
      <c r="B293" s="7">
        <v>0.89500000000000002</v>
      </c>
      <c r="C293" s="30" t="str">
        <f t="shared" si="21"/>
        <v>Risk</v>
      </c>
      <c r="D293" s="41" t="str">
        <f t="shared" si="23"/>
        <v/>
      </c>
      <c r="E293" s="41" t="str">
        <f t="shared" si="24"/>
        <v/>
      </c>
      <c r="F293" s="18">
        <v>538</v>
      </c>
      <c r="G293" s="27">
        <v>66.44</v>
      </c>
      <c r="H293" s="23">
        <v>15</v>
      </c>
      <c r="I293" s="28">
        <f t="shared" si="27"/>
        <v>358.37963212686788</v>
      </c>
      <c r="J293" s="29">
        <f t="shared" si="25"/>
        <v>279.90583382439587</v>
      </c>
      <c r="K293" s="29">
        <f t="shared" si="26"/>
        <v>491.13645973829773</v>
      </c>
      <c r="L293" s="33"/>
      <c r="M293" s="33"/>
      <c r="N293" s="33"/>
      <c r="O293" s="33"/>
      <c r="P293" s="33"/>
      <c r="Q293" s="33"/>
      <c r="R293" s="33"/>
      <c r="S293" s="32"/>
      <c r="T293" s="32"/>
    </row>
    <row r="294" spans="1:22" ht="18" customHeight="1">
      <c r="A294" s="9">
        <v>37135</v>
      </c>
      <c r="B294" s="4">
        <v>0.79800000000000004</v>
      </c>
      <c r="C294" s="30" t="str">
        <f t="shared" si="21"/>
        <v>Risk</v>
      </c>
      <c r="D294" s="41" t="str">
        <f t="shared" si="23"/>
        <v>Risk</v>
      </c>
      <c r="E294" s="41" t="str">
        <f t="shared" si="24"/>
        <v>Risk</v>
      </c>
      <c r="F294" s="17">
        <v>480</v>
      </c>
      <c r="G294" s="27">
        <v>58.91</v>
      </c>
      <c r="H294" s="22">
        <v>35</v>
      </c>
      <c r="I294" s="28">
        <f t="shared" si="27"/>
        <v>317.76255461459641</v>
      </c>
      <c r="J294" s="29">
        <f t="shared" si="25"/>
        <v>249.73011196228629</v>
      </c>
      <c r="K294" s="29">
        <f t="shared" si="26"/>
        <v>435.47334201058277</v>
      </c>
      <c r="L294" s="73">
        <f>1+(($I290/$I294)-1)*3</f>
        <v>2.7355287727041251</v>
      </c>
      <c r="M294" s="73">
        <f>1+(($I289/$I294)-1)*3</f>
        <v>3.2259378713291467</v>
      </c>
      <c r="N294" s="73">
        <f>1+(($I288/$I294)-1)*3</f>
        <v>3.695467662536073</v>
      </c>
      <c r="O294" s="73">
        <f>1+(($I287/$I294)-1)*3</f>
        <v>3.4179256492955363</v>
      </c>
      <c r="P294" s="73">
        <f>1+(($I286/$I294)-1)*3</f>
        <v>3.1332541164488203</v>
      </c>
      <c r="Q294" s="73">
        <f>1+(($I285/$I294)-1)*3</f>
        <v>2.7711763707350201</v>
      </c>
      <c r="R294" s="73">
        <f>1+(($I284/$I294)-1)*3</f>
        <v>2.5914106263792229</v>
      </c>
      <c r="S294" s="73">
        <f>1+(($I283/$I294)-1)*3</f>
        <v>2.7131217110847068</v>
      </c>
      <c r="T294" s="73">
        <f>1+(($I282/$I294)-1)*3</f>
        <v>2.1437786453912757</v>
      </c>
    </row>
    <row r="295" spans="1:22" ht="18" customHeight="1">
      <c r="A295" s="9">
        <v>37104</v>
      </c>
      <c r="B295" s="4">
        <v>0.90600000000000003</v>
      </c>
      <c r="C295" s="30" t="str">
        <f t="shared" si="21"/>
        <v/>
      </c>
      <c r="D295" s="41" t="str">
        <f t="shared" si="23"/>
        <v/>
      </c>
      <c r="E295" s="41" t="str">
        <f t="shared" si="24"/>
        <v/>
      </c>
      <c r="F295" s="17">
        <v>545</v>
      </c>
      <c r="G295" s="27">
        <v>67.42</v>
      </c>
      <c r="H295" s="22">
        <v>35</v>
      </c>
      <c r="I295" s="28">
        <f t="shared" si="27"/>
        <v>363.66578564108119</v>
      </c>
      <c r="J295" s="29">
        <f t="shared" si="25"/>
        <v>283.54773129051256</v>
      </c>
      <c r="K295" s="29">
        <f t="shared" si="26"/>
        <v>498.38079644124082</v>
      </c>
      <c r="Q295" s="33"/>
      <c r="R295" s="33"/>
      <c r="S295" s="33"/>
      <c r="T295" s="32"/>
    </row>
    <row r="296" spans="1:22" ht="18" customHeight="1">
      <c r="A296" s="9">
        <v>37073</v>
      </c>
      <c r="B296" s="4">
        <v>0.90100000000000002</v>
      </c>
      <c r="C296" s="30" t="str">
        <f t="shared" si="21"/>
        <v/>
      </c>
      <c r="D296" s="41" t="str">
        <f t="shared" si="23"/>
        <v/>
      </c>
      <c r="E296" s="41" t="str">
        <f t="shared" si="24"/>
        <v/>
      </c>
      <c r="F296" s="17">
        <v>542</v>
      </c>
      <c r="G296" s="27">
        <v>66.98</v>
      </c>
      <c r="H296" s="22">
        <v>35</v>
      </c>
      <c r="I296" s="28">
        <f t="shared" si="27"/>
        <v>361.2924105938834</v>
      </c>
      <c r="J296" s="29">
        <f t="shared" si="25"/>
        <v>281.9869180907483</v>
      </c>
      <c r="K296" s="29">
        <f t="shared" si="26"/>
        <v>495.12823710522559</v>
      </c>
      <c r="P296" s="33"/>
      <c r="Q296" s="33"/>
      <c r="R296" s="33"/>
      <c r="S296" s="32"/>
      <c r="T296" s="32"/>
    </row>
    <row r="297" spans="1:22" ht="18" customHeight="1">
      <c r="A297" s="9">
        <v>37043</v>
      </c>
      <c r="B297" s="4">
        <v>0.98899999999999999</v>
      </c>
      <c r="C297" s="30" t="str">
        <f t="shared" si="21"/>
        <v/>
      </c>
      <c r="D297" s="41" t="str">
        <f t="shared" si="23"/>
        <v/>
      </c>
      <c r="E297" s="41" t="str">
        <f t="shared" si="24"/>
        <v/>
      </c>
      <c r="F297" s="17">
        <v>595</v>
      </c>
      <c r="G297" s="27">
        <v>73.2</v>
      </c>
      <c r="H297" s="22">
        <v>25</v>
      </c>
      <c r="I297" s="28">
        <f t="shared" si="27"/>
        <v>394.84330330654319</v>
      </c>
      <c r="J297" s="29">
        <f t="shared" si="25"/>
        <v>309.56128461991739</v>
      </c>
      <c r="K297" s="29">
        <f t="shared" si="26"/>
        <v>541.10759862798614</v>
      </c>
      <c r="O297" s="33"/>
      <c r="P297" s="33"/>
      <c r="Q297" s="33"/>
      <c r="R297" s="33"/>
      <c r="S297" s="32"/>
      <c r="T297" s="32"/>
    </row>
    <row r="298" spans="1:22" ht="18" customHeight="1">
      <c r="A298" s="9">
        <v>37012</v>
      </c>
      <c r="B298" s="5">
        <v>1.018</v>
      </c>
      <c r="C298" s="30" t="str">
        <f t="shared" si="21"/>
        <v/>
      </c>
      <c r="D298" s="41" t="str">
        <f t="shared" si="23"/>
        <v/>
      </c>
      <c r="E298" s="41" t="str">
        <f t="shared" si="24"/>
        <v/>
      </c>
      <c r="F298" s="19">
        <v>612</v>
      </c>
      <c r="G298" s="27">
        <v>76.09</v>
      </c>
      <c r="H298" s="24">
        <v>20</v>
      </c>
      <c r="I298" s="28">
        <f t="shared" si="27"/>
        <v>410.43206213927419</v>
      </c>
      <c r="J298" s="29">
        <f t="shared" si="25"/>
        <v>318.40589275191502</v>
      </c>
      <c r="K298" s="29">
        <f t="shared" si="26"/>
        <v>562.47099972135879</v>
      </c>
      <c r="N298" s="33"/>
      <c r="O298" s="33"/>
      <c r="P298" s="33"/>
      <c r="Q298" s="33"/>
      <c r="R298" s="33"/>
      <c r="S298" s="32"/>
      <c r="T298" s="32"/>
    </row>
    <row r="299" spans="1:22" ht="18" customHeight="1">
      <c r="A299" s="9">
        <v>36982</v>
      </c>
      <c r="B299" s="5">
        <v>0.95899999999999996</v>
      </c>
      <c r="C299" s="30" t="str">
        <f t="shared" si="21"/>
        <v/>
      </c>
      <c r="D299" s="41" t="str">
        <f t="shared" si="23"/>
        <v/>
      </c>
      <c r="E299" s="41" t="str">
        <f t="shared" si="24"/>
        <v/>
      </c>
      <c r="F299" s="19">
        <v>577</v>
      </c>
      <c r="G299" s="27">
        <v>72.45</v>
      </c>
      <c r="H299" s="24">
        <v>20</v>
      </c>
      <c r="I299" s="28">
        <f t="shared" si="27"/>
        <v>390.79777765791056</v>
      </c>
      <c r="J299" s="29">
        <f t="shared" si="25"/>
        <v>300.19640542133163</v>
      </c>
      <c r="K299" s="29">
        <f t="shared" si="26"/>
        <v>535.56346339614197</v>
      </c>
      <c r="M299" s="33"/>
      <c r="N299" s="33"/>
      <c r="O299" s="33"/>
      <c r="P299" s="33"/>
      <c r="Q299" s="33"/>
      <c r="R299" s="33"/>
      <c r="S299" s="32"/>
      <c r="T299" s="32"/>
    </row>
    <row r="300" spans="1:22" ht="18" customHeight="1">
      <c r="A300" s="9">
        <v>36951</v>
      </c>
      <c r="B300" s="5">
        <v>0.87</v>
      </c>
      <c r="C300" s="30" t="str">
        <f t="shared" si="21"/>
        <v>Risk</v>
      </c>
      <c r="D300" s="41" t="str">
        <f t="shared" si="23"/>
        <v/>
      </c>
      <c r="E300" s="41" t="str">
        <f t="shared" si="24"/>
        <v/>
      </c>
      <c r="F300" s="19">
        <v>523</v>
      </c>
      <c r="G300" s="27">
        <v>65.16</v>
      </c>
      <c r="H300" s="24">
        <v>20</v>
      </c>
      <c r="I300" s="28">
        <f t="shared" si="27"/>
        <v>351.4752683532015</v>
      </c>
      <c r="J300" s="29">
        <f t="shared" si="25"/>
        <v>272.10176782557443</v>
      </c>
      <c r="K300" s="29">
        <f t="shared" si="26"/>
        <v>481.67446894261707</v>
      </c>
      <c r="L300" s="33"/>
      <c r="M300" s="33"/>
      <c r="N300" s="33"/>
      <c r="O300" s="33"/>
      <c r="P300" s="33"/>
      <c r="Q300" s="33"/>
      <c r="R300" s="33"/>
      <c r="S300" s="32"/>
      <c r="T300" s="32"/>
    </row>
    <row r="301" spans="1:22" ht="18" customHeight="1">
      <c r="A301" s="9">
        <v>36923</v>
      </c>
      <c r="B301" s="5">
        <v>0.96099999999999997</v>
      </c>
      <c r="C301" s="30" t="str">
        <f t="shared" si="21"/>
        <v/>
      </c>
      <c r="D301" s="41" t="str">
        <f t="shared" si="23"/>
        <v/>
      </c>
      <c r="E301" s="41" t="str">
        <f t="shared" si="24"/>
        <v/>
      </c>
      <c r="F301" s="19">
        <v>578</v>
      </c>
      <c r="G301" s="27">
        <v>72.14</v>
      </c>
      <c r="H301" s="24">
        <v>20</v>
      </c>
      <c r="I301" s="28">
        <f t="shared" si="27"/>
        <v>389.12562705647571</v>
      </c>
      <c r="J301" s="29">
        <f t="shared" si="25"/>
        <v>300.7166764879197</v>
      </c>
      <c r="K301" s="29">
        <f t="shared" si="26"/>
        <v>533.27188750031303</v>
      </c>
      <c r="L301" s="33"/>
      <c r="M301" s="33"/>
      <c r="N301" s="33"/>
      <c r="O301" s="33"/>
      <c r="P301" s="33"/>
      <c r="Q301" s="33"/>
      <c r="R301" s="33"/>
      <c r="S301" s="32"/>
      <c r="T301" s="32"/>
    </row>
    <row r="302" spans="1:22" ht="18" customHeight="1">
      <c r="A302" s="9">
        <v>36892</v>
      </c>
      <c r="B302" s="5">
        <v>1.028</v>
      </c>
      <c r="C302" s="30" t="str">
        <f t="shared" si="21"/>
        <v/>
      </c>
      <c r="D302" s="41" t="str">
        <f t="shared" si="23"/>
        <v/>
      </c>
      <c r="E302" s="41" t="str">
        <f t="shared" si="24"/>
        <v/>
      </c>
      <c r="F302" s="19">
        <v>618</v>
      </c>
      <c r="G302" s="27">
        <v>77.98</v>
      </c>
      <c r="H302" s="24">
        <v>20</v>
      </c>
      <c r="I302" s="28">
        <f t="shared" si="27"/>
        <v>420.62678677382837</v>
      </c>
      <c r="J302" s="29">
        <f t="shared" si="25"/>
        <v>321.52751915144353</v>
      </c>
      <c r="K302" s="29">
        <f t="shared" si="26"/>
        <v>576.44222050560597</v>
      </c>
      <c r="L302" s="33"/>
      <c r="M302" s="33"/>
      <c r="N302" s="33"/>
      <c r="O302" s="33"/>
      <c r="P302" s="33"/>
      <c r="Q302" s="33"/>
      <c r="R302" s="33"/>
      <c r="S302" s="32"/>
      <c r="T302" s="32"/>
    </row>
    <row r="303" spans="1:22" ht="18" customHeight="1">
      <c r="A303" s="9">
        <v>36861</v>
      </c>
      <c r="B303" s="5">
        <v>0.84</v>
      </c>
      <c r="C303" s="30" t="str">
        <f t="shared" si="21"/>
        <v>Risk</v>
      </c>
      <c r="D303" s="41" t="str">
        <f t="shared" si="23"/>
        <v>Risk</v>
      </c>
      <c r="E303" s="41" t="str">
        <f t="shared" si="24"/>
        <v/>
      </c>
      <c r="F303" s="19">
        <v>505</v>
      </c>
      <c r="G303" s="27">
        <v>63.35</v>
      </c>
      <c r="H303" s="24">
        <v>20</v>
      </c>
      <c r="I303" s="28">
        <f t="shared" si="27"/>
        <v>341.7120664545015</v>
      </c>
      <c r="J303" s="29">
        <f t="shared" si="25"/>
        <v>262.73688862698867</v>
      </c>
      <c r="K303" s="29">
        <f t="shared" si="26"/>
        <v>468.29462258309997</v>
      </c>
      <c r="L303" s="33"/>
      <c r="M303" s="33"/>
      <c r="N303" s="33"/>
      <c r="O303" s="33"/>
      <c r="P303" s="33"/>
      <c r="Q303" s="33"/>
      <c r="R303" s="33"/>
      <c r="S303" s="32"/>
      <c r="T303" s="32"/>
    </row>
    <row r="304" spans="1:22" ht="18" customHeight="1">
      <c r="A304" s="9">
        <v>36831</v>
      </c>
      <c r="B304" s="4">
        <v>0.84599999999999997</v>
      </c>
      <c r="C304" s="30" t="str">
        <f t="shared" si="21"/>
        <v>Risk</v>
      </c>
      <c r="D304" s="41" t="str">
        <f t="shared" si="23"/>
        <v>Risk</v>
      </c>
      <c r="E304" s="41" t="str">
        <f t="shared" si="24"/>
        <v/>
      </c>
      <c r="F304" s="17">
        <v>509</v>
      </c>
      <c r="G304" s="27">
        <v>63.48</v>
      </c>
      <c r="H304" s="25">
        <v>20</v>
      </c>
      <c r="I304" s="28">
        <f t="shared" si="27"/>
        <v>342.41329090026443</v>
      </c>
      <c r="J304" s="29">
        <f t="shared" si="25"/>
        <v>264.81797289334105</v>
      </c>
      <c r="K304" s="29">
        <f t="shared" si="26"/>
        <v>469.25560602328625</v>
      </c>
      <c r="L304" s="35">
        <f>1+(($I300/$I304)-1)*2</f>
        <v>1.0529300567107751</v>
      </c>
      <c r="M304" s="35">
        <f>1+(($I299/$I304)-1)*2</f>
        <v>1.2826086956521743</v>
      </c>
      <c r="N304" s="35">
        <f>1+(($I298/$I304)-1)*2</f>
        <v>1.3972904851921872</v>
      </c>
      <c r="O304" s="35">
        <f>1+(($I297/$I304)-1)*2</f>
        <v>1.3062381852551992</v>
      </c>
      <c r="P304" s="35">
        <f>1+(($I296/$I304)-1)*2</f>
        <v>1.110270951480782</v>
      </c>
      <c r="Q304" s="35">
        <f>1+(($I295/$I304)-1)*2</f>
        <v>1.1241335853812231</v>
      </c>
      <c r="R304" s="35">
        <f>1+(($I284/$I304)-1)*2</f>
        <v>1.8405797101449282</v>
      </c>
      <c r="S304" s="35">
        <f>1+(($I283/$I304)-1)*2</f>
        <v>1.9158790170132334</v>
      </c>
      <c r="T304" s="35">
        <f>1+(($I282/$I304)-1)*2</f>
        <v>1.5636420919974805</v>
      </c>
      <c r="U304" s="52"/>
      <c r="V304" s="52"/>
    </row>
    <row r="305" spans="1:20" ht="18" customHeight="1">
      <c r="A305" s="9">
        <v>36800</v>
      </c>
      <c r="B305" s="4">
        <v>0.85499999999999998</v>
      </c>
      <c r="C305" s="30" t="str">
        <f t="shared" si="21"/>
        <v>Risk</v>
      </c>
      <c r="D305" s="41" t="str">
        <f t="shared" si="23"/>
        <v/>
      </c>
      <c r="E305" s="41" t="str">
        <f t="shared" si="24"/>
        <v/>
      </c>
      <c r="F305" s="17">
        <v>514</v>
      </c>
      <c r="G305" s="27">
        <v>64</v>
      </c>
      <c r="H305" s="25">
        <v>40</v>
      </c>
      <c r="I305" s="28">
        <f t="shared" si="27"/>
        <v>345.21818868331644</v>
      </c>
      <c r="J305" s="29">
        <f t="shared" si="25"/>
        <v>267.41932822628155</v>
      </c>
      <c r="K305" s="29">
        <f t="shared" si="26"/>
        <v>473.09953978403155</v>
      </c>
      <c r="L305" s="34">
        <f>$I304/$I305</f>
        <v>0.99187499999999984</v>
      </c>
      <c r="M305" s="34">
        <f t="shared" ref="M305:T305" si="29">$I304/$I305</f>
        <v>0.99187499999999984</v>
      </c>
      <c r="N305" s="34">
        <f t="shared" si="29"/>
        <v>0.99187499999999984</v>
      </c>
      <c r="O305" s="34">
        <f t="shared" si="29"/>
        <v>0.99187499999999984</v>
      </c>
      <c r="P305" s="34">
        <f t="shared" si="29"/>
        <v>0.99187499999999984</v>
      </c>
      <c r="Q305" s="34">
        <f t="shared" si="29"/>
        <v>0.99187499999999984</v>
      </c>
      <c r="R305" s="34">
        <f t="shared" si="29"/>
        <v>0.99187499999999984</v>
      </c>
      <c r="S305" s="34">
        <f t="shared" si="29"/>
        <v>0.99187499999999984</v>
      </c>
      <c r="T305" s="34">
        <f t="shared" si="29"/>
        <v>0.99187499999999984</v>
      </c>
    </row>
    <row r="306" spans="1:20" ht="18" customHeight="1">
      <c r="A306" s="9">
        <v>36770</v>
      </c>
      <c r="B306" s="4">
        <v>1.0189999999999999</v>
      </c>
      <c r="C306" s="30" t="str">
        <f t="shared" si="21"/>
        <v/>
      </c>
      <c r="D306" s="41" t="str">
        <f t="shared" si="23"/>
        <v/>
      </c>
      <c r="E306" s="41" t="str">
        <f t="shared" si="24"/>
        <v/>
      </c>
      <c r="F306" s="17">
        <v>613</v>
      </c>
      <c r="G306" s="27">
        <v>76.37</v>
      </c>
      <c r="H306" s="25">
        <v>40</v>
      </c>
      <c r="I306" s="28">
        <f t="shared" si="27"/>
        <v>411.94239171476374</v>
      </c>
      <c r="J306" s="29">
        <f t="shared" si="25"/>
        <v>318.92616381850308</v>
      </c>
      <c r="K306" s="29">
        <f t="shared" si="26"/>
        <v>564.54081020791398</v>
      </c>
    </row>
    <row r="307" spans="1:20" ht="18" customHeight="1">
      <c r="A307" s="9">
        <v>36739</v>
      </c>
      <c r="B307" s="4">
        <v>1.1459999999999999</v>
      </c>
      <c r="C307" s="30" t="str">
        <f t="shared" si="21"/>
        <v/>
      </c>
      <c r="D307" s="41" t="str">
        <f t="shared" si="23"/>
        <v/>
      </c>
      <c r="E307" s="41" t="str">
        <f t="shared" si="24"/>
        <v/>
      </c>
      <c r="F307" s="17">
        <v>689</v>
      </c>
      <c r="G307" s="27">
        <v>86.54</v>
      </c>
      <c r="H307" s="25">
        <v>20</v>
      </c>
      <c r="I307" s="28">
        <f t="shared" si="27"/>
        <v>466.79971951022202</v>
      </c>
      <c r="J307" s="29">
        <f t="shared" si="25"/>
        <v>358.46676487919842</v>
      </c>
      <c r="K307" s="29">
        <f t="shared" si="26"/>
        <v>639.71928395172029</v>
      </c>
    </row>
    <row r="308" spans="1:20" ht="18" customHeight="1">
      <c r="A308" s="9">
        <v>36708</v>
      </c>
      <c r="B308" s="4">
        <v>1.1739999999999999</v>
      </c>
      <c r="C308" s="30" t="str">
        <f t="shared" si="21"/>
        <v/>
      </c>
      <c r="D308" s="41" t="str">
        <f t="shared" si="23"/>
        <v/>
      </c>
      <c r="E308" s="41" t="str">
        <f t="shared" si="24"/>
        <v/>
      </c>
      <c r="F308" s="17">
        <v>706</v>
      </c>
      <c r="G308" s="27">
        <v>89.35</v>
      </c>
      <c r="H308" s="25">
        <v>40</v>
      </c>
      <c r="I308" s="28">
        <f t="shared" si="27"/>
        <v>481.95695560709885</v>
      </c>
      <c r="J308" s="29">
        <f t="shared" si="25"/>
        <v>367.31137301119611</v>
      </c>
      <c r="K308" s="29">
        <f t="shared" si="26"/>
        <v>660.49131062036292</v>
      </c>
    </row>
    <row r="309" spans="1:20" ht="18" customHeight="1">
      <c r="A309" s="9">
        <v>36678</v>
      </c>
      <c r="B309" s="4">
        <v>1.365</v>
      </c>
      <c r="C309" s="30" t="str">
        <f t="shared" si="21"/>
        <v/>
      </c>
      <c r="D309" s="41" t="str">
        <f t="shared" si="23"/>
        <v/>
      </c>
      <c r="E309" s="41" t="str">
        <f t="shared" si="24"/>
        <v/>
      </c>
      <c r="F309" s="17">
        <v>821</v>
      </c>
      <c r="G309" s="27">
        <v>104.43</v>
      </c>
      <c r="H309" s="25">
        <v>20</v>
      </c>
      <c r="I309" s="28">
        <f t="shared" si="27"/>
        <v>563.29899131560535</v>
      </c>
      <c r="J309" s="29">
        <f t="shared" si="25"/>
        <v>427.14254566882715</v>
      </c>
      <c r="K309" s="29">
        <f t="shared" si="26"/>
        <v>771.96538968197547</v>
      </c>
    </row>
    <row r="310" spans="1:20" ht="18" customHeight="1">
      <c r="A310" s="9">
        <v>36647</v>
      </c>
      <c r="B310" s="4">
        <v>1.2170000000000001</v>
      </c>
      <c r="C310" s="30" t="str">
        <f t="shared" si="21"/>
        <v/>
      </c>
      <c r="D310" s="41" t="str">
        <f t="shared" si="23"/>
        <v/>
      </c>
      <c r="E310" s="41" t="str">
        <f t="shared" si="24"/>
        <v/>
      </c>
      <c r="F310" s="17">
        <v>732</v>
      </c>
      <c r="G310" s="27">
        <v>92.74</v>
      </c>
      <c r="H310" s="25">
        <v>30</v>
      </c>
      <c r="I310" s="28">
        <f t="shared" si="27"/>
        <v>500.24273153891829</v>
      </c>
      <c r="J310" s="29">
        <f t="shared" si="25"/>
        <v>380.83842074248656</v>
      </c>
      <c r="K310" s="29">
        <f t="shared" si="26"/>
        <v>685.55080186829844</v>
      </c>
    </row>
    <row r="311" spans="1:20" ht="18" customHeight="1">
      <c r="A311" s="9">
        <v>36617</v>
      </c>
      <c r="B311" s="4">
        <v>1.2050000000000001</v>
      </c>
      <c r="C311" s="30" t="str">
        <f t="shared" si="21"/>
        <v/>
      </c>
      <c r="D311" s="41" t="str">
        <f t="shared" si="23"/>
        <v/>
      </c>
      <c r="E311" s="41" t="str">
        <f t="shared" si="24"/>
        <v/>
      </c>
      <c r="F311" s="17">
        <v>725</v>
      </c>
      <c r="G311" s="27">
        <v>91.21</v>
      </c>
      <c r="H311" s="25">
        <v>40</v>
      </c>
      <c r="I311" s="28">
        <f t="shared" si="27"/>
        <v>491.98985921570778</v>
      </c>
      <c r="J311" s="29">
        <f t="shared" si="25"/>
        <v>377.19652327636993</v>
      </c>
      <c r="K311" s="29">
        <f t="shared" si="26"/>
        <v>674.24076599533646</v>
      </c>
    </row>
    <row r="312" spans="1:20" ht="18" customHeight="1">
      <c r="A312" s="9">
        <v>36586</v>
      </c>
      <c r="B312" s="4">
        <v>1.4319999999999999</v>
      </c>
      <c r="C312" s="30" t="str">
        <f t="shared" si="21"/>
        <v/>
      </c>
      <c r="D312" s="41" t="str">
        <f t="shared" si="23"/>
        <v/>
      </c>
      <c r="E312" s="41" t="str">
        <f t="shared" si="24"/>
        <v/>
      </c>
      <c r="F312" s="17">
        <v>861</v>
      </c>
      <c r="G312" s="27">
        <v>108.03</v>
      </c>
      <c r="H312" s="25">
        <v>30</v>
      </c>
      <c r="I312" s="28">
        <f t="shared" si="27"/>
        <v>582.7175144290419</v>
      </c>
      <c r="J312" s="29">
        <f t="shared" si="25"/>
        <v>447.95338833235104</v>
      </c>
      <c r="K312" s="29">
        <f t="shared" si="26"/>
        <v>798.57723879482728</v>
      </c>
    </row>
    <row r="313" spans="1:20" ht="18" customHeight="1">
      <c r="A313" s="9">
        <v>36557</v>
      </c>
      <c r="B313" s="4">
        <v>1.377</v>
      </c>
      <c r="C313" s="30" t="str">
        <f t="shared" si="21"/>
        <v/>
      </c>
      <c r="D313" s="41" t="str">
        <f t="shared" si="23"/>
        <v/>
      </c>
      <c r="E313" s="41" t="str">
        <f t="shared" si="24"/>
        <v/>
      </c>
      <c r="F313" s="17">
        <v>828</v>
      </c>
      <c r="G313" s="27">
        <v>103.17</v>
      </c>
      <c r="H313" s="25">
        <v>40</v>
      </c>
      <c r="I313" s="28">
        <f t="shared" si="27"/>
        <v>556.50250822590249</v>
      </c>
      <c r="J313" s="29">
        <f t="shared" si="25"/>
        <v>430.78444313494384</v>
      </c>
      <c r="K313" s="29">
        <f t="shared" si="26"/>
        <v>762.65124249247731</v>
      </c>
      <c r="T313" s="32"/>
    </row>
    <row r="314" spans="1:20" ht="18" customHeight="1">
      <c r="A314" s="9">
        <v>36526</v>
      </c>
      <c r="B314" s="4">
        <v>1.57</v>
      </c>
      <c r="C314" s="30" t="str">
        <f t="shared" si="21"/>
        <v/>
      </c>
      <c r="D314" s="41" t="str">
        <f t="shared" si="23"/>
        <v/>
      </c>
      <c r="E314" s="41" t="str">
        <f t="shared" si="24"/>
        <v/>
      </c>
      <c r="F314" s="17">
        <v>944</v>
      </c>
      <c r="G314" s="27">
        <v>119.08</v>
      </c>
      <c r="H314" s="25">
        <v>40</v>
      </c>
      <c r="I314" s="28">
        <f t="shared" si="27"/>
        <v>642.32159231889568</v>
      </c>
      <c r="J314" s="29">
        <f t="shared" si="25"/>
        <v>491.13588685916301</v>
      </c>
      <c r="K314" s="29">
        <f t="shared" si="26"/>
        <v>880.26083121066392</v>
      </c>
      <c r="S314" s="33"/>
      <c r="T314" s="32"/>
    </row>
    <row r="315" spans="1:20" ht="18" customHeight="1">
      <c r="A315" s="9">
        <v>36495</v>
      </c>
      <c r="B315" s="8">
        <v>1.7090000000000001</v>
      </c>
      <c r="C315" s="30" t="str">
        <f t="shared" si="21"/>
        <v/>
      </c>
      <c r="D315" s="41" t="str">
        <f t="shared" si="23"/>
        <v/>
      </c>
      <c r="E315" s="41" t="str">
        <f t="shared" si="24"/>
        <v/>
      </c>
      <c r="F315" s="20">
        <v>1028</v>
      </c>
      <c r="G315" s="27">
        <v>130.02000000000001</v>
      </c>
      <c r="H315" s="26">
        <v>20</v>
      </c>
      <c r="I315" s="28">
        <f t="shared" si="27"/>
        <v>701.33232644695011</v>
      </c>
      <c r="J315" s="29">
        <f t="shared" si="25"/>
        <v>534.8386564525631</v>
      </c>
      <c r="K315" s="29">
        <f t="shared" si="26"/>
        <v>961.1312837924969</v>
      </c>
      <c r="R315" s="33"/>
      <c r="S315" s="33"/>
      <c r="T315" s="32"/>
    </row>
    <row r="316" spans="1:20" ht="18" customHeight="1">
      <c r="A316" s="9">
        <v>36465</v>
      </c>
      <c r="B316" s="8">
        <v>1.6579999999999999</v>
      </c>
      <c r="C316" s="30" t="str">
        <f t="shared" si="21"/>
        <v/>
      </c>
      <c r="D316" s="41" t="str">
        <f t="shared" si="23"/>
        <v/>
      </c>
      <c r="E316" s="41" t="str">
        <f t="shared" si="24"/>
        <v/>
      </c>
      <c r="F316" s="20">
        <v>997</v>
      </c>
      <c r="G316" s="27">
        <v>123.59</v>
      </c>
      <c r="H316" s="26">
        <v>20</v>
      </c>
      <c r="I316" s="28">
        <f t="shared" si="27"/>
        <v>666.6486865526731</v>
      </c>
      <c r="J316" s="29">
        <f t="shared" si="25"/>
        <v>518.71025338833215</v>
      </c>
      <c r="K316" s="29">
        <f t="shared" si="26"/>
        <v>913.59956440481994</v>
      </c>
      <c r="Q316" s="33"/>
      <c r="R316" s="33"/>
      <c r="S316" s="33"/>
      <c r="T316" s="32"/>
    </row>
    <row r="317" spans="1:20" ht="18" customHeight="1">
      <c r="A317" s="9">
        <v>36434</v>
      </c>
      <c r="B317" s="8">
        <v>1.387</v>
      </c>
      <c r="C317" s="30" t="str">
        <f t="shared" si="21"/>
        <v/>
      </c>
      <c r="D317" s="41" t="str">
        <f t="shared" si="23"/>
        <v/>
      </c>
      <c r="E317" s="41" t="str">
        <f t="shared" si="24"/>
        <v/>
      </c>
      <c r="F317" s="20">
        <v>834</v>
      </c>
      <c r="G317" s="27">
        <v>100.19</v>
      </c>
      <c r="H317" s="26">
        <v>20</v>
      </c>
      <c r="I317" s="28">
        <f t="shared" si="27"/>
        <v>540.42828631533553</v>
      </c>
      <c r="J317" s="29">
        <f t="shared" si="25"/>
        <v>433.90606953447241</v>
      </c>
      <c r="K317" s="29">
        <f t="shared" si="26"/>
        <v>740.62254517128326</v>
      </c>
      <c r="P317" s="33"/>
      <c r="Q317" s="33"/>
      <c r="R317" s="33"/>
      <c r="S317" s="33"/>
      <c r="T317" s="32"/>
    </row>
    <row r="318" spans="1:20" ht="18" customHeight="1">
      <c r="A318" s="9">
        <v>36404</v>
      </c>
      <c r="B318" s="8">
        <v>1.39</v>
      </c>
      <c r="C318" s="30" t="str">
        <f t="shared" si="21"/>
        <v/>
      </c>
      <c r="D318" s="41" t="str">
        <f t="shared" si="23"/>
        <v/>
      </c>
      <c r="E318" s="41" t="str">
        <f t="shared" si="24"/>
        <v/>
      </c>
      <c r="F318" s="20">
        <v>836</v>
      </c>
      <c r="G318" s="27">
        <v>100.71</v>
      </c>
      <c r="H318" s="26">
        <v>20</v>
      </c>
      <c r="I318" s="28">
        <f t="shared" si="27"/>
        <v>543.23318409838748</v>
      </c>
      <c r="J318" s="29">
        <f t="shared" si="25"/>
        <v>434.9466116676486</v>
      </c>
      <c r="K318" s="29">
        <f t="shared" si="26"/>
        <v>744.46647893202851</v>
      </c>
      <c r="O318" s="33"/>
      <c r="P318" s="32"/>
      <c r="Q318" s="32"/>
      <c r="R318" s="32"/>
      <c r="S318" s="32"/>
      <c r="T318" s="32"/>
    </row>
    <row r="319" spans="1:20" ht="18" customHeight="1">
      <c r="A319" s="9">
        <v>36373</v>
      </c>
      <c r="B319" s="8">
        <v>1.56</v>
      </c>
      <c r="C319" s="30" t="str">
        <f t="shared" si="21"/>
        <v/>
      </c>
      <c r="D319" s="41" t="str">
        <f t="shared" si="23"/>
        <v/>
      </c>
      <c r="E319" s="41" t="str">
        <f t="shared" si="24"/>
        <v/>
      </c>
      <c r="F319" s="20">
        <v>938</v>
      </c>
      <c r="G319" s="27">
        <v>112.79</v>
      </c>
      <c r="H319" s="26">
        <v>20</v>
      </c>
      <c r="I319" s="28">
        <f t="shared" si="27"/>
        <v>608.39311721236356</v>
      </c>
      <c r="J319" s="29">
        <f t="shared" si="25"/>
        <v>488.01426045963439</v>
      </c>
      <c r="K319" s="29">
        <f t="shared" si="26"/>
        <v>833.76401706626461</v>
      </c>
      <c r="N319" s="33"/>
      <c r="O319" s="33"/>
      <c r="P319" s="32"/>
      <c r="Q319" s="32"/>
      <c r="R319" s="32"/>
      <c r="S319" s="32"/>
      <c r="T319" s="32"/>
    </row>
    <row r="320" spans="1:20" ht="18" customHeight="1">
      <c r="A320" s="9">
        <v>36342</v>
      </c>
      <c r="B320" s="8">
        <v>1.613</v>
      </c>
      <c r="C320" s="30" t="str">
        <f t="shared" si="21"/>
        <v/>
      </c>
      <c r="D320" s="41" t="str">
        <f t="shared" si="23"/>
        <v/>
      </c>
      <c r="E320" s="41" t="str">
        <f t="shared" si="24"/>
        <v/>
      </c>
      <c r="F320" s="20">
        <v>970</v>
      </c>
      <c r="G320" s="27">
        <v>116.14</v>
      </c>
      <c r="H320" s="26">
        <v>20</v>
      </c>
      <c r="I320" s="28">
        <f t="shared" si="27"/>
        <v>626.46313177625586</v>
      </c>
      <c r="J320" s="29">
        <f t="shared" si="25"/>
        <v>504.66293459045346</v>
      </c>
      <c r="K320" s="29">
        <f t="shared" si="26"/>
        <v>858.52782110183489</v>
      </c>
      <c r="M320" s="33"/>
      <c r="N320" s="33"/>
      <c r="O320" s="33"/>
      <c r="P320" s="32"/>
      <c r="Q320" s="32"/>
      <c r="R320" s="32"/>
      <c r="S320" s="32"/>
      <c r="T320" s="32"/>
    </row>
    <row r="321" spans="1:20" ht="18" customHeight="1">
      <c r="A321" s="9">
        <v>36312</v>
      </c>
      <c r="B321" s="8">
        <v>1.468</v>
      </c>
      <c r="C321" s="30" t="str">
        <f t="shared" si="21"/>
        <v/>
      </c>
      <c r="D321" s="41" t="str">
        <f t="shared" si="23"/>
        <v/>
      </c>
      <c r="E321" s="41" t="str">
        <f t="shared" si="24"/>
        <v/>
      </c>
      <c r="F321" s="20">
        <v>883</v>
      </c>
      <c r="G321" s="27">
        <v>105.47</v>
      </c>
      <c r="H321" s="26">
        <v>20</v>
      </c>
      <c r="I321" s="28">
        <f t="shared" si="27"/>
        <v>568.90878688170926</v>
      </c>
      <c r="J321" s="29">
        <f t="shared" si="25"/>
        <v>459.39935179728906</v>
      </c>
      <c r="K321" s="29">
        <f t="shared" si="26"/>
        <v>779.65325720346596</v>
      </c>
      <c r="L321" s="33"/>
      <c r="M321" s="33"/>
      <c r="N321" s="33"/>
      <c r="O321" s="33"/>
      <c r="P321" s="32"/>
      <c r="Q321" s="32"/>
      <c r="R321" s="32"/>
      <c r="S321" s="32"/>
      <c r="T321" s="32"/>
    </row>
    <row r="322" spans="1:20" ht="18" customHeight="1">
      <c r="A322" s="9">
        <v>36281</v>
      </c>
      <c r="B322" s="8">
        <v>1.224</v>
      </c>
      <c r="C322" s="30" t="str">
        <f t="shared" si="21"/>
        <v/>
      </c>
      <c r="D322" s="41" t="str">
        <f t="shared" si="23"/>
        <v/>
      </c>
      <c r="E322" s="41" t="str">
        <f t="shared" si="24"/>
        <v/>
      </c>
      <c r="F322" s="20">
        <v>736</v>
      </c>
      <c r="G322" s="27">
        <v>85.68</v>
      </c>
      <c r="H322" s="26">
        <v>20</v>
      </c>
      <c r="I322" s="28">
        <f t="shared" si="27"/>
        <v>462.16085009979003</v>
      </c>
      <c r="J322" s="29">
        <f t="shared" si="25"/>
        <v>382.91950500883888</v>
      </c>
      <c r="K322" s="29">
        <f t="shared" si="26"/>
        <v>633.36200888587246</v>
      </c>
      <c r="L322" s="33"/>
      <c r="M322" s="33"/>
      <c r="N322" s="33"/>
      <c r="O322" s="33"/>
      <c r="P322" s="32"/>
      <c r="Q322" s="32"/>
      <c r="R322" s="32"/>
      <c r="S322" s="32"/>
      <c r="T322" s="32"/>
    </row>
    <row r="323" spans="1:20" ht="18" customHeight="1">
      <c r="A323" s="9">
        <v>36251</v>
      </c>
      <c r="B323" s="8">
        <v>1.252</v>
      </c>
      <c r="C323" s="30" t="str">
        <f t="shared" si="21"/>
        <v/>
      </c>
      <c r="D323" s="41" t="str">
        <f t="shared" si="23"/>
        <v/>
      </c>
      <c r="E323" s="41" t="str">
        <f t="shared" si="24"/>
        <v/>
      </c>
      <c r="F323" s="20">
        <v>753</v>
      </c>
      <c r="G323" s="27">
        <v>87.15</v>
      </c>
      <c r="H323" s="26">
        <v>20</v>
      </c>
      <c r="I323" s="28">
        <f t="shared" si="27"/>
        <v>470.09008037110993</v>
      </c>
      <c r="J323" s="29">
        <f t="shared" si="25"/>
        <v>391.76411314083651</v>
      </c>
      <c r="K323" s="29">
        <f t="shared" si="26"/>
        <v>644.22851394028692</v>
      </c>
      <c r="L323" s="33"/>
      <c r="M323" s="33"/>
      <c r="N323" s="33"/>
      <c r="O323" s="33"/>
      <c r="P323" s="32"/>
      <c r="Q323" s="32"/>
      <c r="R323" s="32"/>
      <c r="S323" s="32"/>
      <c r="T323" s="32"/>
    </row>
    <row r="324" spans="1:20" ht="18" customHeight="1">
      <c r="A324" s="9">
        <v>36220</v>
      </c>
      <c r="B324" s="8">
        <v>1.0289999999999999</v>
      </c>
      <c r="C324" s="30" t="str">
        <f t="shared" ref="C324:C326" si="30">IF(B324&lt;=C$1, "Risk", "")</f>
        <v/>
      </c>
      <c r="D324" s="41" t="str">
        <f t="shared" si="23"/>
        <v/>
      </c>
      <c r="E324" s="41" t="str">
        <f t="shared" si="24"/>
        <v/>
      </c>
      <c r="F324" s="20">
        <v>619</v>
      </c>
      <c r="G324" s="27">
        <v>71.84</v>
      </c>
      <c r="H324" s="26">
        <v>20</v>
      </c>
      <c r="I324" s="28">
        <f t="shared" si="27"/>
        <v>387.50741679702281</v>
      </c>
      <c r="J324" s="29">
        <f t="shared" si="25"/>
        <v>322.04779021803165</v>
      </c>
      <c r="K324" s="29">
        <f t="shared" si="26"/>
        <v>531.05423340757557</v>
      </c>
      <c r="L324" s="33"/>
      <c r="M324" s="33"/>
      <c r="N324" s="33"/>
      <c r="O324" s="33"/>
      <c r="P324" s="32"/>
      <c r="Q324" s="32"/>
      <c r="R324" s="32"/>
      <c r="S324" s="32"/>
      <c r="T324" s="32"/>
    </row>
    <row r="325" spans="1:20" ht="18" customHeight="1">
      <c r="A325" s="9">
        <v>36192</v>
      </c>
      <c r="B325" s="8">
        <v>0.86499999999999999</v>
      </c>
      <c r="C325" s="30" t="str">
        <f t="shared" si="30"/>
        <v>Risk</v>
      </c>
      <c r="D325" s="41" t="str">
        <f t="shared" ref="D325:D326" si="31">IF(B325&lt;=D$1, "Risk", "")</f>
        <v/>
      </c>
      <c r="E325" s="41" t="str">
        <f t="shared" ref="E325:E326" si="32">IF(B325&lt;=E$1, "Risk", "")</f>
        <v/>
      </c>
      <c r="F325" s="20">
        <v>520</v>
      </c>
      <c r="G325" s="27">
        <v>60.28</v>
      </c>
      <c r="H325" s="26">
        <v>20</v>
      </c>
      <c r="I325" s="28">
        <f t="shared" si="27"/>
        <v>325.15238146609875</v>
      </c>
      <c r="J325" s="29">
        <f t="shared" si="25"/>
        <v>270.54095462581012</v>
      </c>
      <c r="K325" s="29">
        <f t="shared" si="26"/>
        <v>445.60062903408482</v>
      </c>
      <c r="L325" s="34">
        <f>$I321/$I325</f>
        <v>1.7496682149966822</v>
      </c>
      <c r="M325" s="34">
        <f>$I320/$I325</f>
        <v>1.9266755142667549</v>
      </c>
      <c r="N325" s="34">
        <f>$I319/$I325</f>
        <v>1.8711015262110151</v>
      </c>
      <c r="O325" s="34">
        <f>$I318/$I325</f>
        <v>1.6707033842070336</v>
      </c>
      <c r="P325" s="34">
        <f>$I317/$I325</f>
        <v>1.6620769741207693</v>
      </c>
      <c r="Q325" s="34">
        <f>$I316/$I325</f>
        <v>2.0502654280026538</v>
      </c>
      <c r="R325" s="34">
        <f>$I315/$I325</f>
        <v>2.1569343065693429</v>
      </c>
      <c r="S325" s="34">
        <f>$I314/$I325</f>
        <v>1.9754479097544788</v>
      </c>
      <c r="T325" s="34">
        <f>$I313/$I325</f>
        <v>1.7115129396151292</v>
      </c>
    </row>
    <row r="326" spans="1:20" ht="18" customHeight="1">
      <c r="A326" s="9">
        <v>36161</v>
      </c>
      <c r="B326" s="8">
        <v>0.94899999999999995</v>
      </c>
      <c r="C326" s="30" t="str">
        <f t="shared" si="30"/>
        <v/>
      </c>
      <c r="D326" s="41" t="str">
        <f t="shared" si="31"/>
        <v/>
      </c>
      <c r="E326" s="41" t="str">
        <f t="shared" si="32"/>
        <v/>
      </c>
      <c r="F326" s="20">
        <v>571</v>
      </c>
      <c r="G326" s="27">
        <v>65.72</v>
      </c>
      <c r="H326" s="26">
        <v>20</v>
      </c>
      <c r="I326" s="28">
        <f t="shared" si="27"/>
        <v>354.4959275041806</v>
      </c>
      <c r="J326" s="29">
        <f t="shared" si="25"/>
        <v>297.07477902180307</v>
      </c>
      <c r="K326" s="29">
        <f t="shared" si="26"/>
        <v>485.81408991572744</v>
      </c>
    </row>
  </sheetData>
  <phoneticPr fontId="1" type="noConversion"/>
  <conditionalFormatting sqref="C1:E1048576">
    <cfRule type="containsText" dxfId="60" priority="3" operator="containsText" text="Risk">
      <formula>NOT(ISERROR(SEARCH("Risk",C1)))</formula>
    </cfRule>
  </conditionalFormatting>
  <conditionalFormatting sqref="L4:T326">
    <cfRule type="cellIs" dxfId="59" priority="1" operator="lessThan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B7D5-6C53-4546-B005-3C6A57B65F5C}">
  <dimension ref="A1:U326"/>
  <sheetViews>
    <sheetView zoomScale="85" zoomScaleNormal="85" workbookViewId="0">
      <pane ySplit="1" topLeftCell="A2" activePane="bottomLeft" state="frozen"/>
      <selection pane="bottomLeft" activeCell="Q1" sqref="Q1"/>
    </sheetView>
  </sheetViews>
  <sheetFormatPr defaultColWidth="21" defaultRowHeight="16.5"/>
  <cols>
    <col min="1" max="1" width="11.625" style="2" customWidth="1"/>
    <col min="2" max="2" width="9.875" style="61" customWidth="1"/>
    <col min="3" max="4" width="7.75" style="31" customWidth="1"/>
    <col min="5" max="5" width="9.125" style="6" customWidth="1"/>
    <col min="6" max="6" width="11.625" style="6" hidden="1" customWidth="1"/>
    <col min="7" max="8" width="11.625" style="6" customWidth="1"/>
    <col min="9" max="10" width="11.625" style="2" hidden="1" customWidth="1"/>
    <col min="11" max="19" width="8.75" style="2" customWidth="1"/>
    <col min="20" max="16384" width="21" style="2"/>
  </cols>
  <sheetData>
    <row r="1" spans="1:20" ht="18" customHeight="1">
      <c r="A1" s="10" t="s">
        <v>3</v>
      </c>
      <c r="B1" s="55" t="s">
        <v>2</v>
      </c>
      <c r="C1" s="46">
        <v>0.95</v>
      </c>
      <c r="D1" s="46">
        <v>0.9</v>
      </c>
      <c r="E1" s="47" t="s">
        <v>0</v>
      </c>
      <c r="F1" s="47" t="s">
        <v>1</v>
      </c>
      <c r="G1" s="47" t="s">
        <v>4</v>
      </c>
      <c r="H1" s="48" t="s">
        <v>5</v>
      </c>
      <c r="I1" s="49" t="s">
        <v>6</v>
      </c>
      <c r="J1" s="49" t="s">
        <v>7</v>
      </c>
      <c r="K1" s="49" t="s">
        <v>9</v>
      </c>
      <c r="L1" s="49" t="s">
        <v>10</v>
      </c>
      <c r="M1" s="49" t="s">
        <v>8</v>
      </c>
      <c r="N1" s="49" t="s">
        <v>11</v>
      </c>
      <c r="O1" s="49" t="s">
        <v>12</v>
      </c>
      <c r="P1" s="49" t="s">
        <v>13</v>
      </c>
      <c r="Q1" s="54" t="s">
        <v>14</v>
      </c>
      <c r="R1" s="49" t="s">
        <v>15</v>
      </c>
      <c r="S1" s="49" t="s">
        <v>16</v>
      </c>
      <c r="T1" s="53" t="s">
        <v>17</v>
      </c>
    </row>
    <row r="2" spans="1:20" ht="18" customHeight="1">
      <c r="A2" s="10"/>
      <c r="B2" s="55"/>
      <c r="C2" s="46" t="s">
        <v>21</v>
      </c>
      <c r="D2" s="46" t="s">
        <v>20</v>
      </c>
      <c r="E2" s="47"/>
      <c r="F2" s="47"/>
      <c r="G2" s="47"/>
      <c r="H2" s="48"/>
      <c r="I2" s="49"/>
      <c r="J2" s="49"/>
      <c r="K2" s="50">
        <f>PRODUCT(K4:K326)</f>
        <v>52.877627060827677</v>
      </c>
      <c r="L2" s="50">
        <f t="shared" ref="L2:S2" si="0">PRODUCT(L4:L326)</f>
        <v>47.429295917633631</v>
      </c>
      <c r="M2" s="50">
        <f t="shared" si="0"/>
        <v>72.335991406055015</v>
      </c>
      <c r="N2" s="50">
        <f t="shared" si="0"/>
        <v>63.784491604220761</v>
      </c>
      <c r="O2" s="50">
        <f t="shared" si="0"/>
        <v>82.028116383952735</v>
      </c>
      <c r="P2" s="50">
        <f t="shared" si="0"/>
        <v>132.86820548587428</v>
      </c>
      <c r="Q2" s="51">
        <f t="shared" si="0"/>
        <v>134.41822015058131</v>
      </c>
      <c r="R2" s="50">
        <f t="shared" si="0"/>
        <v>71.214694210376919</v>
      </c>
      <c r="S2" s="50">
        <f t="shared" si="0"/>
        <v>58.919010765839481</v>
      </c>
      <c r="T2" s="78">
        <f>Q2^(1/27)-1</f>
        <v>0.19903478625995619</v>
      </c>
    </row>
    <row r="3" spans="1:20" ht="18" customHeight="1">
      <c r="A3" s="10"/>
      <c r="B3" s="62"/>
      <c r="C3" s="63"/>
      <c r="D3" s="63"/>
      <c r="E3" s="64"/>
      <c r="F3" s="64"/>
      <c r="G3" s="64"/>
      <c r="H3" s="65"/>
      <c r="I3" s="66"/>
      <c r="J3" s="66"/>
      <c r="K3" s="67">
        <f>COUNTIF(K4:K326, "&lt;1")</f>
        <v>9</v>
      </c>
      <c r="L3" s="67">
        <f t="shared" ref="L3:S3" si="1">COUNTIF(L4:L326, "&lt;1")</f>
        <v>8</v>
      </c>
      <c r="M3" s="67">
        <f t="shared" si="1"/>
        <v>8</v>
      </c>
      <c r="N3" s="67">
        <f t="shared" si="1"/>
        <v>6</v>
      </c>
      <c r="O3" s="67">
        <f t="shared" si="1"/>
        <v>7</v>
      </c>
      <c r="P3" s="67">
        <f t="shared" si="1"/>
        <v>6</v>
      </c>
      <c r="Q3" s="67">
        <f t="shared" si="1"/>
        <v>6</v>
      </c>
      <c r="R3" s="67">
        <f t="shared" si="1"/>
        <v>5</v>
      </c>
      <c r="S3" s="67">
        <f t="shared" si="1"/>
        <v>3</v>
      </c>
      <c r="T3" s="1" t="s">
        <v>18</v>
      </c>
    </row>
    <row r="4" spans="1:20" ht="18" customHeight="1">
      <c r="A4" s="9">
        <v>45962</v>
      </c>
      <c r="B4" s="56">
        <v>1.29</v>
      </c>
      <c r="C4" s="41" t="str">
        <f t="shared" ref="C4:C67" si="2">IF(B4&lt;=C$1, "Risk", "")</f>
        <v/>
      </c>
      <c r="D4" s="41" t="str">
        <f>IF(B4&lt;=D$1, "Risk", "")</f>
        <v/>
      </c>
      <c r="E4" s="42">
        <v>3853.26</v>
      </c>
      <c r="F4" s="42">
        <v>540.36</v>
      </c>
      <c r="G4" s="42">
        <v>41.88</v>
      </c>
      <c r="H4" s="42">
        <v>2666.12</v>
      </c>
      <c r="I4" s="43">
        <v>863.95</v>
      </c>
      <c r="J4" s="43">
        <v>1517.92</v>
      </c>
      <c r="S4" s="32"/>
    </row>
    <row r="5" spans="1:20" ht="18" customHeight="1">
      <c r="A5" s="9">
        <v>45931</v>
      </c>
      <c r="B5" s="3">
        <v>1.38</v>
      </c>
      <c r="C5" s="30" t="str">
        <f t="shared" si="2"/>
        <v/>
      </c>
      <c r="D5" s="41" t="str">
        <f t="shared" ref="D5:D68" si="3">IF(B5&lt;=D$1, "Risk", "")</f>
        <v/>
      </c>
      <c r="E5" s="16">
        <v>4107.5</v>
      </c>
      <c r="F5" s="16">
        <v>579.46</v>
      </c>
      <c r="G5" s="16">
        <v>30.4</v>
      </c>
      <c r="H5" s="16">
        <v>2862.4</v>
      </c>
      <c r="I5" s="14">
        <v>900.42</v>
      </c>
      <c r="J5" s="14">
        <v>1549.34</v>
      </c>
      <c r="M5" s="32"/>
      <c r="S5" s="32"/>
    </row>
    <row r="6" spans="1:20" ht="18" customHeight="1">
      <c r="A6" s="9">
        <v>45901</v>
      </c>
      <c r="B6" s="3">
        <v>1.146595</v>
      </c>
      <c r="C6" s="30" t="str">
        <f t="shared" si="2"/>
        <v/>
      </c>
      <c r="D6" s="41" t="str">
        <f t="shared" si="3"/>
        <v/>
      </c>
      <c r="E6" s="16">
        <v>3424.6</v>
      </c>
      <c r="F6" s="16">
        <v>474.03</v>
      </c>
      <c r="G6" s="16">
        <v>20.62</v>
      </c>
      <c r="H6" s="16">
        <v>2343.75</v>
      </c>
      <c r="I6" s="14">
        <v>841.99</v>
      </c>
      <c r="J6" s="14">
        <v>1407.18</v>
      </c>
      <c r="L6" s="32"/>
      <c r="M6" s="32"/>
      <c r="R6" s="33"/>
      <c r="S6" s="32"/>
    </row>
    <row r="7" spans="1:20" ht="18" customHeight="1">
      <c r="A7" s="9">
        <v>45870</v>
      </c>
      <c r="B7" s="3">
        <v>1.072565</v>
      </c>
      <c r="C7" s="30" t="str">
        <f t="shared" si="2"/>
        <v/>
      </c>
      <c r="D7" s="41" t="str">
        <f t="shared" si="3"/>
        <v/>
      </c>
      <c r="E7" s="16">
        <v>3186.01</v>
      </c>
      <c r="F7" s="16">
        <v>430.12</v>
      </c>
      <c r="G7" s="16">
        <v>19.52</v>
      </c>
      <c r="H7" s="16">
        <v>2127.69</v>
      </c>
      <c r="I7" s="14">
        <v>796.91</v>
      </c>
      <c r="J7" s="14">
        <v>1336.98</v>
      </c>
      <c r="L7" s="32"/>
      <c r="M7" s="32"/>
      <c r="Q7" s="33"/>
      <c r="R7" s="33"/>
      <c r="S7" s="32"/>
    </row>
    <row r="8" spans="1:20" ht="18" customHeight="1">
      <c r="A8" s="9">
        <v>45839</v>
      </c>
      <c r="B8" s="3">
        <v>1.091499</v>
      </c>
      <c r="C8" s="30" t="str">
        <f t="shared" si="2"/>
        <v/>
      </c>
      <c r="D8" s="41" t="str">
        <f t="shared" si="3"/>
        <v/>
      </c>
      <c r="E8" s="16">
        <v>3245.44</v>
      </c>
      <c r="F8" s="16">
        <v>438.6</v>
      </c>
      <c r="G8" s="16">
        <v>21.85</v>
      </c>
      <c r="H8" s="16">
        <v>2163.7600000000002</v>
      </c>
      <c r="I8" s="14">
        <v>805.24</v>
      </c>
      <c r="J8" s="14">
        <v>1352.23</v>
      </c>
      <c r="K8" s="33"/>
      <c r="L8" s="32"/>
      <c r="M8" s="32"/>
      <c r="P8" s="33"/>
      <c r="Q8" s="33"/>
      <c r="R8" s="32"/>
      <c r="S8" s="32"/>
    </row>
    <row r="9" spans="1:20" ht="18" customHeight="1">
      <c r="A9" s="9">
        <v>45809</v>
      </c>
      <c r="B9" s="11">
        <v>1.032691</v>
      </c>
      <c r="C9" s="30" t="str">
        <f t="shared" si="2"/>
        <v/>
      </c>
      <c r="D9" s="41" t="str">
        <f t="shared" si="3"/>
        <v/>
      </c>
      <c r="E9" s="16">
        <v>3071.7</v>
      </c>
      <c r="F9" s="16">
        <v>414.6</v>
      </c>
      <c r="G9" s="16">
        <v>23.99</v>
      </c>
      <c r="H9" s="16">
        <v>2056.29</v>
      </c>
      <c r="I9" s="13">
        <v>781.5</v>
      </c>
      <c r="J9" s="14">
        <v>1267.1300000000001</v>
      </c>
      <c r="K9" s="33"/>
      <c r="L9" s="32"/>
      <c r="M9" s="32"/>
      <c r="O9" s="33"/>
      <c r="P9" s="33"/>
      <c r="Q9" s="33"/>
      <c r="R9" s="32"/>
      <c r="S9" s="32"/>
    </row>
    <row r="10" spans="1:20" ht="18" customHeight="1">
      <c r="A10" s="9">
        <v>45778</v>
      </c>
      <c r="B10" s="11">
        <v>0.91562399999999999</v>
      </c>
      <c r="C10" s="30" t="str">
        <f t="shared" si="2"/>
        <v>Risk</v>
      </c>
      <c r="D10" s="41" t="str">
        <f t="shared" si="3"/>
        <v/>
      </c>
      <c r="E10" s="16">
        <v>2697.67</v>
      </c>
      <c r="F10" s="16">
        <v>359.62</v>
      </c>
      <c r="G10" s="16">
        <v>22.55</v>
      </c>
      <c r="H10" s="16">
        <v>1782.88</v>
      </c>
      <c r="I10" s="14">
        <v>734.35</v>
      </c>
      <c r="J10" s="14">
        <v>1194.26</v>
      </c>
      <c r="K10" s="33"/>
      <c r="L10" s="32"/>
      <c r="M10" s="34">
        <f>$H5/$H10</f>
        <v>1.6054922372790092</v>
      </c>
      <c r="N10" s="33"/>
      <c r="O10" s="33"/>
      <c r="P10" s="33"/>
      <c r="Q10" s="33"/>
      <c r="R10" s="32"/>
      <c r="S10" s="32"/>
    </row>
    <row r="11" spans="1:20" ht="18" customHeight="1">
      <c r="A11" s="9">
        <v>45748</v>
      </c>
      <c r="B11" s="11">
        <v>0.89342200000000005</v>
      </c>
      <c r="C11" s="30" t="str">
        <f t="shared" si="2"/>
        <v>Risk</v>
      </c>
      <c r="D11" s="41" t="str">
        <f t="shared" si="3"/>
        <v>Risk</v>
      </c>
      <c r="E11" s="16">
        <v>2556.61</v>
      </c>
      <c r="F11" s="16">
        <v>338.74</v>
      </c>
      <c r="G11" s="16">
        <v>20.74</v>
      </c>
      <c r="H11" s="16">
        <v>1677.67</v>
      </c>
      <c r="I11" s="14">
        <v>717.24</v>
      </c>
      <c r="J11" s="14">
        <v>1169.69</v>
      </c>
      <c r="K11" s="32"/>
      <c r="L11" s="35">
        <f>1+(($H6/$H11)-1)*2</f>
        <v>1.7940536577515243</v>
      </c>
      <c r="M11" s="33"/>
      <c r="N11" s="33"/>
      <c r="O11" s="33"/>
      <c r="P11" s="33"/>
      <c r="Q11" s="33"/>
      <c r="R11" s="32"/>
      <c r="S11" s="32"/>
    </row>
    <row r="12" spans="1:20" ht="18" customHeight="1">
      <c r="A12" s="9">
        <v>45717</v>
      </c>
      <c r="B12" s="11">
        <v>0.86726999999999999</v>
      </c>
      <c r="C12" s="30" t="str">
        <f t="shared" si="2"/>
        <v>Risk</v>
      </c>
      <c r="D12" s="41" t="str">
        <f t="shared" si="3"/>
        <v>Risk</v>
      </c>
      <c r="E12" s="16">
        <v>2481.12</v>
      </c>
      <c r="F12" s="16">
        <v>332.4</v>
      </c>
      <c r="G12" s="16">
        <v>25.35</v>
      </c>
      <c r="H12" s="16">
        <v>1652.67</v>
      </c>
      <c r="I12" s="14">
        <v>672.85</v>
      </c>
      <c r="J12" s="14">
        <v>1112.8900000000001</v>
      </c>
      <c r="K12" s="35">
        <f>1+(($H8/$H12)-1)*2</f>
        <v>1.6185021813187146</v>
      </c>
      <c r="L12" s="36"/>
      <c r="M12" s="33"/>
      <c r="N12" s="33"/>
      <c r="O12" s="33"/>
      <c r="P12" s="33"/>
      <c r="Q12" s="33"/>
      <c r="R12" s="32"/>
      <c r="S12" s="32"/>
    </row>
    <row r="13" spans="1:20" ht="18" customHeight="1">
      <c r="A13" s="9">
        <v>45689</v>
      </c>
      <c r="B13" s="11">
        <v>0.88822400000000001</v>
      </c>
      <c r="C13" s="30" t="str">
        <f t="shared" si="2"/>
        <v>Risk</v>
      </c>
      <c r="D13" s="41" t="str">
        <f t="shared" si="3"/>
        <v>Risk</v>
      </c>
      <c r="E13" s="16">
        <v>2532.7800000000002</v>
      </c>
      <c r="F13" s="16">
        <v>334.27</v>
      </c>
      <c r="G13" s="16">
        <v>22.86</v>
      </c>
      <c r="H13" s="16">
        <v>1648.2</v>
      </c>
      <c r="I13" s="14">
        <v>743.96</v>
      </c>
      <c r="J13" s="14">
        <v>1262.71</v>
      </c>
      <c r="K13" s="32"/>
      <c r="L13" s="36"/>
      <c r="M13" s="33"/>
      <c r="N13" s="33"/>
      <c r="O13" s="33"/>
      <c r="P13" s="33"/>
      <c r="Q13" s="33"/>
      <c r="R13" s="32"/>
      <c r="S13" s="32"/>
    </row>
    <row r="14" spans="1:20" ht="18" customHeight="1">
      <c r="A14" s="9">
        <v>45658</v>
      </c>
      <c r="B14" s="11">
        <v>0.88211099999999998</v>
      </c>
      <c r="C14" s="30" t="str">
        <f t="shared" si="2"/>
        <v>Risk</v>
      </c>
      <c r="D14" s="41" t="str">
        <f t="shared" si="3"/>
        <v>Risk</v>
      </c>
      <c r="E14" s="16">
        <v>2517.37</v>
      </c>
      <c r="F14" s="16">
        <v>333.36</v>
      </c>
      <c r="G14" s="16">
        <v>18.79</v>
      </c>
      <c r="H14" s="16">
        <v>1642.77</v>
      </c>
      <c r="I14" s="14">
        <v>728.29</v>
      </c>
      <c r="J14" s="14">
        <v>1233.1600000000001</v>
      </c>
      <c r="K14" s="33"/>
      <c r="L14" s="33"/>
      <c r="M14" s="33"/>
      <c r="N14" s="33"/>
      <c r="O14" s="33"/>
      <c r="P14" s="33"/>
      <c r="Q14" s="33"/>
      <c r="R14" s="32"/>
      <c r="S14" s="32"/>
    </row>
    <row r="15" spans="1:20" ht="18" customHeight="1">
      <c r="A15" s="9">
        <v>45627</v>
      </c>
      <c r="B15" s="3">
        <v>0.84027300000000005</v>
      </c>
      <c r="C15" s="30" t="str">
        <f t="shared" si="2"/>
        <v>Risk</v>
      </c>
      <c r="D15" s="41" t="str">
        <f t="shared" si="3"/>
        <v>Risk</v>
      </c>
      <c r="E15" s="16">
        <v>2399.4899999999998</v>
      </c>
      <c r="F15" s="16">
        <v>317.82</v>
      </c>
      <c r="G15" s="16">
        <v>21.14</v>
      </c>
      <c r="H15" s="16">
        <v>1575.57</v>
      </c>
      <c r="I15" s="14">
        <v>678.19</v>
      </c>
      <c r="J15" s="13">
        <v>1129.8</v>
      </c>
      <c r="K15" s="33"/>
      <c r="L15" s="33"/>
      <c r="M15" s="33"/>
      <c r="N15" s="33"/>
      <c r="O15" s="33"/>
      <c r="P15" s="33"/>
      <c r="Q15" s="33"/>
      <c r="R15" s="32"/>
      <c r="S15" s="32"/>
    </row>
    <row r="16" spans="1:20" ht="18" customHeight="1">
      <c r="A16" s="9">
        <v>45597</v>
      </c>
      <c r="B16" s="3">
        <v>0.86388699999999996</v>
      </c>
      <c r="C16" s="30" t="str">
        <f t="shared" si="2"/>
        <v>Risk</v>
      </c>
      <c r="D16" s="41" t="str">
        <f t="shared" si="3"/>
        <v>Risk</v>
      </c>
      <c r="E16" s="16">
        <v>2455.91</v>
      </c>
      <c r="F16" s="16">
        <v>325.45</v>
      </c>
      <c r="G16" s="16">
        <v>19.34</v>
      </c>
      <c r="H16" s="16">
        <v>1612.46</v>
      </c>
      <c r="I16" s="14">
        <v>678.19</v>
      </c>
      <c r="J16" s="14">
        <v>1133.83</v>
      </c>
      <c r="K16" s="33"/>
      <c r="L16" s="33"/>
      <c r="M16" s="33"/>
      <c r="N16" s="33"/>
      <c r="O16" s="33"/>
      <c r="P16" s="33"/>
      <c r="Q16" s="33"/>
      <c r="R16" s="32"/>
      <c r="S16" s="35">
        <f>1+(($H4/$H16)-1)*2</f>
        <v>2.3068975354427392</v>
      </c>
    </row>
    <row r="17" spans="1:19" ht="18" customHeight="1">
      <c r="A17" s="9">
        <v>45566</v>
      </c>
      <c r="B17" s="3">
        <v>0.89510699999999999</v>
      </c>
      <c r="C17" s="30" t="str">
        <f t="shared" si="2"/>
        <v>Risk</v>
      </c>
      <c r="D17" s="41" t="str">
        <f t="shared" si="3"/>
        <v>Risk</v>
      </c>
      <c r="E17" s="16">
        <v>2556.15</v>
      </c>
      <c r="F17" s="16">
        <v>339.32</v>
      </c>
      <c r="G17" s="16">
        <v>22.65</v>
      </c>
      <c r="H17" s="16">
        <v>1685.1</v>
      </c>
      <c r="I17" s="14">
        <v>743.06</v>
      </c>
      <c r="J17" s="14">
        <v>1273.29</v>
      </c>
      <c r="K17" s="35">
        <f>1+(($H13/$H17)-1)*2</f>
        <v>0.95620437956204385</v>
      </c>
      <c r="L17" s="35">
        <f>1+(($H12/$H17)-1)*2</f>
        <v>0.96150970268826796</v>
      </c>
      <c r="M17" s="35">
        <f>1+(($H11/$H17)-1)*2</f>
        <v>0.99118153225327887</v>
      </c>
      <c r="N17" s="35">
        <f>1+(($H10/$H17)-1)*2</f>
        <v>1.116052459794671</v>
      </c>
      <c r="O17" s="35">
        <f>1+(($H9/$H17)-1)*2</f>
        <v>1.4405554566494572</v>
      </c>
      <c r="P17" s="35">
        <f>1+(($H8/$H17)-1)*2</f>
        <v>1.5681087175835264</v>
      </c>
      <c r="Q17" s="35">
        <f>1+(($H7/$H17)-1)*2</f>
        <v>1.5252982018871286</v>
      </c>
      <c r="R17" s="35">
        <f>1+(($H6/$H17)-1)*2</f>
        <v>1.7817340217197795</v>
      </c>
      <c r="S17" s="32"/>
    </row>
    <row r="18" spans="1:19" ht="18" customHeight="1">
      <c r="A18" s="9">
        <v>45536</v>
      </c>
      <c r="B18" s="3">
        <v>0.90802499999999997</v>
      </c>
      <c r="C18" s="30" t="str">
        <f t="shared" si="2"/>
        <v>Risk</v>
      </c>
      <c r="D18" s="41" t="str">
        <f t="shared" si="3"/>
        <v/>
      </c>
      <c r="E18" s="16">
        <v>2593.27</v>
      </c>
      <c r="F18" s="16">
        <v>344.76</v>
      </c>
      <c r="G18" s="16">
        <v>25.44</v>
      </c>
      <c r="H18" s="16">
        <v>1719.2</v>
      </c>
      <c r="I18" s="14">
        <v>763.88</v>
      </c>
      <c r="J18" s="14">
        <v>1288.3399999999999</v>
      </c>
      <c r="K18" s="34">
        <f t="shared" ref="K18:Q18" si="4">$H17/$H18</f>
        <v>0.98016519311307582</v>
      </c>
      <c r="L18" s="34">
        <f t="shared" si="4"/>
        <v>0.98016519311307582</v>
      </c>
      <c r="M18" s="34">
        <f t="shared" si="4"/>
        <v>0.98016519311307582</v>
      </c>
      <c r="N18" s="34">
        <f t="shared" si="4"/>
        <v>0.98016519311307582</v>
      </c>
      <c r="O18" s="34">
        <f t="shared" si="4"/>
        <v>0.98016519311307582</v>
      </c>
      <c r="P18" s="34">
        <f t="shared" si="4"/>
        <v>0.98016519311307582</v>
      </c>
      <c r="Q18" s="34">
        <f t="shared" si="4"/>
        <v>0.98016519311307582</v>
      </c>
      <c r="R18" s="34">
        <f>$H17/$H18</f>
        <v>0.98016519311307582</v>
      </c>
      <c r="S18" s="32"/>
    </row>
    <row r="19" spans="1:19" ht="18" customHeight="1">
      <c r="A19" s="9">
        <v>45505</v>
      </c>
      <c r="B19" s="3">
        <v>0.95820899999999998</v>
      </c>
      <c r="C19" s="30" t="str">
        <f t="shared" si="2"/>
        <v/>
      </c>
      <c r="D19" s="41" t="str">
        <f t="shared" si="3"/>
        <v/>
      </c>
      <c r="E19" s="16">
        <v>2674.31</v>
      </c>
      <c r="F19" s="16">
        <v>361.55</v>
      </c>
      <c r="G19" s="16">
        <v>18.809999999999999</v>
      </c>
      <c r="H19" s="16">
        <v>1802.36</v>
      </c>
      <c r="I19" s="14">
        <v>767.66</v>
      </c>
      <c r="J19" s="14">
        <v>1294.69</v>
      </c>
      <c r="R19" s="33"/>
      <c r="S19" s="32"/>
    </row>
    <row r="20" spans="1:19" ht="18" customHeight="1">
      <c r="A20" s="9">
        <v>45474</v>
      </c>
      <c r="B20" s="3">
        <v>0.99315799999999999</v>
      </c>
      <c r="C20" s="30" t="str">
        <f t="shared" si="2"/>
        <v/>
      </c>
      <c r="D20" s="41" t="str">
        <f t="shared" si="3"/>
        <v/>
      </c>
      <c r="E20" s="16">
        <v>2770.69</v>
      </c>
      <c r="F20" s="16">
        <v>380.49</v>
      </c>
      <c r="G20" s="16">
        <v>17.510000000000002</v>
      </c>
      <c r="H20" s="16">
        <v>1897.75</v>
      </c>
      <c r="I20" s="14">
        <v>803.15</v>
      </c>
      <c r="J20" s="14">
        <v>1338.75</v>
      </c>
      <c r="Q20" s="33"/>
      <c r="R20" s="33"/>
      <c r="S20" s="32"/>
    </row>
    <row r="21" spans="1:19" ht="18" customHeight="1">
      <c r="A21" s="9">
        <v>45444</v>
      </c>
      <c r="B21" s="3">
        <v>1.001382</v>
      </c>
      <c r="C21" s="30" t="str">
        <f t="shared" si="2"/>
        <v/>
      </c>
      <c r="D21" s="41" t="str">
        <f t="shared" si="3"/>
        <v/>
      </c>
      <c r="E21" s="16">
        <v>2797.82</v>
      </c>
      <c r="F21" s="16">
        <v>384.02</v>
      </c>
      <c r="G21" s="16">
        <v>16.100000000000001</v>
      </c>
      <c r="H21" s="16">
        <v>1919.36</v>
      </c>
      <c r="I21" s="14">
        <v>840.44</v>
      </c>
      <c r="J21" s="14">
        <v>1361.54</v>
      </c>
      <c r="P21" s="33"/>
      <c r="Q21" s="33"/>
      <c r="R21" s="32"/>
      <c r="S21" s="32"/>
    </row>
    <row r="22" spans="1:19" ht="18" customHeight="1">
      <c r="A22" s="9">
        <v>45413</v>
      </c>
      <c r="B22" s="3">
        <v>0.95718300000000001</v>
      </c>
      <c r="C22" s="30" t="str">
        <f t="shared" si="2"/>
        <v/>
      </c>
      <c r="D22" s="41" t="str">
        <f t="shared" si="3"/>
        <v/>
      </c>
      <c r="E22" s="16">
        <v>2636.52</v>
      </c>
      <c r="F22" s="16">
        <v>358.21</v>
      </c>
      <c r="G22" s="16">
        <v>16.899999999999999</v>
      </c>
      <c r="H22" s="16">
        <v>1799.7</v>
      </c>
      <c r="I22" s="14">
        <v>839.98</v>
      </c>
      <c r="J22" s="14">
        <v>1338.55</v>
      </c>
      <c r="O22" s="33"/>
      <c r="P22" s="33"/>
      <c r="Q22" s="33"/>
      <c r="R22" s="32"/>
      <c r="S22" s="32"/>
    </row>
    <row r="23" spans="1:19" ht="18" customHeight="1">
      <c r="A23" s="9">
        <v>45383</v>
      </c>
      <c r="B23" s="57">
        <v>0.98</v>
      </c>
      <c r="C23" s="30" t="str">
        <f t="shared" si="2"/>
        <v/>
      </c>
      <c r="D23" s="41" t="str">
        <f t="shared" si="3"/>
        <v/>
      </c>
      <c r="E23" s="16">
        <v>2692.06</v>
      </c>
      <c r="F23" s="16">
        <v>365.13</v>
      </c>
      <c r="G23" s="16">
        <v>18.14</v>
      </c>
      <c r="H23" s="16">
        <v>1836.69</v>
      </c>
      <c r="I23" s="14">
        <v>868.93</v>
      </c>
      <c r="J23" s="14">
        <v>1442.22</v>
      </c>
      <c r="N23" s="33"/>
      <c r="O23" s="33"/>
      <c r="P23" s="33"/>
      <c r="Q23" s="33"/>
      <c r="R23" s="32"/>
      <c r="S23" s="32"/>
    </row>
    <row r="24" spans="1:19" ht="18" customHeight="1">
      <c r="A24" s="9">
        <v>45352</v>
      </c>
      <c r="B24" s="57">
        <v>1</v>
      </c>
      <c r="C24" s="30" t="str">
        <f t="shared" si="2"/>
        <v/>
      </c>
      <c r="D24" s="41" t="str">
        <f t="shared" si="3"/>
        <v/>
      </c>
      <c r="E24" s="16">
        <v>2746.63</v>
      </c>
      <c r="F24" s="16">
        <v>374.63</v>
      </c>
      <c r="G24" s="16">
        <v>16.84</v>
      </c>
      <c r="H24" s="16">
        <v>1884.17</v>
      </c>
      <c r="I24" s="13">
        <v>905.5</v>
      </c>
      <c r="J24" s="14">
        <v>1520.44</v>
      </c>
      <c r="M24" s="33"/>
      <c r="N24" s="33"/>
      <c r="O24" s="33"/>
      <c r="P24" s="33"/>
      <c r="Q24" s="33"/>
      <c r="R24" s="32"/>
      <c r="S24" s="32"/>
    </row>
    <row r="25" spans="1:19" ht="18" customHeight="1">
      <c r="A25" s="9">
        <v>45323</v>
      </c>
      <c r="B25" s="57">
        <v>0.96</v>
      </c>
      <c r="C25" s="30" t="str">
        <f t="shared" si="2"/>
        <v/>
      </c>
      <c r="D25" s="41" t="str">
        <f t="shared" si="3"/>
        <v/>
      </c>
      <c r="E25" s="16">
        <v>2642.36</v>
      </c>
      <c r="F25" s="16">
        <v>355.57</v>
      </c>
      <c r="G25" s="16">
        <v>16.77</v>
      </c>
      <c r="H25" s="16">
        <v>1785.57</v>
      </c>
      <c r="I25" s="14">
        <v>862.96</v>
      </c>
      <c r="J25" s="14">
        <v>1402.26</v>
      </c>
      <c r="L25" s="33"/>
      <c r="M25" s="33"/>
      <c r="N25" s="33"/>
      <c r="O25" s="33"/>
      <c r="P25" s="33"/>
      <c r="Q25" s="33"/>
      <c r="R25" s="32"/>
      <c r="S25" s="32"/>
    </row>
    <row r="26" spans="1:19" ht="18" customHeight="1">
      <c r="A26" s="9">
        <v>45292</v>
      </c>
      <c r="B26" s="57">
        <v>0.91</v>
      </c>
      <c r="C26" s="30" t="str">
        <f t="shared" si="2"/>
        <v>Risk</v>
      </c>
      <c r="D26" s="41" t="str">
        <f t="shared" si="3"/>
        <v/>
      </c>
      <c r="E26" s="16">
        <v>2497.09</v>
      </c>
      <c r="F26" s="16">
        <v>336.24</v>
      </c>
      <c r="G26" s="16">
        <v>17.02</v>
      </c>
      <c r="H26" s="16">
        <v>1691.46</v>
      </c>
      <c r="I26" s="14">
        <v>799.24</v>
      </c>
      <c r="J26" s="14">
        <v>1241.75</v>
      </c>
      <c r="K26" s="33"/>
      <c r="L26" s="33"/>
      <c r="M26" s="33"/>
      <c r="N26" s="33"/>
      <c r="O26" s="33"/>
      <c r="P26" s="33"/>
      <c r="Q26" s="33"/>
      <c r="R26" s="32"/>
      <c r="S26" s="32"/>
    </row>
    <row r="27" spans="1:19" ht="18" customHeight="1">
      <c r="A27" s="9">
        <v>45261</v>
      </c>
      <c r="B27" s="57">
        <v>0.96</v>
      </c>
      <c r="C27" s="30" t="str">
        <f t="shared" si="2"/>
        <v/>
      </c>
      <c r="D27" s="41" t="str">
        <f t="shared" si="3"/>
        <v/>
      </c>
      <c r="E27" s="16">
        <v>2655.28</v>
      </c>
      <c r="F27" s="16">
        <v>357.99</v>
      </c>
      <c r="G27" s="16">
        <v>17.78</v>
      </c>
      <c r="H27" s="16">
        <v>1820.45</v>
      </c>
      <c r="I27" s="14">
        <v>866.57</v>
      </c>
      <c r="J27" s="14">
        <v>1393.46</v>
      </c>
      <c r="K27" s="33"/>
      <c r="L27" s="33"/>
      <c r="M27" s="33"/>
      <c r="N27" s="33"/>
      <c r="O27" s="33"/>
      <c r="P27" s="33"/>
      <c r="Q27" s="33"/>
      <c r="R27" s="32"/>
      <c r="S27" s="32"/>
    </row>
    <row r="28" spans="1:19" ht="18" customHeight="1">
      <c r="A28" s="9">
        <v>45231</v>
      </c>
      <c r="B28" s="57">
        <v>0.92</v>
      </c>
      <c r="C28" s="30" t="str">
        <f t="shared" si="2"/>
        <v>Risk</v>
      </c>
      <c r="D28" s="41" t="str">
        <f t="shared" si="3"/>
        <v/>
      </c>
      <c r="E28" s="16">
        <v>2535.29</v>
      </c>
      <c r="F28" s="16">
        <v>338.43</v>
      </c>
      <c r="G28" s="16">
        <v>14.46</v>
      </c>
      <c r="H28" s="16">
        <v>1698.8</v>
      </c>
      <c r="I28" s="14">
        <v>831.68</v>
      </c>
      <c r="J28" s="14">
        <v>1323.92</v>
      </c>
      <c r="K28" s="33"/>
      <c r="L28" s="33"/>
      <c r="M28" s="33"/>
      <c r="N28" s="33"/>
      <c r="O28" s="33"/>
      <c r="P28" s="33"/>
      <c r="Q28" s="33"/>
      <c r="R28" s="32"/>
      <c r="S28" s="32"/>
    </row>
    <row r="29" spans="1:19" ht="18" customHeight="1">
      <c r="A29" s="9">
        <v>45200</v>
      </c>
      <c r="B29" s="3">
        <v>0.82694800000000002</v>
      </c>
      <c r="C29" s="30" t="str">
        <f t="shared" si="2"/>
        <v>Risk</v>
      </c>
      <c r="D29" s="41" t="str">
        <f t="shared" si="3"/>
        <v>Risk</v>
      </c>
      <c r="E29" s="16">
        <v>2277.9899999999998</v>
      </c>
      <c r="F29" s="16">
        <v>305.56</v>
      </c>
      <c r="G29" s="16">
        <v>19.89</v>
      </c>
      <c r="H29" s="16">
        <v>1538.26</v>
      </c>
      <c r="I29" s="13">
        <v>736.1</v>
      </c>
      <c r="J29" s="14">
        <v>1147.92</v>
      </c>
      <c r="K29" s="33"/>
      <c r="L29" s="33"/>
      <c r="M29" s="33"/>
      <c r="N29" s="33"/>
      <c r="O29" s="33"/>
      <c r="P29" s="33"/>
      <c r="Q29" s="33"/>
      <c r="R29" s="32"/>
      <c r="S29" s="35">
        <f>1+(($H17/$H29)-1)*2</f>
        <v>1.1909170101283268</v>
      </c>
    </row>
    <row r="30" spans="1:19" ht="18" customHeight="1">
      <c r="A30" s="9">
        <v>45170</v>
      </c>
      <c r="B30" s="3">
        <v>0.89318699999999995</v>
      </c>
      <c r="C30" s="30" t="str">
        <f t="shared" si="2"/>
        <v>Risk</v>
      </c>
      <c r="D30" s="41" t="str">
        <f t="shared" si="3"/>
        <v>Risk</v>
      </c>
      <c r="E30" s="16">
        <v>2465.0700000000002</v>
      </c>
      <c r="F30" s="16">
        <v>326.70999999999998</v>
      </c>
      <c r="G30" s="16">
        <v>15.08</v>
      </c>
      <c r="H30" s="16">
        <v>1647.96</v>
      </c>
      <c r="I30" s="14">
        <v>841.02</v>
      </c>
      <c r="J30" s="14">
        <v>1321.64</v>
      </c>
      <c r="K30" s="35">
        <f>1+(($H26/$H30)-1)*2</f>
        <v>1.0527925435083376</v>
      </c>
      <c r="L30" s="35">
        <f>1+(($H25/$H30)-1)*2</f>
        <v>1.1670064807398237</v>
      </c>
      <c r="M30" s="35">
        <f>1+(($H24/$H30)-1)*2</f>
        <v>1.2866695793587222</v>
      </c>
      <c r="N30" s="35">
        <f>1+(($H23/$H30)-1)*2</f>
        <v>1.2290468215247943</v>
      </c>
      <c r="O30" s="35">
        <f>1+(($H22/$H30)-1)*2</f>
        <v>1.1841549552173598</v>
      </c>
      <c r="P30" s="35">
        <f>1+(($H21/$H30)-1)*2</f>
        <v>1.3293769266244326</v>
      </c>
      <c r="Q30" s="35">
        <f>1+(($H20/$H30)-1)*2</f>
        <v>1.3031505619068424</v>
      </c>
      <c r="R30" s="35">
        <f>1+(($H19/$H30)-1)*2</f>
        <v>1.1873831889123521</v>
      </c>
      <c r="S30" s="33"/>
    </row>
    <row r="31" spans="1:19" ht="18" customHeight="1">
      <c r="A31" s="9">
        <v>45139</v>
      </c>
      <c r="B31" s="3">
        <v>0.93718599999999996</v>
      </c>
      <c r="C31" s="30" t="str">
        <f t="shared" si="2"/>
        <v>Risk</v>
      </c>
      <c r="D31" s="41" t="str">
        <f t="shared" si="3"/>
        <v/>
      </c>
      <c r="E31" s="16">
        <v>2556.27</v>
      </c>
      <c r="F31" s="16">
        <v>334.75</v>
      </c>
      <c r="G31" s="16">
        <v>12.78</v>
      </c>
      <c r="H31" s="16">
        <v>1686.41</v>
      </c>
      <c r="I31" s="13">
        <v>928.4</v>
      </c>
      <c r="J31" s="14">
        <v>1483.08</v>
      </c>
      <c r="K31" s="34">
        <f t="shared" ref="K31" si="5">$H30/$H31</f>
        <v>0.97720008776039036</v>
      </c>
      <c r="L31" s="33"/>
      <c r="M31" s="32"/>
      <c r="N31" s="32"/>
      <c r="O31" s="32"/>
      <c r="P31" s="34">
        <f>$H30/$H31</f>
        <v>0.97720008776039036</v>
      </c>
      <c r="Q31" s="34">
        <f>$H30/$H31</f>
        <v>0.97720008776039036</v>
      </c>
      <c r="R31" s="33"/>
      <c r="S31" s="33"/>
    </row>
    <row r="32" spans="1:19" ht="18" customHeight="1">
      <c r="A32" s="9">
        <v>45108</v>
      </c>
      <c r="B32" s="3">
        <v>0.96419200000000005</v>
      </c>
      <c r="C32" s="30" t="str">
        <f t="shared" si="2"/>
        <v/>
      </c>
      <c r="D32" s="41" t="str">
        <f t="shared" si="3"/>
        <v/>
      </c>
      <c r="E32" s="16">
        <v>2632.58</v>
      </c>
      <c r="F32" s="16">
        <v>345.62</v>
      </c>
      <c r="G32" s="16">
        <v>14.21</v>
      </c>
      <c r="H32" s="16">
        <v>1748.34</v>
      </c>
      <c r="I32" s="14">
        <v>935.97</v>
      </c>
      <c r="J32" s="14">
        <v>1551.24</v>
      </c>
      <c r="L32" s="33"/>
      <c r="M32" s="32"/>
      <c r="N32" s="32"/>
      <c r="O32" s="32"/>
      <c r="Q32" s="33"/>
      <c r="R32" s="33"/>
      <c r="S32" s="33"/>
    </row>
    <row r="33" spans="1:19" ht="18" customHeight="1">
      <c r="A33" s="9">
        <v>45078</v>
      </c>
      <c r="B33" s="3">
        <v>0.938608</v>
      </c>
      <c r="C33" s="30" t="str">
        <f t="shared" si="2"/>
        <v>Risk</v>
      </c>
      <c r="D33" s="41" t="str">
        <f t="shared" si="3"/>
        <v/>
      </c>
      <c r="E33" s="16">
        <v>2564.2800000000002</v>
      </c>
      <c r="F33" s="16">
        <v>337.95</v>
      </c>
      <c r="G33" s="16">
        <v>12.59</v>
      </c>
      <c r="H33" s="16">
        <v>1714.36</v>
      </c>
      <c r="I33" s="14">
        <v>868.24</v>
      </c>
      <c r="J33" s="14">
        <v>1322.36</v>
      </c>
      <c r="K33" s="32"/>
      <c r="L33" s="33"/>
      <c r="M33" s="32"/>
      <c r="N33" s="69">
        <f>$H30/$H33</f>
        <v>0.96126834503838177</v>
      </c>
      <c r="O33" s="69">
        <f>$H30/$H33</f>
        <v>0.96126834503838177</v>
      </c>
      <c r="P33" s="33"/>
      <c r="Q33" s="33"/>
      <c r="R33" s="33"/>
      <c r="S33" s="33"/>
    </row>
    <row r="34" spans="1:19" ht="18" customHeight="1">
      <c r="A34" s="9">
        <v>45047</v>
      </c>
      <c r="B34" s="3">
        <v>0.98162400000000005</v>
      </c>
      <c r="C34" s="30" t="str">
        <f t="shared" si="2"/>
        <v/>
      </c>
      <c r="D34" s="41" t="str">
        <f t="shared" si="3"/>
        <v/>
      </c>
      <c r="E34" s="16">
        <v>2577.12</v>
      </c>
      <c r="F34" s="16">
        <v>339.12</v>
      </c>
      <c r="G34" s="16">
        <v>14.8</v>
      </c>
      <c r="H34" s="16">
        <v>1714.7</v>
      </c>
      <c r="I34" s="14">
        <v>856.94</v>
      </c>
      <c r="J34" s="14">
        <v>1308.6500000000001</v>
      </c>
      <c r="K34" s="32"/>
      <c r="L34" s="33"/>
      <c r="M34" s="32"/>
      <c r="O34" s="33"/>
      <c r="P34" s="33"/>
      <c r="Q34" s="33"/>
      <c r="R34" s="33"/>
      <c r="S34" s="33"/>
    </row>
    <row r="35" spans="1:19" ht="18" customHeight="1">
      <c r="A35" s="9">
        <v>45017</v>
      </c>
      <c r="B35" s="3">
        <v>0.94302699999999995</v>
      </c>
      <c r="C35" s="30" t="str">
        <f t="shared" si="2"/>
        <v>Risk</v>
      </c>
      <c r="D35" s="41" t="str">
        <f t="shared" si="3"/>
        <v/>
      </c>
      <c r="E35" s="16">
        <v>2501.5300000000002</v>
      </c>
      <c r="F35" s="16">
        <v>326.45999999999998</v>
      </c>
      <c r="G35" s="16">
        <v>14.51</v>
      </c>
      <c r="H35" s="16">
        <v>1650.97</v>
      </c>
      <c r="I35" s="14">
        <v>842.83</v>
      </c>
      <c r="J35" s="14">
        <v>1299.28</v>
      </c>
      <c r="K35" s="32"/>
      <c r="L35" s="33"/>
      <c r="M35" s="34">
        <f>$H30/$H35</f>
        <v>0.99817682937909225</v>
      </c>
      <c r="N35" s="33"/>
      <c r="O35" s="33"/>
      <c r="P35" s="33"/>
      <c r="Q35" s="33"/>
      <c r="R35" s="33"/>
      <c r="S35" s="32"/>
    </row>
    <row r="36" spans="1:19" ht="18" customHeight="1">
      <c r="A36" s="9">
        <v>44986</v>
      </c>
      <c r="B36" s="11">
        <v>0.93132300000000001</v>
      </c>
      <c r="C36" s="30" t="str">
        <f t="shared" si="2"/>
        <v>Risk</v>
      </c>
      <c r="D36" s="41" t="str">
        <f t="shared" si="3"/>
        <v/>
      </c>
      <c r="E36" s="16">
        <v>2476.86</v>
      </c>
      <c r="F36" s="16">
        <v>322.02999999999997</v>
      </c>
      <c r="G36" s="16">
        <v>15.57</v>
      </c>
      <c r="H36" s="16">
        <v>1637.31</v>
      </c>
      <c r="I36" s="14">
        <v>847.52</v>
      </c>
      <c r="J36" s="14">
        <v>1260.21</v>
      </c>
      <c r="K36" s="32"/>
      <c r="L36" s="34">
        <f>$H31/$H36</f>
        <v>1.0299882123727333</v>
      </c>
      <c r="M36" s="33"/>
      <c r="N36" s="33"/>
      <c r="O36" s="33"/>
      <c r="P36" s="33"/>
      <c r="Q36" s="33"/>
      <c r="R36" s="32"/>
      <c r="S36" s="32"/>
    </row>
    <row r="37" spans="1:19" ht="18" customHeight="1">
      <c r="A37" s="9">
        <v>44958</v>
      </c>
      <c r="B37" s="11">
        <v>0.90686500000000003</v>
      </c>
      <c r="C37" s="30" t="str">
        <f t="shared" si="2"/>
        <v>Risk</v>
      </c>
      <c r="D37" s="41" t="str">
        <f t="shared" si="3"/>
        <v/>
      </c>
      <c r="E37" s="16">
        <v>2412.85</v>
      </c>
      <c r="F37" s="16">
        <v>314.8</v>
      </c>
      <c r="G37" s="16">
        <v>18.53</v>
      </c>
      <c r="H37" s="16">
        <v>1605.25</v>
      </c>
      <c r="I37" s="13">
        <v>791.6</v>
      </c>
      <c r="J37" s="14">
        <v>1143.05</v>
      </c>
      <c r="K37" s="34">
        <f>$H33/$H37</f>
        <v>1.0679707210714842</v>
      </c>
      <c r="L37" s="33"/>
      <c r="M37" s="33"/>
      <c r="N37" s="33"/>
      <c r="O37" s="33"/>
      <c r="P37" s="33"/>
      <c r="Q37" s="33"/>
      <c r="R37" s="32"/>
      <c r="S37" s="32"/>
    </row>
    <row r="38" spans="1:19" ht="18" customHeight="1">
      <c r="A38" s="9">
        <v>44927</v>
      </c>
      <c r="B38" s="11">
        <v>0.91425400000000001</v>
      </c>
      <c r="C38" s="30" t="str">
        <f t="shared" si="2"/>
        <v>Risk</v>
      </c>
      <c r="D38" s="41" t="str">
        <f t="shared" si="3"/>
        <v/>
      </c>
      <c r="E38" s="16">
        <v>2425.08</v>
      </c>
      <c r="F38" s="16">
        <v>317.26</v>
      </c>
      <c r="G38" s="16">
        <v>17.75</v>
      </c>
      <c r="H38" s="16">
        <v>1619.74</v>
      </c>
      <c r="I38" s="14">
        <v>740.49</v>
      </c>
      <c r="J38" s="13">
        <v>1021.6</v>
      </c>
      <c r="K38" s="33"/>
      <c r="L38" s="33"/>
      <c r="M38" s="33"/>
      <c r="N38" s="33"/>
      <c r="O38" s="33"/>
      <c r="P38" s="33"/>
      <c r="Q38" s="33"/>
      <c r="R38" s="32"/>
      <c r="S38" s="32"/>
    </row>
    <row r="39" spans="1:19" ht="18" customHeight="1">
      <c r="A39" s="9">
        <v>44896</v>
      </c>
      <c r="B39" s="11">
        <v>0.84129799999999999</v>
      </c>
      <c r="C39" s="30" t="str">
        <f t="shared" si="2"/>
        <v>Risk</v>
      </c>
      <c r="D39" s="41" t="str">
        <f t="shared" si="3"/>
        <v>Risk</v>
      </c>
      <c r="E39" s="16">
        <v>2236.4</v>
      </c>
      <c r="F39" s="16">
        <v>291.10000000000002</v>
      </c>
      <c r="G39" s="16">
        <v>18.399999999999999</v>
      </c>
      <c r="H39" s="16">
        <v>1488.59</v>
      </c>
      <c r="I39" s="14">
        <v>679.29</v>
      </c>
      <c r="J39" s="14">
        <v>957.78</v>
      </c>
      <c r="K39" s="33"/>
      <c r="L39" s="33"/>
      <c r="M39" s="33"/>
      <c r="N39" s="33"/>
      <c r="O39" s="33"/>
      <c r="P39" s="33"/>
      <c r="Q39" s="33"/>
      <c r="R39" s="32"/>
      <c r="S39" s="32"/>
    </row>
    <row r="40" spans="1:19" ht="18" customHeight="1">
      <c r="A40" s="9">
        <v>44866</v>
      </c>
      <c r="B40" s="11">
        <v>0.95905799999999997</v>
      </c>
      <c r="C40" s="30" t="str">
        <f t="shared" si="2"/>
        <v/>
      </c>
      <c r="D40" s="41" t="str">
        <f t="shared" si="3"/>
        <v/>
      </c>
      <c r="E40" s="16">
        <v>2472.5300000000002</v>
      </c>
      <c r="F40" s="16">
        <v>321</v>
      </c>
      <c r="G40" s="16">
        <v>17.78</v>
      </c>
      <c r="H40" s="16">
        <v>1616.28</v>
      </c>
      <c r="I40" s="14">
        <v>729.54</v>
      </c>
      <c r="J40" s="14">
        <v>1038.42</v>
      </c>
      <c r="K40" s="33"/>
      <c r="L40" s="33"/>
      <c r="M40" s="33"/>
      <c r="N40" s="33"/>
      <c r="O40" s="33"/>
      <c r="P40" s="33"/>
      <c r="Q40" s="33"/>
      <c r="R40" s="32"/>
      <c r="S40" s="32"/>
    </row>
    <row r="41" spans="1:19" ht="18" customHeight="1">
      <c r="A41" s="9">
        <v>44835</v>
      </c>
      <c r="B41" s="11">
        <v>0.88847299999999996</v>
      </c>
      <c r="C41" s="30" t="str">
        <f t="shared" si="2"/>
        <v>Risk</v>
      </c>
      <c r="D41" s="41" t="str">
        <f t="shared" si="3"/>
        <v>Risk</v>
      </c>
      <c r="E41" s="16">
        <v>2293.61</v>
      </c>
      <c r="F41" s="16">
        <v>299.58</v>
      </c>
      <c r="G41" s="16">
        <v>21.97</v>
      </c>
      <c r="H41" s="16">
        <v>1520.46</v>
      </c>
      <c r="I41" s="14">
        <v>695.33</v>
      </c>
      <c r="J41" s="14">
        <v>1006.82</v>
      </c>
      <c r="K41" s="33"/>
      <c r="L41" s="33"/>
      <c r="M41" s="33"/>
      <c r="N41" s="33"/>
      <c r="O41" s="33"/>
      <c r="P41" s="33"/>
      <c r="Q41" s="33"/>
      <c r="R41" s="32"/>
      <c r="S41" s="32"/>
    </row>
    <row r="42" spans="1:19" ht="18" customHeight="1">
      <c r="A42" s="9">
        <v>44805</v>
      </c>
      <c r="B42" s="3">
        <v>0.83385600000000004</v>
      </c>
      <c r="C42" s="30" t="str">
        <f t="shared" si="2"/>
        <v>Risk</v>
      </c>
      <c r="D42" s="41" t="str">
        <f t="shared" si="3"/>
        <v>Risk</v>
      </c>
      <c r="E42" s="16">
        <v>2155.4899999999998</v>
      </c>
      <c r="F42" s="16">
        <v>281.36</v>
      </c>
      <c r="G42" s="16">
        <v>27.19</v>
      </c>
      <c r="H42" s="16">
        <v>1428.18</v>
      </c>
      <c r="I42" s="14">
        <v>672.65</v>
      </c>
      <c r="J42" s="14">
        <v>956.48</v>
      </c>
      <c r="K42" s="35">
        <f>1+(($H38/$H42)-1)*2</f>
        <v>1.2682575025557004</v>
      </c>
      <c r="L42" s="35">
        <f>1+(($H37/$H42)-1)*2</f>
        <v>1.2479659426682912</v>
      </c>
      <c r="M42" s="35">
        <f>1+(($H36/$H42)-1)*2</f>
        <v>1.2928622442549256</v>
      </c>
      <c r="N42" s="35">
        <f>1+(($H35/$H42)-1)*2</f>
        <v>1.3119914856670727</v>
      </c>
      <c r="O42" s="35">
        <f>1+(($H34/$H42)-1)*2</f>
        <v>1.4012379391953393</v>
      </c>
      <c r="P42" s="35">
        <f>1+(($H33/$H42)-1)*2</f>
        <v>1.4007618087355933</v>
      </c>
      <c r="Q42" s="35">
        <f>1+(($H32/$H42)-1)*2</f>
        <v>1.4483468470360878</v>
      </c>
      <c r="R42" s="35">
        <f>1+(($H31/$H42)-1)*2</f>
        <v>1.3616210841770644</v>
      </c>
      <c r="S42" s="35">
        <f>1+(($H30/$H42)-1)*2</f>
        <v>1.3077763307146157</v>
      </c>
    </row>
    <row r="43" spans="1:19" ht="18" customHeight="1">
      <c r="A43" s="9">
        <v>44774</v>
      </c>
      <c r="B43" s="3">
        <v>0.97728800000000005</v>
      </c>
      <c r="C43" s="30" t="str">
        <f t="shared" si="2"/>
        <v/>
      </c>
      <c r="D43" s="41" t="str">
        <f t="shared" si="3"/>
        <v/>
      </c>
      <c r="E43" s="16">
        <v>2472.0500000000002</v>
      </c>
      <c r="F43" s="16">
        <v>322.95999999999998</v>
      </c>
      <c r="G43" s="16">
        <v>17.309999999999999</v>
      </c>
      <c r="H43" s="16">
        <v>1625.97</v>
      </c>
      <c r="I43" s="14">
        <v>807.04</v>
      </c>
      <c r="J43" s="14">
        <v>1155.03</v>
      </c>
      <c r="K43" s="33"/>
      <c r="L43" s="33"/>
      <c r="M43" s="33"/>
      <c r="N43" s="33"/>
      <c r="O43" s="32"/>
      <c r="P43" s="32"/>
      <c r="Q43" s="32"/>
      <c r="R43" s="32"/>
      <c r="S43" s="32"/>
    </row>
    <row r="44" spans="1:19" ht="18" customHeight="1">
      <c r="A44" s="9">
        <v>44743</v>
      </c>
      <c r="B44" s="3">
        <v>0.96806300000000001</v>
      </c>
      <c r="C44" s="30" t="str">
        <f t="shared" si="2"/>
        <v/>
      </c>
      <c r="D44" s="41" t="str">
        <f t="shared" si="3"/>
        <v/>
      </c>
      <c r="E44" s="16">
        <v>2451.5</v>
      </c>
      <c r="F44" s="16">
        <v>323.31</v>
      </c>
      <c r="G44" s="16">
        <v>17.79</v>
      </c>
      <c r="H44" s="16">
        <v>1638.38</v>
      </c>
      <c r="I44" s="14">
        <v>803.62</v>
      </c>
      <c r="J44" s="13">
        <v>1151.8</v>
      </c>
      <c r="K44" s="33"/>
      <c r="L44" s="33"/>
      <c r="M44" s="33"/>
      <c r="N44" s="33"/>
      <c r="O44" s="32"/>
      <c r="P44" s="32"/>
      <c r="Q44" s="32"/>
      <c r="R44" s="32"/>
      <c r="S44" s="32"/>
    </row>
    <row r="45" spans="1:19" ht="18" customHeight="1">
      <c r="A45" s="9">
        <v>44713</v>
      </c>
      <c r="B45" s="3">
        <v>0.92029099999999997</v>
      </c>
      <c r="C45" s="30" t="str">
        <f t="shared" si="2"/>
        <v>Risk</v>
      </c>
      <c r="D45" s="41" t="str">
        <f t="shared" si="3"/>
        <v/>
      </c>
      <c r="E45" s="16">
        <v>2332.64</v>
      </c>
      <c r="F45" s="16">
        <v>307.2</v>
      </c>
      <c r="G45" s="16">
        <v>23.9</v>
      </c>
      <c r="H45" s="16">
        <v>1557.34</v>
      </c>
      <c r="I45" s="14">
        <v>745.44</v>
      </c>
      <c r="J45" s="14">
        <v>1056.42</v>
      </c>
      <c r="K45" s="34">
        <f>$H42/$H45</f>
        <v>0.91706371119986652</v>
      </c>
      <c r="L45" s="34">
        <f t="shared" ref="L45:S45" si="6">$H42/$H45</f>
        <v>0.91706371119986652</v>
      </c>
      <c r="M45" s="34">
        <f t="shared" si="6"/>
        <v>0.91706371119986652</v>
      </c>
      <c r="N45" s="34">
        <f t="shared" si="6"/>
        <v>0.91706371119986652</v>
      </c>
      <c r="O45" s="34">
        <f t="shared" si="6"/>
        <v>0.91706371119986652</v>
      </c>
      <c r="P45" s="34">
        <f t="shared" si="6"/>
        <v>0.91706371119986652</v>
      </c>
      <c r="Q45" s="34">
        <f t="shared" si="6"/>
        <v>0.91706371119986652</v>
      </c>
      <c r="R45" s="34">
        <f t="shared" si="6"/>
        <v>0.91706371119986652</v>
      </c>
      <c r="S45" s="34">
        <f t="shared" si="6"/>
        <v>0.91706371119986652</v>
      </c>
    </row>
    <row r="46" spans="1:19" ht="18" customHeight="1">
      <c r="A46" s="9">
        <v>44682</v>
      </c>
      <c r="B46" s="3">
        <v>1.075215</v>
      </c>
      <c r="C46" s="30" t="str">
        <f t="shared" si="2"/>
        <v/>
      </c>
      <c r="D46" s="41" t="str">
        <f t="shared" si="3"/>
        <v/>
      </c>
      <c r="E46" s="16">
        <v>2685.9</v>
      </c>
      <c r="F46" s="16">
        <v>354.54</v>
      </c>
      <c r="G46" s="16">
        <v>17.260000000000002</v>
      </c>
      <c r="H46" s="16">
        <v>1793.38</v>
      </c>
      <c r="I46" s="14">
        <v>893.36</v>
      </c>
      <c r="J46" s="14">
        <v>1269.22</v>
      </c>
    </row>
    <row r="47" spans="1:19" ht="18" customHeight="1">
      <c r="A47" s="9">
        <v>44652</v>
      </c>
      <c r="B47" s="3">
        <v>1.097928</v>
      </c>
      <c r="C47" s="30" t="str">
        <f t="shared" si="2"/>
        <v/>
      </c>
      <c r="D47" s="41" t="str">
        <f t="shared" si="3"/>
        <v/>
      </c>
      <c r="E47" s="16">
        <v>2695.05</v>
      </c>
      <c r="F47" s="16">
        <v>355.08</v>
      </c>
      <c r="G47" s="16">
        <v>18.920000000000002</v>
      </c>
      <c r="H47" s="16">
        <v>1800.72</v>
      </c>
      <c r="I47" s="14">
        <v>904.75</v>
      </c>
      <c r="J47" s="14">
        <v>1261.29</v>
      </c>
    </row>
    <row r="48" spans="1:19" ht="18" customHeight="1">
      <c r="A48" s="9">
        <v>44621</v>
      </c>
      <c r="B48" s="3">
        <v>1.1232880000000001</v>
      </c>
      <c r="C48" s="30" t="str">
        <f t="shared" si="2"/>
        <v/>
      </c>
      <c r="D48" s="41" t="str">
        <f t="shared" si="3"/>
        <v/>
      </c>
      <c r="E48" s="16">
        <v>2757.65</v>
      </c>
      <c r="F48" s="16">
        <v>365.61</v>
      </c>
      <c r="G48" s="16">
        <v>17.14</v>
      </c>
      <c r="H48" s="16">
        <v>1851.87</v>
      </c>
      <c r="I48" s="14">
        <v>944.53</v>
      </c>
      <c r="J48" s="14">
        <v>1332.65</v>
      </c>
    </row>
    <row r="49" spans="1:19" ht="18" customHeight="1">
      <c r="A49" s="9">
        <v>44593</v>
      </c>
      <c r="B49" s="3">
        <v>1.0990470000000001</v>
      </c>
      <c r="C49" s="30" t="str">
        <f t="shared" si="2"/>
        <v/>
      </c>
      <c r="D49" s="41" t="str">
        <f t="shared" si="3"/>
        <v/>
      </c>
      <c r="E49" s="16">
        <v>2699.18</v>
      </c>
      <c r="F49" s="16">
        <v>361.54</v>
      </c>
      <c r="G49" s="16">
        <v>24.41</v>
      </c>
      <c r="H49" s="16">
        <v>1828.27</v>
      </c>
      <c r="I49" s="14">
        <v>881.07</v>
      </c>
      <c r="J49" s="14">
        <v>1257.1400000000001</v>
      </c>
    </row>
    <row r="50" spans="1:19" ht="18" customHeight="1">
      <c r="A50" s="9">
        <v>44562</v>
      </c>
      <c r="B50" s="3">
        <v>1.0827770000000001</v>
      </c>
      <c r="C50" s="30" t="str">
        <f t="shared" si="2"/>
        <v/>
      </c>
      <c r="D50" s="41" t="str">
        <f t="shared" si="3"/>
        <v/>
      </c>
      <c r="E50" s="16">
        <v>2663.34</v>
      </c>
      <c r="F50" s="16">
        <v>357.98</v>
      </c>
      <c r="G50" s="16">
        <v>23.97</v>
      </c>
      <c r="H50" s="16">
        <v>1804.99</v>
      </c>
      <c r="I50" s="14">
        <v>872.87</v>
      </c>
      <c r="J50" s="13">
        <v>1244.9000000000001</v>
      </c>
    </row>
    <row r="51" spans="1:19" ht="18" customHeight="1">
      <c r="A51" s="9">
        <v>44531</v>
      </c>
      <c r="B51" s="3">
        <v>1.1415519999999999</v>
      </c>
      <c r="C51" s="30" t="str">
        <f t="shared" si="2"/>
        <v/>
      </c>
      <c r="D51" s="41" t="str">
        <f t="shared" si="3"/>
        <v/>
      </c>
      <c r="E51" s="16">
        <v>2977.65</v>
      </c>
      <c r="F51" s="16">
        <v>394.19</v>
      </c>
      <c r="G51" s="16">
        <v>16.5</v>
      </c>
      <c r="H51" s="16">
        <v>1995.56</v>
      </c>
      <c r="I51" s="14">
        <v>1033.98</v>
      </c>
      <c r="J51" s="14">
        <v>1524.21</v>
      </c>
    </row>
    <row r="52" spans="1:19" ht="18" customHeight="1">
      <c r="A52" s="9">
        <v>44501</v>
      </c>
      <c r="B52" s="3">
        <v>1.1318319999999999</v>
      </c>
      <c r="C52" s="30" t="str">
        <f t="shared" si="2"/>
        <v/>
      </c>
      <c r="D52" s="41" t="str">
        <f t="shared" si="3"/>
        <v/>
      </c>
      <c r="E52" s="16">
        <v>2839.01</v>
      </c>
      <c r="F52" s="16">
        <v>373.24</v>
      </c>
      <c r="G52" s="16">
        <v>23.23</v>
      </c>
      <c r="H52" s="16">
        <v>1873.74</v>
      </c>
      <c r="I52" s="14">
        <v>965.63</v>
      </c>
      <c r="J52" s="14">
        <v>1448.84</v>
      </c>
    </row>
    <row r="53" spans="1:19" ht="18" customHeight="1">
      <c r="A53" s="9">
        <v>44470</v>
      </c>
      <c r="B53" s="3">
        <v>1.1723330000000001</v>
      </c>
      <c r="C53" s="30" t="str">
        <f t="shared" si="2"/>
        <v/>
      </c>
      <c r="D53" s="41" t="str">
        <f t="shared" si="3"/>
        <v/>
      </c>
      <c r="E53" s="16">
        <v>2970.68</v>
      </c>
      <c r="F53" s="16">
        <v>388.47</v>
      </c>
      <c r="G53" s="16">
        <v>18.55</v>
      </c>
      <c r="H53" s="16">
        <v>1948.02</v>
      </c>
      <c r="I53" s="14">
        <v>992.33</v>
      </c>
      <c r="J53" s="14">
        <v>1444.19</v>
      </c>
    </row>
    <row r="54" spans="1:19" ht="18" customHeight="1">
      <c r="A54" s="9">
        <v>44440</v>
      </c>
      <c r="B54" s="3">
        <v>1.2105570000000001</v>
      </c>
      <c r="C54" s="30" t="str">
        <f t="shared" si="2"/>
        <v/>
      </c>
      <c r="D54" s="41" t="str">
        <f t="shared" si="3"/>
        <v/>
      </c>
      <c r="E54" s="16">
        <v>3068.82</v>
      </c>
      <c r="F54" s="16">
        <v>401.3</v>
      </c>
      <c r="G54" s="16">
        <v>17.350000000000001</v>
      </c>
      <c r="H54" s="16">
        <v>2015.02</v>
      </c>
      <c r="I54" s="14">
        <v>1003.27</v>
      </c>
      <c r="J54" s="14">
        <v>1475.06</v>
      </c>
      <c r="R54" s="32"/>
    </row>
    <row r="55" spans="1:19" ht="18" customHeight="1">
      <c r="A55" s="9">
        <v>44409</v>
      </c>
      <c r="B55" s="3">
        <v>1.300484</v>
      </c>
      <c r="C55" s="30" t="str">
        <f t="shared" si="2"/>
        <v/>
      </c>
      <c r="D55" s="41" t="str">
        <f t="shared" si="3"/>
        <v/>
      </c>
      <c r="E55" s="16">
        <v>3199.27</v>
      </c>
      <c r="F55" s="16">
        <v>419.79</v>
      </c>
      <c r="G55" s="16">
        <v>14.76</v>
      </c>
      <c r="H55" s="16">
        <v>2103.6999999999998</v>
      </c>
      <c r="I55" s="14">
        <v>1038.33</v>
      </c>
      <c r="J55" s="14">
        <v>1512.05</v>
      </c>
      <c r="R55" s="32"/>
    </row>
    <row r="56" spans="1:19" ht="18" customHeight="1">
      <c r="A56" s="9">
        <v>44378</v>
      </c>
      <c r="B56" s="3">
        <v>1.2705679999999999</v>
      </c>
      <c r="C56" s="30" t="str">
        <f t="shared" si="2"/>
        <v/>
      </c>
      <c r="D56" s="41" t="str">
        <f t="shared" si="3"/>
        <v/>
      </c>
      <c r="E56" s="16">
        <v>3202.32</v>
      </c>
      <c r="F56" s="16">
        <v>423.91</v>
      </c>
      <c r="G56" s="16">
        <v>17.3</v>
      </c>
      <c r="H56" s="16">
        <v>2128.27</v>
      </c>
      <c r="I56" s="14">
        <v>1031.1400000000001</v>
      </c>
      <c r="J56" s="14">
        <v>1452.86</v>
      </c>
      <c r="Q56" s="32"/>
      <c r="R56" s="32"/>
    </row>
    <row r="57" spans="1:19" ht="18" customHeight="1">
      <c r="A57" s="9">
        <v>44348</v>
      </c>
      <c r="B57" s="3">
        <v>1.3026359999999999</v>
      </c>
      <c r="C57" s="30" t="str">
        <f t="shared" si="2"/>
        <v/>
      </c>
      <c r="D57" s="41" t="str">
        <f t="shared" si="3"/>
        <v/>
      </c>
      <c r="E57" s="16">
        <v>3296.68</v>
      </c>
      <c r="F57" s="16">
        <v>438.84</v>
      </c>
      <c r="G57" s="16">
        <v>14.17</v>
      </c>
      <c r="H57" s="16">
        <v>2200.7399999999998</v>
      </c>
      <c r="I57" s="14">
        <v>1029.96</v>
      </c>
      <c r="J57" s="14">
        <v>1464.08</v>
      </c>
      <c r="Q57" s="32"/>
      <c r="R57" s="32"/>
    </row>
    <row r="58" spans="1:19" ht="18" customHeight="1">
      <c r="A58" s="9">
        <v>44317</v>
      </c>
      <c r="B58" s="3">
        <v>1.2930200000000001</v>
      </c>
      <c r="C58" s="30" t="str">
        <f t="shared" si="2"/>
        <v/>
      </c>
      <c r="D58" s="41" t="str">
        <f t="shared" si="3"/>
        <v/>
      </c>
      <c r="E58" s="16">
        <v>3203.92</v>
      </c>
      <c r="F58" s="16">
        <v>427.91</v>
      </c>
      <c r="G58" s="16">
        <v>17.04</v>
      </c>
      <c r="H58" s="16">
        <v>2141.91</v>
      </c>
      <c r="I58" s="14">
        <v>981.78</v>
      </c>
      <c r="J58" s="13">
        <v>1399.6</v>
      </c>
      <c r="N58" s="32"/>
      <c r="Q58" s="32"/>
      <c r="R58" s="32"/>
    </row>
    <row r="59" spans="1:19" ht="18" customHeight="1">
      <c r="A59" s="9">
        <v>44287</v>
      </c>
      <c r="B59" s="3">
        <v>1.281185</v>
      </c>
      <c r="C59" s="30" t="str">
        <f t="shared" si="2"/>
        <v/>
      </c>
      <c r="D59" s="41" t="str">
        <f t="shared" si="3"/>
        <v/>
      </c>
      <c r="E59" s="16">
        <v>3147.86</v>
      </c>
      <c r="F59" s="16">
        <v>422.36</v>
      </c>
      <c r="G59" s="16">
        <v>18.84</v>
      </c>
      <c r="H59" s="16">
        <v>2113.87</v>
      </c>
      <c r="I59" s="14">
        <v>983.45</v>
      </c>
      <c r="J59" s="14">
        <v>1405.47</v>
      </c>
      <c r="N59" s="32"/>
      <c r="Q59" s="32"/>
      <c r="R59" s="32"/>
    </row>
    <row r="60" spans="1:19" ht="18" customHeight="1">
      <c r="A60" s="9">
        <v>44256</v>
      </c>
      <c r="B60" s="3">
        <v>1.2439530000000001</v>
      </c>
      <c r="C60" s="30" t="str">
        <f t="shared" si="2"/>
        <v/>
      </c>
      <c r="D60" s="41" t="str">
        <f t="shared" si="3"/>
        <v/>
      </c>
      <c r="E60" s="16">
        <v>3061.42</v>
      </c>
      <c r="F60" s="16">
        <v>415.04</v>
      </c>
      <c r="G60" s="16">
        <v>20.440000000000001</v>
      </c>
      <c r="H60" s="16">
        <v>2076.56</v>
      </c>
      <c r="I60" s="14">
        <v>956.17</v>
      </c>
      <c r="J60" s="13">
        <v>1423.2</v>
      </c>
      <c r="N60" s="32"/>
      <c r="P60" s="32"/>
      <c r="Q60" s="32"/>
      <c r="R60" s="32"/>
    </row>
    <row r="61" spans="1:19" ht="18" customHeight="1">
      <c r="A61" s="9">
        <v>44228</v>
      </c>
      <c r="B61" s="3">
        <v>1.216664</v>
      </c>
      <c r="C61" s="30" t="str">
        <f t="shared" si="2"/>
        <v/>
      </c>
      <c r="D61" s="41" t="str">
        <f t="shared" si="3"/>
        <v/>
      </c>
      <c r="E61" s="16">
        <v>3012.95</v>
      </c>
      <c r="F61" s="16">
        <v>409.91</v>
      </c>
      <c r="G61" s="16">
        <v>31.34</v>
      </c>
      <c r="H61" s="16">
        <v>2049.71</v>
      </c>
      <c r="I61" s="14">
        <v>913.94</v>
      </c>
      <c r="J61" s="14">
        <v>1363.12</v>
      </c>
      <c r="N61" s="32"/>
      <c r="P61" s="32"/>
      <c r="Q61" s="32"/>
      <c r="R61" s="32"/>
    </row>
    <row r="62" spans="1:19" ht="18" customHeight="1">
      <c r="A62" s="9">
        <v>44197</v>
      </c>
      <c r="B62" s="3">
        <v>1.200699</v>
      </c>
      <c r="C62" s="30" t="str">
        <f t="shared" si="2"/>
        <v/>
      </c>
      <c r="D62" s="41" t="str">
        <f t="shared" si="3"/>
        <v/>
      </c>
      <c r="E62" s="16">
        <v>2976.21</v>
      </c>
      <c r="F62" s="16">
        <v>404.56</v>
      </c>
      <c r="G62" s="16">
        <v>35.729999999999997</v>
      </c>
      <c r="H62" s="16">
        <v>2022.21</v>
      </c>
      <c r="I62" s="14">
        <v>928.73</v>
      </c>
      <c r="J62" s="14">
        <v>1427.72</v>
      </c>
      <c r="K62" s="32"/>
      <c r="M62" s="32"/>
      <c r="N62" s="32"/>
      <c r="P62" s="32"/>
      <c r="Q62" s="32"/>
      <c r="R62" s="32"/>
    </row>
    <row r="63" spans="1:19" ht="18" customHeight="1">
      <c r="A63" s="9">
        <v>44166</v>
      </c>
      <c r="B63" s="3">
        <v>1.1567099999999999</v>
      </c>
      <c r="C63" s="30" t="str">
        <f t="shared" si="2"/>
        <v/>
      </c>
      <c r="D63" s="41" t="str">
        <f t="shared" si="3"/>
        <v/>
      </c>
      <c r="E63" s="16">
        <v>2873.47</v>
      </c>
      <c r="F63" s="16">
        <v>389.29</v>
      </c>
      <c r="G63" s="16">
        <v>22.09</v>
      </c>
      <c r="H63" s="16">
        <v>1945.71</v>
      </c>
      <c r="I63" s="14">
        <v>968.42</v>
      </c>
      <c r="J63" s="14">
        <v>1532.52</v>
      </c>
      <c r="K63" s="32"/>
      <c r="M63" s="32"/>
      <c r="N63" s="32"/>
      <c r="O63" s="32"/>
      <c r="P63" s="32"/>
      <c r="Q63" s="32"/>
      <c r="R63" s="32"/>
    </row>
    <row r="64" spans="1:19" ht="18" customHeight="1">
      <c r="A64" s="9">
        <v>44136</v>
      </c>
      <c r="B64" s="3">
        <v>1.0639050000000001</v>
      </c>
      <c r="C64" s="30" t="str">
        <f t="shared" si="2"/>
        <v/>
      </c>
      <c r="D64" s="41" t="str">
        <f t="shared" si="3"/>
        <v/>
      </c>
      <c r="E64" s="16">
        <v>2591.34</v>
      </c>
      <c r="F64" s="16">
        <v>346.05</v>
      </c>
      <c r="G64" s="16">
        <v>20.77</v>
      </c>
      <c r="H64" s="16">
        <v>1713.2</v>
      </c>
      <c r="I64" s="14">
        <v>886.11</v>
      </c>
      <c r="J64" s="14">
        <v>1348.49</v>
      </c>
      <c r="K64" s="32"/>
      <c r="M64" s="32"/>
      <c r="N64" s="32"/>
      <c r="O64" s="32"/>
      <c r="P64" s="32"/>
      <c r="Q64" s="32"/>
      <c r="R64" s="32"/>
      <c r="S64" s="32"/>
    </row>
    <row r="65" spans="1:19" ht="18" customHeight="1">
      <c r="A65" s="9">
        <v>44105</v>
      </c>
      <c r="B65" s="3">
        <v>0.92899500000000002</v>
      </c>
      <c r="C65" s="30" t="str">
        <f t="shared" si="2"/>
        <v>Risk</v>
      </c>
      <c r="D65" s="41" t="str">
        <f t="shared" si="3"/>
        <v/>
      </c>
      <c r="E65" s="16">
        <v>2267.15</v>
      </c>
      <c r="F65" s="16">
        <v>301.60000000000002</v>
      </c>
      <c r="G65" s="16">
        <v>31.97</v>
      </c>
      <c r="H65" s="16">
        <v>1488.97</v>
      </c>
      <c r="I65" s="14">
        <v>792.65</v>
      </c>
      <c r="J65" s="14">
        <v>1203.73</v>
      </c>
      <c r="K65" s="32"/>
      <c r="L65" s="32"/>
      <c r="M65" s="32"/>
      <c r="N65" s="34">
        <f>$H58/$H65</f>
        <v>1.4385179016367018</v>
      </c>
      <c r="O65" s="32"/>
      <c r="P65" s="32"/>
      <c r="Q65" s="32"/>
      <c r="R65" s="34">
        <f>$H54/$H65</f>
        <v>1.3532979173522637</v>
      </c>
      <c r="S65" s="32"/>
    </row>
    <row r="66" spans="1:19" ht="18" customHeight="1">
      <c r="A66" s="9">
        <v>44075</v>
      </c>
      <c r="B66" s="12">
        <v>0.94691700000000001</v>
      </c>
      <c r="C66" s="30" t="str">
        <f t="shared" si="2"/>
        <v>Risk</v>
      </c>
      <c r="D66" s="41" t="str">
        <f t="shared" si="3"/>
        <v/>
      </c>
      <c r="E66" s="16">
        <v>2327.89</v>
      </c>
      <c r="F66" s="16">
        <v>309.44</v>
      </c>
      <c r="G66" s="16">
        <v>24.15</v>
      </c>
      <c r="H66" s="16">
        <v>1529.18</v>
      </c>
      <c r="I66" s="14">
        <v>848.15</v>
      </c>
      <c r="J66" s="14">
        <v>1310.49</v>
      </c>
      <c r="K66" s="34">
        <f>$H62/$H66</f>
        <v>1.32241462744739</v>
      </c>
      <c r="L66" s="32"/>
      <c r="M66" s="32"/>
      <c r="N66" s="32"/>
      <c r="O66" s="32"/>
      <c r="P66" s="32"/>
      <c r="Q66" s="34">
        <f>$H56/$H66</f>
        <v>1.3917720608430661</v>
      </c>
      <c r="R66" s="32"/>
      <c r="S66" s="32"/>
    </row>
    <row r="67" spans="1:19" ht="18" customHeight="1">
      <c r="A67" s="9">
        <v>44044</v>
      </c>
      <c r="B67" s="12">
        <v>0.96567000000000003</v>
      </c>
      <c r="C67" s="30" t="str">
        <f t="shared" si="2"/>
        <v/>
      </c>
      <c r="D67" s="41" t="str">
        <f t="shared" si="3"/>
        <v/>
      </c>
      <c r="E67" s="16">
        <v>2326.17</v>
      </c>
      <c r="F67" s="16">
        <v>307.14</v>
      </c>
      <c r="G67" s="16">
        <v>27.77</v>
      </c>
      <c r="H67" s="16">
        <v>1510.89</v>
      </c>
      <c r="I67" s="14">
        <v>848.24</v>
      </c>
      <c r="J67" s="14">
        <v>1336.94</v>
      </c>
      <c r="L67" s="32"/>
      <c r="M67" s="32"/>
      <c r="N67" s="32"/>
      <c r="O67" s="32"/>
      <c r="P67" s="32"/>
      <c r="R67" s="32"/>
      <c r="S67" s="32"/>
    </row>
    <row r="68" spans="1:19" ht="18" customHeight="1">
      <c r="A68" s="9">
        <v>44013</v>
      </c>
      <c r="B68" s="12">
        <v>0.93300700000000003</v>
      </c>
      <c r="C68" s="30" t="str">
        <f t="shared" ref="C68:C131" si="7">IF(B68&lt;=C$1, "Risk", "")</f>
        <v>Risk</v>
      </c>
      <c r="D68" s="41" t="str">
        <f t="shared" si="3"/>
        <v/>
      </c>
      <c r="E68" s="16">
        <v>2249.37</v>
      </c>
      <c r="F68" s="16">
        <v>299.32</v>
      </c>
      <c r="G68" s="16">
        <v>23.57</v>
      </c>
      <c r="H68" s="16">
        <v>1474.68</v>
      </c>
      <c r="I68" s="13">
        <v>815.3</v>
      </c>
      <c r="J68" s="14">
        <v>1277.58</v>
      </c>
      <c r="K68" s="32"/>
      <c r="L68" s="32"/>
      <c r="M68" s="34">
        <f>$H62/$H68</f>
        <v>1.3712873301326389</v>
      </c>
      <c r="N68" s="32"/>
      <c r="O68" s="32"/>
      <c r="P68" s="32"/>
      <c r="Q68" s="32"/>
      <c r="R68" s="32"/>
      <c r="S68" s="32"/>
    </row>
    <row r="69" spans="1:19" ht="18" customHeight="1">
      <c r="A69" s="9">
        <v>43983</v>
      </c>
      <c r="B69" s="12">
        <v>0.86749100000000001</v>
      </c>
      <c r="C69" s="30" t="str">
        <f t="shared" si="7"/>
        <v>Risk</v>
      </c>
      <c r="D69" s="41" t="str">
        <f t="shared" ref="D69:D132" si="8">IF(B69&lt;=D$1, "Risk", "")</f>
        <v>Risk</v>
      </c>
      <c r="E69" s="16">
        <v>2108.33</v>
      </c>
      <c r="F69" s="16">
        <v>280.08999999999997</v>
      </c>
      <c r="G69" s="16">
        <v>31.07</v>
      </c>
      <c r="H69" s="16">
        <v>1383.3</v>
      </c>
      <c r="I69" s="14">
        <v>737.97</v>
      </c>
      <c r="J69" s="14">
        <v>1167.1400000000001</v>
      </c>
      <c r="K69" s="32"/>
      <c r="L69" s="32"/>
      <c r="M69" s="32"/>
      <c r="N69" s="32"/>
      <c r="O69" s="32"/>
      <c r="P69" s="35">
        <f>1+(($H60/$H69)-1)*2</f>
        <v>2.002327766934143</v>
      </c>
      <c r="Q69" s="32"/>
      <c r="R69" s="32"/>
      <c r="S69" s="32"/>
    </row>
    <row r="70" spans="1:19" ht="18" customHeight="1">
      <c r="A70" s="9">
        <v>43952</v>
      </c>
      <c r="B70" s="12">
        <v>0.83083600000000002</v>
      </c>
      <c r="C70" s="30" t="str">
        <f t="shared" si="7"/>
        <v>Risk</v>
      </c>
      <c r="D70" s="41" t="str">
        <f t="shared" si="8"/>
        <v>Risk</v>
      </c>
      <c r="E70" s="16">
        <v>2029.6</v>
      </c>
      <c r="F70" s="16">
        <v>268.32</v>
      </c>
      <c r="G70" s="16">
        <v>25.64</v>
      </c>
      <c r="H70" s="16">
        <v>1311.92</v>
      </c>
      <c r="I70" s="14">
        <v>713.68</v>
      </c>
      <c r="J70" s="14">
        <v>1093.3800000000001</v>
      </c>
      <c r="K70" s="32"/>
      <c r="L70" s="35">
        <f>1+(($H65/$H70)-1)*2</f>
        <v>1.2699097505945485</v>
      </c>
      <c r="M70" s="32"/>
      <c r="N70" s="32"/>
      <c r="O70" s="32"/>
      <c r="P70" s="32"/>
      <c r="Q70" s="32"/>
      <c r="R70" s="32"/>
      <c r="S70" s="32"/>
    </row>
    <row r="71" spans="1:19" ht="18" customHeight="1">
      <c r="A71" s="9">
        <v>43922</v>
      </c>
      <c r="B71" s="12">
        <v>0.79072900000000002</v>
      </c>
      <c r="C71" s="30" t="str">
        <f t="shared" si="7"/>
        <v>Risk</v>
      </c>
      <c r="D71" s="41" t="str">
        <f t="shared" si="8"/>
        <v>Risk</v>
      </c>
      <c r="E71" s="16">
        <v>1947.56</v>
      </c>
      <c r="F71" s="16">
        <v>258.14999999999998</v>
      </c>
      <c r="G71" s="16">
        <v>30.51</v>
      </c>
      <c r="H71" s="16">
        <v>1268.19</v>
      </c>
      <c r="I71" s="14">
        <v>645.17999999999995</v>
      </c>
      <c r="J71" s="13">
        <v>992.7</v>
      </c>
      <c r="K71" s="32"/>
      <c r="L71" s="32"/>
      <c r="M71" s="32"/>
      <c r="N71" s="32"/>
      <c r="O71" s="35">
        <f>1+(($H63/$H71)-1)*2</f>
        <v>2.0684834291391669</v>
      </c>
      <c r="P71" s="32"/>
      <c r="Q71" s="32"/>
      <c r="R71" s="32"/>
      <c r="S71" s="32"/>
    </row>
    <row r="72" spans="1:19" ht="18" customHeight="1">
      <c r="A72" s="9">
        <v>43891</v>
      </c>
      <c r="B72" s="11">
        <v>0.71247499999999997</v>
      </c>
      <c r="C72" s="30" t="str">
        <f t="shared" si="7"/>
        <v>Risk</v>
      </c>
      <c r="D72" s="41" t="str">
        <f t="shared" si="8"/>
        <v>Risk</v>
      </c>
      <c r="E72" s="16">
        <v>1754.64</v>
      </c>
      <c r="F72" s="16">
        <v>236.82</v>
      </c>
      <c r="G72" s="16">
        <v>48.55</v>
      </c>
      <c r="H72" s="16">
        <v>1159.5999999999999</v>
      </c>
      <c r="I72" s="14">
        <v>569.07000000000005</v>
      </c>
      <c r="J72" s="13">
        <v>916.5</v>
      </c>
      <c r="K72" s="35">
        <f>1+(($H68/$H72)-1)*2</f>
        <v>1.5434287685408763</v>
      </c>
      <c r="L72" s="32"/>
      <c r="M72" s="32"/>
      <c r="N72" s="32"/>
      <c r="O72" s="32"/>
      <c r="P72" s="32"/>
      <c r="Q72" s="32"/>
      <c r="R72" s="32"/>
      <c r="S72" s="32"/>
    </row>
    <row r="73" spans="1:19" ht="18" customHeight="1">
      <c r="A73" s="9">
        <v>43862</v>
      </c>
      <c r="B73" s="3">
        <v>0.806952</v>
      </c>
      <c r="C73" s="30" t="str">
        <f t="shared" si="7"/>
        <v>Risk</v>
      </c>
      <c r="D73" s="41" t="str">
        <f t="shared" si="8"/>
        <v>Risk</v>
      </c>
      <c r="E73" s="16">
        <v>1987.01</v>
      </c>
      <c r="F73" s="16">
        <v>268.02</v>
      </c>
      <c r="G73" s="16">
        <v>33.81</v>
      </c>
      <c r="H73" s="16">
        <v>1312.77</v>
      </c>
      <c r="I73" s="14">
        <v>610.73</v>
      </c>
      <c r="J73" s="14">
        <v>927.48</v>
      </c>
      <c r="K73" s="32"/>
      <c r="L73" s="32"/>
      <c r="M73" s="32"/>
      <c r="N73" s="35">
        <f>1+(($H66/$H73)-1)*2</f>
        <v>1.329699795089772</v>
      </c>
      <c r="O73" s="32"/>
      <c r="P73" s="32"/>
      <c r="Q73" s="32"/>
      <c r="R73" s="32"/>
      <c r="S73" s="32"/>
    </row>
    <row r="74" spans="1:19" ht="18" customHeight="1">
      <c r="A74" s="9">
        <v>43831</v>
      </c>
      <c r="B74" s="11">
        <v>0.85994499999999996</v>
      </c>
      <c r="C74" s="30" t="str">
        <f t="shared" si="7"/>
        <v>Risk</v>
      </c>
      <c r="D74" s="41" t="str">
        <f t="shared" si="8"/>
        <v>Risk</v>
      </c>
      <c r="E74" s="16">
        <v>2119.0100000000002</v>
      </c>
      <c r="F74" s="16">
        <v>284.52999999999997</v>
      </c>
      <c r="G74" s="16">
        <v>19.29</v>
      </c>
      <c r="H74" s="16">
        <v>1397.56</v>
      </c>
      <c r="I74" s="14">
        <v>642.48</v>
      </c>
      <c r="J74" s="14">
        <v>958.52</v>
      </c>
      <c r="K74" s="32"/>
      <c r="L74" s="32"/>
      <c r="M74" s="32"/>
      <c r="N74" s="32"/>
      <c r="O74" s="32"/>
      <c r="P74" s="32"/>
      <c r="Q74" s="32"/>
      <c r="R74" s="32"/>
      <c r="S74" s="32"/>
    </row>
    <row r="75" spans="1:19" ht="18" customHeight="1">
      <c r="A75" s="9">
        <v>43800</v>
      </c>
      <c r="B75" s="11">
        <v>0.89135299999999995</v>
      </c>
      <c r="C75" s="30" t="str">
        <f t="shared" si="7"/>
        <v>Risk</v>
      </c>
      <c r="D75" s="41" t="str">
        <f t="shared" si="8"/>
        <v>Risk</v>
      </c>
      <c r="E75" s="16">
        <v>2197.67</v>
      </c>
      <c r="F75" s="16">
        <v>293.77</v>
      </c>
      <c r="G75" s="16">
        <v>14.69</v>
      </c>
      <c r="H75" s="16">
        <v>1446.82</v>
      </c>
      <c r="I75" s="14">
        <v>669.83</v>
      </c>
      <c r="J75" s="14">
        <v>1029.57</v>
      </c>
      <c r="K75" s="32"/>
      <c r="L75" s="32"/>
      <c r="M75" s="35">
        <f>1+(($H69/$H75)-1)*2</f>
        <v>0.91219363846228285</v>
      </c>
      <c r="N75" s="32"/>
      <c r="O75" s="32"/>
      <c r="P75" s="32"/>
      <c r="Q75" s="32"/>
      <c r="R75" s="32"/>
      <c r="S75" s="32"/>
    </row>
    <row r="76" spans="1:19" ht="18" customHeight="1">
      <c r="A76" s="9">
        <v>43770</v>
      </c>
      <c r="B76" s="11">
        <v>0.86090999999999995</v>
      </c>
      <c r="C76" s="30" t="str">
        <f t="shared" si="7"/>
        <v>Risk</v>
      </c>
      <c r="D76" s="41" t="str">
        <f t="shared" si="8"/>
        <v>Risk</v>
      </c>
      <c r="E76" s="16">
        <v>2087.96</v>
      </c>
      <c r="F76" s="16">
        <v>276.77999999999997</v>
      </c>
      <c r="G76" s="16">
        <v>13.96</v>
      </c>
      <c r="H76" s="16">
        <v>1347.44</v>
      </c>
      <c r="I76" s="14">
        <v>632.99</v>
      </c>
      <c r="J76" s="37">
        <v>946.89</v>
      </c>
      <c r="K76" s="32"/>
      <c r="L76" s="35">
        <f>1+(($H71/$H76)-1)*2</f>
        <v>0.88236953036869914</v>
      </c>
      <c r="M76" s="32"/>
      <c r="N76" s="32"/>
      <c r="O76" s="32"/>
      <c r="P76" s="32"/>
      <c r="Q76" s="32"/>
      <c r="R76" s="32"/>
      <c r="S76" s="35">
        <f>1+(($H64/$H76)-1)*2</f>
        <v>1.5428961586415721</v>
      </c>
    </row>
    <row r="77" spans="1:19" ht="18" customHeight="1">
      <c r="A77" s="9">
        <v>43739</v>
      </c>
      <c r="B77" s="11">
        <v>0.85831400000000002</v>
      </c>
      <c r="C77" s="30" t="str">
        <f t="shared" si="7"/>
        <v>Risk</v>
      </c>
      <c r="D77" s="41" t="str">
        <f t="shared" si="8"/>
        <v>Risk</v>
      </c>
      <c r="E77" s="16">
        <v>2083.48</v>
      </c>
      <c r="F77" s="16">
        <v>275.82</v>
      </c>
      <c r="G77" s="16">
        <v>13.59</v>
      </c>
      <c r="H77" s="16">
        <v>1342.34</v>
      </c>
      <c r="I77" s="14">
        <v>658.52</v>
      </c>
      <c r="J77" s="14">
        <v>1016.62</v>
      </c>
      <c r="K77" s="35">
        <f>1+(($H73/$H77)-1)*2</f>
        <v>0.95594260768508743</v>
      </c>
      <c r="L77" s="32"/>
      <c r="M77" s="32"/>
      <c r="N77" s="32"/>
      <c r="O77" s="32"/>
      <c r="P77" s="32"/>
      <c r="Q77" s="32"/>
      <c r="R77" s="35">
        <f>1+(($H66/$H77)-1)*2</f>
        <v>1.2783795461656511</v>
      </c>
      <c r="S77" s="32"/>
    </row>
    <row r="78" spans="1:19" ht="18" customHeight="1">
      <c r="A78" s="9">
        <v>43709</v>
      </c>
      <c r="B78" s="11">
        <v>0.84934799999999999</v>
      </c>
      <c r="C78" s="30" t="str">
        <f t="shared" si="7"/>
        <v>Risk</v>
      </c>
      <c r="D78" s="41" t="str">
        <f t="shared" si="8"/>
        <v>Risk</v>
      </c>
      <c r="E78" s="16">
        <v>2063.0500000000002</v>
      </c>
      <c r="F78" s="16">
        <v>273.55</v>
      </c>
      <c r="G78" s="16">
        <v>15.15</v>
      </c>
      <c r="H78" s="16">
        <v>1330.93</v>
      </c>
      <c r="I78" s="14">
        <v>621.76</v>
      </c>
      <c r="J78" s="14">
        <v>894.36</v>
      </c>
      <c r="K78" s="32"/>
      <c r="L78" s="32"/>
      <c r="M78" s="32"/>
      <c r="N78" s="32"/>
      <c r="O78" s="32"/>
      <c r="P78" s="32"/>
      <c r="Q78" s="35">
        <f>1+(($H68/$H78)-1)*2</f>
        <v>1.2160143658945248</v>
      </c>
      <c r="R78" s="32"/>
      <c r="S78" s="32"/>
    </row>
    <row r="79" spans="1:19" ht="18" customHeight="1">
      <c r="A79" s="9">
        <v>43678</v>
      </c>
      <c r="B79" s="11">
        <v>0.826874</v>
      </c>
      <c r="C79" s="30" t="str">
        <f t="shared" si="7"/>
        <v>Risk</v>
      </c>
      <c r="D79" s="41" t="str">
        <f t="shared" si="8"/>
        <v>Risk</v>
      </c>
      <c r="E79" s="16">
        <v>1967.79</v>
      </c>
      <c r="F79" s="16">
        <v>259</v>
      </c>
      <c r="G79" s="16">
        <v>15.75</v>
      </c>
      <c r="H79" s="16">
        <v>1258.81</v>
      </c>
      <c r="I79" s="14">
        <v>610.54999999999995</v>
      </c>
      <c r="J79" s="14">
        <v>891.39</v>
      </c>
      <c r="K79" s="32"/>
      <c r="L79" s="32"/>
      <c r="M79" s="32"/>
      <c r="N79" s="32"/>
      <c r="O79" s="32"/>
      <c r="P79" s="35">
        <f>1+(($H70/$H79)-1)*2</f>
        <v>1.0843812807333912</v>
      </c>
      <c r="Q79" s="32"/>
      <c r="R79" s="32"/>
      <c r="S79" s="32"/>
    </row>
    <row r="80" spans="1:19" ht="18" customHeight="1">
      <c r="A80" s="9">
        <v>43647</v>
      </c>
      <c r="B80" s="3">
        <v>0.85062599999999999</v>
      </c>
      <c r="C80" s="30" t="str">
        <f t="shared" si="7"/>
        <v>Risk</v>
      </c>
      <c r="D80" s="41" t="str">
        <f t="shared" si="8"/>
        <v>Risk</v>
      </c>
      <c r="E80" s="16">
        <v>2024.55</v>
      </c>
      <c r="F80" s="16">
        <v>266.33999999999997</v>
      </c>
      <c r="G80" s="16">
        <v>15.29</v>
      </c>
      <c r="H80" s="16">
        <v>1296.21</v>
      </c>
      <c r="I80" s="14">
        <v>630.17999999999995</v>
      </c>
      <c r="J80" s="14">
        <v>939.73</v>
      </c>
      <c r="K80" s="32"/>
      <c r="L80" s="32"/>
      <c r="M80" s="32"/>
      <c r="N80" s="32"/>
      <c r="O80" s="35">
        <f>1+(($H72/$H80)-1)*2</f>
        <v>0.78921625353916403</v>
      </c>
      <c r="P80" s="32"/>
      <c r="Q80" s="32"/>
      <c r="R80" s="32"/>
      <c r="S80" s="32"/>
    </row>
    <row r="81" spans="1:19" ht="18" customHeight="1">
      <c r="A81" s="9">
        <v>43617</v>
      </c>
      <c r="B81" s="3">
        <v>0.89509099999999997</v>
      </c>
      <c r="C81" s="30" t="str">
        <f t="shared" si="7"/>
        <v>Risk</v>
      </c>
      <c r="D81" s="41" t="str">
        <f t="shared" si="8"/>
        <v>Risk</v>
      </c>
      <c r="E81" s="16">
        <v>2130.62</v>
      </c>
      <c r="F81" s="16">
        <v>277.5</v>
      </c>
      <c r="G81" s="16">
        <v>14.43</v>
      </c>
      <c r="H81" s="16">
        <v>1352.31</v>
      </c>
      <c r="I81" s="14">
        <v>690.53</v>
      </c>
      <c r="J81" s="14">
        <v>1012.74</v>
      </c>
      <c r="K81" s="32"/>
      <c r="L81" s="32"/>
      <c r="M81" s="32"/>
      <c r="N81" s="35">
        <f>1+(($H74/$H81)-1)*2</f>
        <v>1.0669225251606509</v>
      </c>
      <c r="O81" s="32"/>
      <c r="P81" s="32"/>
      <c r="Q81" s="32"/>
      <c r="R81" s="32"/>
      <c r="S81" s="32"/>
    </row>
    <row r="82" spans="1:19" ht="18" customHeight="1">
      <c r="A82" s="9">
        <v>43586</v>
      </c>
      <c r="B82" s="3">
        <v>0.87327999999999995</v>
      </c>
      <c r="C82" s="30" t="str">
        <f t="shared" si="7"/>
        <v>Risk</v>
      </c>
      <c r="D82" s="41" t="str">
        <f t="shared" si="8"/>
        <v>Risk</v>
      </c>
      <c r="E82" s="16">
        <v>2041.74</v>
      </c>
      <c r="F82" s="16">
        <v>263.89</v>
      </c>
      <c r="G82" s="16">
        <v>17.32</v>
      </c>
      <c r="H82" s="16">
        <v>1280.67</v>
      </c>
      <c r="I82" s="14">
        <v>696.47</v>
      </c>
      <c r="J82" s="14">
        <v>1075.28</v>
      </c>
      <c r="K82" s="35">
        <f>1+(($H78/$H82)-1)*2</f>
        <v>1.0784901653040988</v>
      </c>
      <c r="L82" s="35">
        <f>1+(($H77/$H82)-1)*2</f>
        <v>1.0963089632770346</v>
      </c>
      <c r="M82" s="35">
        <f>1+(($H76/$H82)-1)*2</f>
        <v>1.1042735443166469</v>
      </c>
      <c r="N82" s="32"/>
      <c r="O82" s="32"/>
      <c r="P82" s="32"/>
      <c r="Q82" s="32"/>
      <c r="R82" s="32"/>
      <c r="S82" s="32"/>
    </row>
    <row r="83" spans="1:19" ht="18" customHeight="1">
      <c r="A83" s="9">
        <v>43556</v>
      </c>
      <c r="B83" s="3">
        <v>0.947048</v>
      </c>
      <c r="C83" s="30" t="str">
        <f t="shared" si="7"/>
        <v>Risk</v>
      </c>
      <c r="D83" s="41" t="str">
        <f t="shared" si="8"/>
        <v/>
      </c>
      <c r="E83" s="16">
        <v>2203.59</v>
      </c>
      <c r="F83" s="16">
        <v>284.92</v>
      </c>
      <c r="G83" s="16">
        <v>13.28</v>
      </c>
      <c r="H83" s="16">
        <v>1387.11</v>
      </c>
      <c r="I83" s="14">
        <v>754.74</v>
      </c>
      <c r="J83" s="14">
        <v>1207.56</v>
      </c>
      <c r="K83" s="32"/>
      <c r="L83" s="34">
        <f>$H82/$H83</f>
        <v>0.92326491770659869</v>
      </c>
      <c r="M83" s="32"/>
      <c r="N83" s="32"/>
      <c r="O83" s="32"/>
      <c r="P83" s="32"/>
      <c r="Q83" s="32"/>
      <c r="R83" s="32"/>
      <c r="S83" s="32"/>
    </row>
    <row r="84" spans="1:19" ht="18" customHeight="1">
      <c r="A84" s="9">
        <v>43525</v>
      </c>
      <c r="B84" s="3">
        <v>0.91991199999999995</v>
      </c>
      <c r="C84" s="30" t="str">
        <f t="shared" si="7"/>
        <v>Risk</v>
      </c>
      <c r="D84" s="41" t="str">
        <f t="shared" si="8"/>
        <v/>
      </c>
      <c r="E84" s="16">
        <v>2140.67</v>
      </c>
      <c r="F84" s="16">
        <v>276.48</v>
      </c>
      <c r="G84" s="16">
        <v>14.29</v>
      </c>
      <c r="H84" s="16">
        <v>1347.26</v>
      </c>
      <c r="I84" s="14">
        <v>729.31</v>
      </c>
      <c r="J84" s="13">
        <v>1193.9000000000001</v>
      </c>
      <c r="K84" s="34">
        <f>$H82/$H84</f>
        <v>0.9505737571070173</v>
      </c>
      <c r="L84" s="32"/>
      <c r="M84" s="32"/>
      <c r="N84" s="32"/>
      <c r="O84" s="32"/>
      <c r="P84" s="32"/>
      <c r="Q84" s="32"/>
      <c r="R84" s="32"/>
      <c r="S84" s="32"/>
    </row>
    <row r="85" spans="1:19" ht="18" customHeight="1">
      <c r="A85" s="9">
        <v>43497</v>
      </c>
      <c r="B85" s="3">
        <v>0.94048799999999999</v>
      </c>
      <c r="C85" s="30" t="str">
        <f t="shared" si="7"/>
        <v>Risk</v>
      </c>
      <c r="D85" s="41" t="str">
        <f t="shared" si="8"/>
        <v/>
      </c>
      <c r="E85" s="16">
        <v>2195.44</v>
      </c>
      <c r="F85" s="16">
        <v>283.8</v>
      </c>
      <c r="G85" s="16">
        <v>15.49</v>
      </c>
      <c r="H85" s="16">
        <v>1383.39</v>
      </c>
      <c r="I85" s="14">
        <v>731.25</v>
      </c>
      <c r="J85" s="14">
        <v>1235.26</v>
      </c>
      <c r="K85" s="32"/>
      <c r="L85" s="32"/>
      <c r="M85" s="32"/>
      <c r="N85" s="32"/>
      <c r="O85" s="32"/>
      <c r="P85" s="32"/>
      <c r="Q85" s="32"/>
      <c r="R85" s="32"/>
      <c r="S85" s="32"/>
    </row>
    <row r="86" spans="1:19" ht="18" customHeight="1">
      <c r="A86" s="9">
        <v>43466</v>
      </c>
      <c r="B86" s="3">
        <v>0.93744499999999997</v>
      </c>
      <c r="C86" s="30" t="str">
        <f t="shared" si="7"/>
        <v>Risk</v>
      </c>
      <c r="D86" s="41" t="str">
        <f t="shared" si="8"/>
        <v/>
      </c>
      <c r="E86" s="16">
        <v>2204.85</v>
      </c>
      <c r="F86" s="16">
        <v>285.89</v>
      </c>
      <c r="G86" s="16">
        <v>15.51</v>
      </c>
      <c r="H86" s="16">
        <v>1398.5</v>
      </c>
      <c r="I86" s="14">
        <v>716.86</v>
      </c>
      <c r="J86" s="14">
        <v>1191.47</v>
      </c>
      <c r="K86" s="32"/>
      <c r="L86" s="32"/>
      <c r="M86" s="32"/>
      <c r="N86" s="32"/>
      <c r="O86" s="32"/>
      <c r="P86" s="32"/>
      <c r="Q86" s="32"/>
      <c r="R86" s="32"/>
      <c r="S86" s="32"/>
    </row>
    <row r="87" spans="1:19" ht="18" customHeight="1">
      <c r="A87" s="9">
        <v>43435</v>
      </c>
      <c r="B87" s="3">
        <v>0.867363</v>
      </c>
      <c r="C87" s="30" t="str">
        <f t="shared" si="7"/>
        <v>Risk</v>
      </c>
      <c r="D87" s="41" t="str">
        <f t="shared" si="8"/>
        <v>Risk</v>
      </c>
      <c r="E87" s="16">
        <v>2041.04</v>
      </c>
      <c r="F87" s="16">
        <v>261.98</v>
      </c>
      <c r="G87" s="16">
        <v>18.989999999999998</v>
      </c>
      <c r="H87" s="16">
        <v>1276.9000000000001</v>
      </c>
      <c r="I87" s="14">
        <v>675.65</v>
      </c>
      <c r="J87" s="14">
        <v>1166.25</v>
      </c>
      <c r="K87" s="32"/>
      <c r="L87" s="32"/>
      <c r="M87" s="32"/>
      <c r="N87" s="32"/>
      <c r="O87" s="32"/>
      <c r="P87" s="32"/>
      <c r="Q87" s="32"/>
      <c r="R87" s="32"/>
      <c r="S87" s="32"/>
    </row>
    <row r="88" spans="1:19" ht="18" customHeight="1">
      <c r="A88" s="9">
        <v>43405</v>
      </c>
      <c r="B88" s="3">
        <v>0.92381400000000002</v>
      </c>
      <c r="C88" s="30" t="str">
        <f t="shared" si="7"/>
        <v>Risk</v>
      </c>
      <c r="D88" s="41" t="str">
        <f t="shared" si="8"/>
        <v/>
      </c>
      <c r="E88" s="16">
        <v>2096.86</v>
      </c>
      <c r="F88" s="16">
        <v>271.35000000000002</v>
      </c>
      <c r="G88" s="16">
        <v>18.57</v>
      </c>
      <c r="H88" s="16">
        <v>1309.6300000000001</v>
      </c>
      <c r="I88" s="14">
        <v>695.76</v>
      </c>
      <c r="J88" s="14">
        <v>1186.6300000000001</v>
      </c>
      <c r="K88" s="32"/>
      <c r="L88" s="32"/>
      <c r="M88" s="32"/>
      <c r="N88" s="32"/>
      <c r="O88" s="32"/>
      <c r="P88" s="32"/>
      <c r="Q88" s="32"/>
      <c r="R88" s="32"/>
      <c r="S88" s="32"/>
    </row>
    <row r="89" spans="1:19" ht="18" customHeight="1">
      <c r="A89" s="9">
        <v>43374</v>
      </c>
      <c r="B89" s="3">
        <v>0.89380899999999996</v>
      </c>
      <c r="C89" s="30" t="str">
        <f t="shared" si="7"/>
        <v>Risk</v>
      </c>
      <c r="D89" s="41" t="str">
        <f t="shared" si="8"/>
        <v>Risk</v>
      </c>
      <c r="E89" s="16">
        <v>2029.69</v>
      </c>
      <c r="F89" s="16">
        <v>264.01</v>
      </c>
      <c r="G89" s="16">
        <v>20.49</v>
      </c>
      <c r="H89" s="16">
        <v>1273.47</v>
      </c>
      <c r="I89" s="14">
        <v>648.66999999999996</v>
      </c>
      <c r="J89" s="14">
        <v>1124.49</v>
      </c>
      <c r="K89" s="35">
        <f>1+(($H85/$H89)-1)*2</f>
        <v>1.1726306862352471</v>
      </c>
      <c r="L89" s="35">
        <f>1+(($H84/$H89)-1)*2</f>
        <v>1.1158880853102153</v>
      </c>
      <c r="M89" s="35">
        <f>1+(($H83/$H89)-1)*2</f>
        <v>1.1784729911187539</v>
      </c>
      <c r="N89" s="35">
        <f>1+(($H82/$H89)-1)*2</f>
        <v>1.0113076868713047</v>
      </c>
      <c r="O89" s="35">
        <f>1+(($H81/$H89)-1)*2</f>
        <v>1.123819171240783</v>
      </c>
      <c r="P89" s="35">
        <f>1+(($H80/$H89)-1)*2</f>
        <v>1.0357134443685365</v>
      </c>
      <c r="Q89" s="35">
        <f>1+(($H79/$H89)-1)*2</f>
        <v>0.97697629312037182</v>
      </c>
      <c r="R89" s="35">
        <f>1+(($H78/$H89)-1)*2</f>
        <v>1.0902416232812708</v>
      </c>
      <c r="S89" s="35">
        <f>1+(($H77/$H89)-1)*2</f>
        <v>1.1081611659481574</v>
      </c>
    </row>
    <row r="90" spans="1:19" ht="18" customHeight="1">
      <c r="A90" s="9">
        <v>43344</v>
      </c>
      <c r="B90" s="3">
        <v>1.030465</v>
      </c>
      <c r="C90" s="30" t="str">
        <f t="shared" si="7"/>
        <v/>
      </c>
      <c r="D90" s="41" t="str">
        <f t="shared" si="8"/>
        <v/>
      </c>
      <c r="E90" s="16">
        <v>2343.0700000000002</v>
      </c>
      <c r="F90" s="16">
        <v>300.51</v>
      </c>
      <c r="G90" s="16">
        <v>11.24</v>
      </c>
      <c r="H90" s="16">
        <v>1454.29</v>
      </c>
      <c r="I90" s="14">
        <v>822.27</v>
      </c>
      <c r="J90" s="14">
        <v>1411.73</v>
      </c>
    </row>
    <row r="91" spans="1:19" ht="18" customHeight="1">
      <c r="A91" s="9">
        <v>43313</v>
      </c>
      <c r="B91" s="3">
        <v>1.0442990000000001</v>
      </c>
      <c r="C91" s="30" t="str">
        <f t="shared" si="7"/>
        <v/>
      </c>
      <c r="D91" s="41" t="str">
        <f t="shared" si="8"/>
        <v/>
      </c>
      <c r="E91" s="16">
        <v>2322.88</v>
      </c>
      <c r="F91" s="16">
        <v>300.07</v>
      </c>
      <c r="G91" s="16">
        <v>11.64</v>
      </c>
      <c r="H91" s="16">
        <v>1445.99</v>
      </c>
      <c r="I91" s="14">
        <v>816.97</v>
      </c>
      <c r="J91" s="14">
        <v>1376.46</v>
      </c>
    </row>
    <row r="92" spans="1:19" ht="18" customHeight="1">
      <c r="A92" s="9">
        <v>43282</v>
      </c>
      <c r="B92" s="3">
        <v>1.0321480000000001</v>
      </c>
      <c r="C92" s="30" t="str">
        <f t="shared" si="7"/>
        <v/>
      </c>
      <c r="D92" s="41" t="str">
        <f t="shared" si="8"/>
        <v/>
      </c>
      <c r="E92" s="16">
        <v>2295.2600000000002</v>
      </c>
      <c r="F92" s="16">
        <v>297.45</v>
      </c>
      <c r="G92" s="16">
        <v>13.05</v>
      </c>
      <c r="H92" s="16">
        <v>1438.27</v>
      </c>
      <c r="I92" s="14">
        <v>775.52</v>
      </c>
      <c r="J92" s="14">
        <v>1265.58</v>
      </c>
    </row>
    <row r="93" spans="1:19" ht="18" customHeight="1">
      <c r="A93" s="9">
        <v>43252</v>
      </c>
      <c r="B93" s="3">
        <v>1.0479160000000001</v>
      </c>
      <c r="C93" s="30" t="str">
        <f t="shared" si="7"/>
        <v/>
      </c>
      <c r="D93" s="41" t="str">
        <f t="shared" si="8"/>
        <v/>
      </c>
      <c r="E93" s="16">
        <v>2326.13</v>
      </c>
      <c r="F93" s="16">
        <v>299.66000000000003</v>
      </c>
      <c r="G93" s="16">
        <v>16.04</v>
      </c>
      <c r="H93" s="16">
        <v>1448.16</v>
      </c>
      <c r="I93" s="14">
        <v>818.22</v>
      </c>
      <c r="J93" s="14">
        <v>1391.83</v>
      </c>
    </row>
    <row r="94" spans="1:19" ht="18" customHeight="1">
      <c r="A94" s="9">
        <v>43221</v>
      </c>
      <c r="B94" s="3">
        <v>1.1065240000000001</v>
      </c>
      <c r="C94" s="30" t="str">
        <f t="shared" si="7"/>
        <v/>
      </c>
      <c r="D94" s="41" t="str">
        <f t="shared" si="8"/>
        <v/>
      </c>
      <c r="E94" s="16">
        <v>2423.0100000000002</v>
      </c>
      <c r="F94" s="16">
        <v>310.92</v>
      </c>
      <c r="G94" s="16">
        <v>14.55</v>
      </c>
      <c r="H94" s="16">
        <v>1498.26</v>
      </c>
      <c r="I94" s="14">
        <v>879.66</v>
      </c>
      <c r="J94" s="13">
        <v>1491.9</v>
      </c>
    </row>
    <row r="95" spans="1:19" ht="18" customHeight="1">
      <c r="A95" s="9">
        <v>43191</v>
      </c>
      <c r="B95" s="3">
        <v>1.1569799999999999</v>
      </c>
      <c r="C95" s="30" t="str">
        <f t="shared" si="7"/>
        <v/>
      </c>
      <c r="D95" s="41" t="str">
        <f t="shared" si="8"/>
        <v/>
      </c>
      <c r="E95" s="16">
        <v>2515.38</v>
      </c>
      <c r="F95" s="16">
        <v>323.56</v>
      </c>
      <c r="G95" s="16">
        <v>13.59</v>
      </c>
      <c r="H95" s="16">
        <v>1558.62</v>
      </c>
      <c r="I95" s="14">
        <v>875.95</v>
      </c>
      <c r="J95" s="14">
        <v>1495.09</v>
      </c>
    </row>
    <row r="96" spans="1:19" ht="18" customHeight="1">
      <c r="A96" s="9">
        <v>43160</v>
      </c>
      <c r="B96" s="3">
        <v>1.1228480000000001</v>
      </c>
      <c r="C96" s="30" t="str">
        <f t="shared" si="7"/>
        <v/>
      </c>
      <c r="D96" s="41" t="str">
        <f t="shared" si="8"/>
        <v/>
      </c>
      <c r="E96" s="16">
        <v>2445.85</v>
      </c>
      <c r="F96" s="16">
        <v>314.61</v>
      </c>
      <c r="G96" s="16">
        <v>17.54</v>
      </c>
      <c r="H96" s="16">
        <v>1524.33</v>
      </c>
      <c r="I96" s="14">
        <v>871.09</v>
      </c>
      <c r="J96" s="14">
        <v>1551.48</v>
      </c>
    </row>
    <row r="97" spans="1:10" ht="18" customHeight="1">
      <c r="A97" s="9">
        <v>43132</v>
      </c>
      <c r="B97" s="3">
        <v>1.113524</v>
      </c>
      <c r="C97" s="30" t="str">
        <f t="shared" si="7"/>
        <v/>
      </c>
      <c r="D97" s="41" t="str">
        <f t="shared" si="8"/>
        <v/>
      </c>
      <c r="E97" s="16">
        <v>2427.36</v>
      </c>
      <c r="F97" s="16">
        <v>312.86</v>
      </c>
      <c r="G97" s="16">
        <v>15.55</v>
      </c>
      <c r="H97" s="16">
        <v>1515.9</v>
      </c>
      <c r="I97" s="14">
        <v>857.06</v>
      </c>
      <c r="J97" s="13">
        <v>1535.3</v>
      </c>
    </row>
    <row r="98" spans="1:10" ht="18" customHeight="1">
      <c r="A98" s="9">
        <v>43101</v>
      </c>
      <c r="B98" s="3">
        <v>1.152892</v>
      </c>
      <c r="C98" s="30" t="str">
        <f t="shared" si="7"/>
        <v/>
      </c>
      <c r="D98" s="41" t="str">
        <f t="shared" si="8"/>
        <v/>
      </c>
      <c r="E98" s="16">
        <v>2566.46</v>
      </c>
      <c r="F98" s="16">
        <v>333.38</v>
      </c>
      <c r="G98" s="16">
        <v>14.54</v>
      </c>
      <c r="H98" s="16">
        <v>1622.47</v>
      </c>
      <c r="I98" s="14">
        <v>913.57</v>
      </c>
      <c r="J98" s="14">
        <v>1664.36</v>
      </c>
    </row>
    <row r="99" spans="1:10" ht="18" customHeight="1">
      <c r="A99" s="9">
        <v>43070</v>
      </c>
      <c r="B99" s="3">
        <v>1.1098110000000001</v>
      </c>
      <c r="C99" s="30" t="str">
        <f t="shared" si="7"/>
        <v/>
      </c>
      <c r="D99" s="41" t="str">
        <f t="shared" si="8"/>
        <v/>
      </c>
      <c r="E99" s="16">
        <v>2467.4899999999998</v>
      </c>
      <c r="F99" s="16">
        <v>324.74</v>
      </c>
      <c r="G99" s="16">
        <v>12.06</v>
      </c>
      <c r="H99" s="16">
        <v>1579.84</v>
      </c>
      <c r="I99" s="14">
        <v>798.42</v>
      </c>
      <c r="J99" s="13">
        <v>1413.8</v>
      </c>
    </row>
    <row r="100" spans="1:10" ht="18" customHeight="1">
      <c r="A100" s="9">
        <v>43040</v>
      </c>
      <c r="B100" s="3">
        <v>1.1375059999999999</v>
      </c>
      <c r="C100" s="30" t="str">
        <f t="shared" si="7"/>
        <v/>
      </c>
      <c r="D100" s="41" t="str">
        <f t="shared" si="8"/>
        <v/>
      </c>
      <c r="E100" s="16">
        <v>2476.37</v>
      </c>
      <c r="F100" s="16">
        <v>325.25</v>
      </c>
      <c r="G100" s="16">
        <v>13.2</v>
      </c>
      <c r="H100" s="16">
        <v>1565.29</v>
      </c>
      <c r="I100" s="14">
        <v>771.42</v>
      </c>
      <c r="J100" s="14">
        <v>1348.84</v>
      </c>
    </row>
    <row r="101" spans="1:10" ht="18" customHeight="1">
      <c r="A101" s="9">
        <v>43009</v>
      </c>
      <c r="B101" s="3">
        <v>1.1598539999999999</v>
      </c>
      <c r="C101" s="30" t="str">
        <f t="shared" si="7"/>
        <v/>
      </c>
      <c r="D101" s="41" t="str">
        <f t="shared" si="8"/>
        <v/>
      </c>
      <c r="E101" s="16">
        <v>2523.4299999999998</v>
      </c>
      <c r="F101" s="16">
        <v>333.57</v>
      </c>
      <c r="G101" s="16">
        <v>12.06</v>
      </c>
      <c r="H101" s="16">
        <v>1607.59</v>
      </c>
      <c r="I101" s="13">
        <v>694.2</v>
      </c>
      <c r="J101" s="14">
        <v>1196.8599999999999</v>
      </c>
    </row>
    <row r="102" spans="1:10" ht="18" customHeight="1">
      <c r="A102" s="9">
        <v>42979</v>
      </c>
      <c r="B102" s="3">
        <v>1.1000099999999999</v>
      </c>
      <c r="C102" s="30" t="str">
        <f t="shared" si="7"/>
        <v/>
      </c>
      <c r="D102" s="41" t="str">
        <f t="shared" si="8"/>
        <v/>
      </c>
      <c r="E102" s="16">
        <v>2394.4699999999998</v>
      </c>
      <c r="F102" s="16">
        <v>316.27</v>
      </c>
      <c r="G102" s="16">
        <v>13.41</v>
      </c>
      <c r="H102" s="16">
        <v>1527.07</v>
      </c>
      <c r="I102" s="14">
        <v>652.82000000000005</v>
      </c>
      <c r="J102" s="14">
        <v>1074.79</v>
      </c>
    </row>
    <row r="103" spans="1:10" ht="18" customHeight="1">
      <c r="A103" s="9">
        <v>42948</v>
      </c>
      <c r="B103" s="3">
        <v>1.1288959999999999</v>
      </c>
      <c r="C103" s="30" t="str">
        <f t="shared" si="7"/>
        <v/>
      </c>
      <c r="D103" s="41" t="str">
        <f t="shared" si="8"/>
        <v/>
      </c>
      <c r="E103" s="16">
        <v>2363.19</v>
      </c>
      <c r="F103" s="16">
        <v>308.27999999999997</v>
      </c>
      <c r="G103" s="16">
        <v>13.64</v>
      </c>
      <c r="H103" s="16">
        <v>1485.29</v>
      </c>
      <c r="I103" s="14">
        <v>657.83</v>
      </c>
      <c r="J103" s="14">
        <v>1034.49</v>
      </c>
    </row>
    <row r="104" spans="1:10" ht="18" customHeight="1">
      <c r="A104" s="9">
        <v>42917</v>
      </c>
      <c r="B104" s="3">
        <v>1.1488400000000001</v>
      </c>
      <c r="C104" s="30" t="str">
        <f t="shared" si="7"/>
        <v/>
      </c>
      <c r="D104" s="41" t="str">
        <f t="shared" si="8"/>
        <v/>
      </c>
      <c r="E104" s="16">
        <v>2402.71</v>
      </c>
      <c r="F104" s="16">
        <v>314.60000000000002</v>
      </c>
      <c r="G104" s="16">
        <v>12.79</v>
      </c>
      <c r="H104" s="16">
        <v>1518.56</v>
      </c>
      <c r="I104" s="14">
        <v>650.47</v>
      </c>
      <c r="J104" s="14">
        <v>1008.63</v>
      </c>
    </row>
    <row r="105" spans="1:10" ht="18" customHeight="1">
      <c r="A105" s="9">
        <v>42887</v>
      </c>
      <c r="B105" s="3">
        <v>1.144647</v>
      </c>
      <c r="C105" s="30" t="str">
        <f t="shared" si="7"/>
        <v/>
      </c>
      <c r="D105" s="41" t="str">
        <f t="shared" si="8"/>
        <v/>
      </c>
      <c r="E105" s="16">
        <v>2391.79</v>
      </c>
      <c r="F105" s="16">
        <v>311.76</v>
      </c>
      <c r="G105" s="16">
        <v>12</v>
      </c>
      <c r="H105" s="16">
        <v>1508.92</v>
      </c>
      <c r="I105" s="14">
        <v>669.04</v>
      </c>
      <c r="J105" s="14">
        <v>1031.51</v>
      </c>
    </row>
    <row r="106" spans="1:10" ht="18" customHeight="1">
      <c r="A106" s="9">
        <v>42856</v>
      </c>
      <c r="B106" s="3">
        <v>1.1169709999999999</v>
      </c>
      <c r="C106" s="30" t="str">
        <f t="shared" si="7"/>
        <v/>
      </c>
      <c r="D106" s="41" t="str">
        <f t="shared" si="8"/>
        <v/>
      </c>
      <c r="E106" s="16">
        <v>2347.38</v>
      </c>
      <c r="F106" s="16">
        <v>304.67</v>
      </c>
      <c r="G106" s="16">
        <v>13.18</v>
      </c>
      <c r="H106" s="16">
        <v>1475.69</v>
      </c>
      <c r="I106" s="14">
        <v>652.04</v>
      </c>
      <c r="J106" s="14">
        <v>988.04</v>
      </c>
    </row>
    <row r="107" spans="1:10" ht="18" customHeight="1">
      <c r="A107" s="9">
        <v>42826</v>
      </c>
      <c r="B107" s="3">
        <v>1.0832040000000001</v>
      </c>
      <c r="C107" s="30" t="str">
        <f t="shared" si="7"/>
        <v/>
      </c>
      <c r="D107" s="41" t="str">
        <f t="shared" si="8"/>
        <v/>
      </c>
      <c r="E107" s="16">
        <v>2205.44</v>
      </c>
      <c r="F107" s="16">
        <v>287.20999999999998</v>
      </c>
      <c r="G107" s="16">
        <v>12.27</v>
      </c>
      <c r="H107" s="16">
        <v>1392.27</v>
      </c>
      <c r="I107" s="14">
        <v>628.24</v>
      </c>
      <c r="J107" s="14">
        <v>940.33</v>
      </c>
    </row>
    <row r="108" spans="1:10" ht="18" customHeight="1">
      <c r="A108" s="9">
        <v>42795</v>
      </c>
      <c r="B108" s="3">
        <v>1.062262</v>
      </c>
      <c r="C108" s="30" t="str">
        <f t="shared" si="7"/>
        <v/>
      </c>
      <c r="D108" s="41" t="str">
        <f t="shared" si="8"/>
        <v/>
      </c>
      <c r="E108" s="16">
        <v>2160.23</v>
      </c>
      <c r="F108" s="16">
        <v>280.64</v>
      </c>
      <c r="G108" s="16">
        <v>11.06</v>
      </c>
      <c r="H108" s="16">
        <v>1362.28</v>
      </c>
      <c r="I108" s="14">
        <v>619.28</v>
      </c>
      <c r="J108" s="14">
        <v>921.26</v>
      </c>
    </row>
    <row r="109" spans="1:10" ht="18" customHeight="1">
      <c r="A109" s="9">
        <v>42767</v>
      </c>
      <c r="B109" s="3">
        <v>1.0296369999999999</v>
      </c>
      <c r="C109" s="30" t="str">
        <f t="shared" si="7"/>
        <v/>
      </c>
      <c r="D109" s="41" t="str">
        <f t="shared" si="8"/>
        <v/>
      </c>
      <c r="E109" s="16">
        <v>2091.64</v>
      </c>
      <c r="F109" s="16">
        <v>270.06</v>
      </c>
      <c r="G109" s="16">
        <v>10.64</v>
      </c>
      <c r="H109" s="16">
        <v>1307.68</v>
      </c>
      <c r="I109" s="13">
        <v>612.20000000000005</v>
      </c>
      <c r="J109" s="14">
        <v>916.75</v>
      </c>
    </row>
    <row r="110" spans="1:10" ht="18" customHeight="1">
      <c r="A110" s="9">
        <v>42736</v>
      </c>
      <c r="B110" s="3">
        <v>1.0175460000000001</v>
      </c>
      <c r="C110" s="30" t="str">
        <f t="shared" si="7"/>
        <v/>
      </c>
      <c r="D110" s="41" t="str">
        <f t="shared" si="8"/>
        <v/>
      </c>
      <c r="E110" s="16">
        <v>2067.5700000000002</v>
      </c>
      <c r="F110" s="16">
        <v>268.08999999999997</v>
      </c>
      <c r="G110" s="16">
        <v>12.53</v>
      </c>
      <c r="H110" s="16">
        <v>1305.02</v>
      </c>
      <c r="I110" s="14">
        <v>616.13</v>
      </c>
      <c r="J110" s="14">
        <v>904.84</v>
      </c>
    </row>
    <row r="111" spans="1:10" ht="18" customHeight="1">
      <c r="A111" s="9">
        <v>42705</v>
      </c>
      <c r="B111" s="3">
        <v>0.99650899999999998</v>
      </c>
      <c r="C111" s="30" t="str">
        <f t="shared" si="7"/>
        <v/>
      </c>
      <c r="D111" s="41" t="str">
        <f t="shared" si="8"/>
        <v/>
      </c>
      <c r="E111" s="16">
        <v>2026.46</v>
      </c>
      <c r="F111" s="16">
        <v>260.01</v>
      </c>
      <c r="G111" s="16">
        <v>11.51</v>
      </c>
      <c r="H111" s="16">
        <v>1260.6600000000001</v>
      </c>
      <c r="I111" s="14">
        <v>631.44000000000005</v>
      </c>
      <c r="J111" s="14">
        <v>936.09</v>
      </c>
    </row>
    <row r="112" spans="1:10" ht="18" customHeight="1">
      <c r="A112" s="9">
        <v>42675</v>
      </c>
      <c r="B112" s="3">
        <v>0.98469499999999999</v>
      </c>
      <c r="C112" s="30" t="str">
        <f t="shared" si="7"/>
        <v/>
      </c>
      <c r="D112" s="41" t="str">
        <f t="shared" si="8"/>
        <v/>
      </c>
      <c r="E112" s="16">
        <v>1983.48</v>
      </c>
      <c r="F112" s="16">
        <v>254.26</v>
      </c>
      <c r="G112" s="16">
        <v>12.8</v>
      </c>
      <c r="H112" s="16">
        <v>1218.23</v>
      </c>
      <c r="I112" s="14">
        <v>596.11</v>
      </c>
      <c r="J112" s="14">
        <v>892.08</v>
      </c>
    </row>
    <row r="113" spans="1:10" ht="18" customHeight="1">
      <c r="A113" s="9">
        <v>42644</v>
      </c>
      <c r="B113" s="3">
        <v>0.99016099999999996</v>
      </c>
      <c r="C113" s="30" t="str">
        <f t="shared" si="7"/>
        <v/>
      </c>
      <c r="D113" s="41" t="str">
        <f t="shared" si="8"/>
        <v/>
      </c>
      <c r="E113" s="16">
        <v>2008.19</v>
      </c>
      <c r="F113" s="16">
        <v>255.93</v>
      </c>
      <c r="G113" s="16">
        <v>14.61</v>
      </c>
      <c r="H113" s="16">
        <v>1229.5</v>
      </c>
      <c r="I113" s="14">
        <v>624.67999999999995</v>
      </c>
      <c r="J113" s="14">
        <v>939.76</v>
      </c>
    </row>
    <row r="114" spans="1:10" ht="18" customHeight="1">
      <c r="A114" s="9">
        <v>42614</v>
      </c>
      <c r="B114" s="3">
        <v>1.081105</v>
      </c>
      <c r="C114" s="30" t="str">
        <f t="shared" si="7"/>
        <v/>
      </c>
      <c r="D114" s="41" t="str">
        <f t="shared" si="8"/>
        <v/>
      </c>
      <c r="E114" s="16">
        <v>2043.63</v>
      </c>
      <c r="F114" s="16">
        <v>257.49</v>
      </c>
      <c r="G114" s="16">
        <v>14.11</v>
      </c>
      <c r="H114" s="16">
        <v>1237.6400000000001</v>
      </c>
      <c r="I114" s="14">
        <v>681.21</v>
      </c>
      <c r="J114" s="14">
        <v>1010.18</v>
      </c>
    </row>
    <row r="115" spans="1:10" ht="18" customHeight="1">
      <c r="A115" s="9">
        <v>42583</v>
      </c>
      <c r="B115" s="3">
        <v>1.076362</v>
      </c>
      <c r="C115" s="30" t="str">
        <f t="shared" si="7"/>
        <v/>
      </c>
      <c r="D115" s="41" t="str">
        <f t="shared" si="8"/>
        <v/>
      </c>
      <c r="E115" s="16">
        <v>2034.65</v>
      </c>
      <c r="F115" s="16">
        <v>256.87</v>
      </c>
      <c r="G115" s="16">
        <v>11.56</v>
      </c>
      <c r="H115" s="16">
        <v>1234.47</v>
      </c>
      <c r="I115" s="14">
        <v>663.69</v>
      </c>
      <c r="J115" s="13">
        <v>997.9</v>
      </c>
    </row>
    <row r="116" spans="1:10" ht="18" customHeight="1">
      <c r="A116" s="9">
        <v>42552</v>
      </c>
      <c r="B116" s="3">
        <v>1.0668260000000001</v>
      </c>
      <c r="C116" s="30" t="str">
        <f t="shared" si="7"/>
        <v/>
      </c>
      <c r="D116" s="41" t="str">
        <f t="shared" si="8"/>
        <v/>
      </c>
      <c r="E116" s="16">
        <v>2016.19</v>
      </c>
      <c r="F116" s="16">
        <v>251.48</v>
      </c>
      <c r="G116" s="16">
        <v>12.6</v>
      </c>
      <c r="H116" s="16">
        <v>1214.74</v>
      </c>
      <c r="I116" s="14">
        <v>706.24</v>
      </c>
      <c r="J116" s="15">
        <v>1058</v>
      </c>
    </row>
    <row r="117" spans="1:10" ht="18" customHeight="1">
      <c r="A117" s="9">
        <v>42522</v>
      </c>
      <c r="B117" s="3">
        <v>1.0395460000000001</v>
      </c>
      <c r="C117" s="30" t="str">
        <f t="shared" si="7"/>
        <v/>
      </c>
      <c r="D117" s="41" t="str">
        <f t="shared" si="8"/>
        <v/>
      </c>
      <c r="E117" s="16">
        <v>1970.35</v>
      </c>
      <c r="F117" s="16">
        <v>244.14</v>
      </c>
      <c r="G117" s="16">
        <v>13.9</v>
      </c>
      <c r="H117" s="16">
        <v>1175.52</v>
      </c>
      <c r="I117" s="14">
        <v>675.09</v>
      </c>
      <c r="J117" s="14">
        <v>1032.75</v>
      </c>
    </row>
    <row r="118" spans="1:10" ht="18" customHeight="1">
      <c r="A118" s="9">
        <v>42491</v>
      </c>
      <c r="B118" s="3">
        <v>1.0459909999999999</v>
      </c>
      <c r="C118" s="30" t="str">
        <f t="shared" si="7"/>
        <v/>
      </c>
      <c r="D118" s="41" t="str">
        <f t="shared" si="8"/>
        <v/>
      </c>
      <c r="E118" s="16">
        <v>1983.4</v>
      </c>
      <c r="F118" s="16">
        <v>243.63</v>
      </c>
      <c r="G118" s="16">
        <v>11.81</v>
      </c>
      <c r="H118" s="16">
        <v>1175.94</v>
      </c>
      <c r="I118" s="14">
        <v>698.45</v>
      </c>
      <c r="J118" s="14">
        <v>1068.73</v>
      </c>
    </row>
    <row r="119" spans="1:10" ht="18" customHeight="1">
      <c r="A119" s="9">
        <v>42461</v>
      </c>
      <c r="B119" s="3">
        <v>1.123364</v>
      </c>
      <c r="C119" s="30" t="str">
        <f t="shared" si="7"/>
        <v/>
      </c>
      <c r="D119" s="41" t="str">
        <f t="shared" si="8"/>
        <v/>
      </c>
      <c r="E119" s="16">
        <v>1994.15</v>
      </c>
      <c r="F119" s="16">
        <v>245.2</v>
      </c>
      <c r="G119" s="16">
        <v>12.42</v>
      </c>
      <c r="H119" s="16">
        <v>1185.6099999999999</v>
      </c>
      <c r="I119" s="14">
        <v>699.77</v>
      </c>
      <c r="J119" s="14">
        <v>1065.27</v>
      </c>
    </row>
    <row r="120" spans="1:10" ht="18" customHeight="1">
      <c r="A120" s="9">
        <v>42430</v>
      </c>
      <c r="B120" s="3">
        <v>1.1237200000000001</v>
      </c>
      <c r="C120" s="30" t="str">
        <f t="shared" si="7"/>
        <v/>
      </c>
      <c r="D120" s="41" t="str">
        <f t="shared" si="8"/>
        <v/>
      </c>
      <c r="E120" s="16">
        <v>1995.85</v>
      </c>
      <c r="F120" s="16">
        <v>245.86</v>
      </c>
      <c r="G120" s="16">
        <v>12.33</v>
      </c>
      <c r="H120" s="16">
        <v>1190.68</v>
      </c>
      <c r="I120" s="14">
        <v>688.38</v>
      </c>
      <c r="J120" s="14">
        <v>1073.68</v>
      </c>
    </row>
    <row r="121" spans="1:10" ht="18" customHeight="1">
      <c r="A121" s="9">
        <v>42401</v>
      </c>
      <c r="B121" s="3">
        <v>1.0790029999999999</v>
      </c>
      <c r="C121" s="30" t="str">
        <f t="shared" si="7"/>
        <v/>
      </c>
      <c r="D121" s="41" t="str">
        <f t="shared" si="8"/>
        <v/>
      </c>
      <c r="E121" s="16">
        <v>1916.66</v>
      </c>
      <c r="F121" s="16">
        <v>234.63</v>
      </c>
      <c r="G121" s="16">
        <v>17.559999999999999</v>
      </c>
      <c r="H121" s="16">
        <v>1142.04</v>
      </c>
      <c r="I121" s="14">
        <v>651.62</v>
      </c>
      <c r="J121" s="14">
        <v>1045.53</v>
      </c>
    </row>
    <row r="122" spans="1:10" ht="18" customHeight="1">
      <c r="A122" s="9">
        <v>42370</v>
      </c>
      <c r="B122" s="3">
        <v>1.0715060000000001</v>
      </c>
      <c r="C122" s="30" t="str">
        <f t="shared" si="7"/>
        <v/>
      </c>
      <c r="D122" s="41" t="str">
        <f t="shared" si="8"/>
        <v/>
      </c>
      <c r="E122" s="16">
        <v>1912.06</v>
      </c>
      <c r="F122" s="16">
        <v>232.1</v>
      </c>
      <c r="G122" s="16">
        <v>17.93</v>
      </c>
      <c r="H122" s="16">
        <v>1127.96</v>
      </c>
      <c r="I122" s="13">
        <v>682.8</v>
      </c>
      <c r="J122" s="14">
        <v>1128.24</v>
      </c>
    </row>
    <row r="123" spans="1:10" ht="18" customHeight="1">
      <c r="A123" s="9">
        <v>42339</v>
      </c>
      <c r="B123" s="3">
        <v>1.1016900000000001</v>
      </c>
      <c r="C123" s="30" t="str">
        <f t="shared" si="7"/>
        <v/>
      </c>
      <c r="D123" s="41" t="str">
        <f t="shared" si="8"/>
        <v/>
      </c>
      <c r="E123" s="16">
        <v>1961.31</v>
      </c>
      <c r="F123" s="16">
        <v>240.38</v>
      </c>
      <c r="G123" s="16">
        <v>14.18</v>
      </c>
      <c r="H123" s="16">
        <v>1167.53</v>
      </c>
      <c r="I123" s="14">
        <v>682.35</v>
      </c>
      <c r="J123" s="14">
        <v>1095.46</v>
      </c>
    </row>
    <row r="124" spans="1:10" ht="18" customHeight="1">
      <c r="A124" s="9">
        <v>42309</v>
      </c>
      <c r="B124" s="3">
        <v>1.1182080000000001</v>
      </c>
      <c r="C124" s="30" t="str">
        <f t="shared" si="7"/>
        <v/>
      </c>
      <c r="D124" s="41" t="str">
        <f t="shared" si="8"/>
        <v/>
      </c>
      <c r="E124" s="16">
        <v>1991.97</v>
      </c>
      <c r="F124" s="16">
        <v>244.24</v>
      </c>
      <c r="G124" s="16">
        <v>14.37</v>
      </c>
      <c r="H124" s="16">
        <v>1176.8</v>
      </c>
      <c r="I124" s="14">
        <v>688.38</v>
      </c>
      <c r="J124" s="14">
        <v>1102.28</v>
      </c>
    </row>
    <row r="125" spans="1:10" ht="18" customHeight="1">
      <c r="A125" s="9">
        <v>42278</v>
      </c>
      <c r="B125" s="3">
        <v>1.1388529999999999</v>
      </c>
      <c r="C125" s="30" t="str">
        <f t="shared" si="7"/>
        <v/>
      </c>
      <c r="D125" s="41" t="str">
        <f t="shared" si="8"/>
        <v/>
      </c>
      <c r="E125" s="16">
        <v>2029.47</v>
      </c>
      <c r="F125" s="16">
        <v>249.41</v>
      </c>
      <c r="G125" s="16">
        <v>14.22</v>
      </c>
      <c r="H125" s="16">
        <v>1207.32</v>
      </c>
      <c r="I125" s="14">
        <v>683.63</v>
      </c>
      <c r="J125" s="14">
        <v>1069.95</v>
      </c>
    </row>
    <row r="126" spans="1:10" ht="18" customHeight="1">
      <c r="A126" s="9">
        <v>42248</v>
      </c>
      <c r="B126" s="3">
        <v>1.100371</v>
      </c>
      <c r="C126" s="30" t="str">
        <f t="shared" si="7"/>
        <v/>
      </c>
      <c r="D126" s="41" t="str">
        <f t="shared" si="8"/>
        <v/>
      </c>
      <c r="E126" s="16">
        <v>1962.81</v>
      </c>
      <c r="F126" s="16">
        <v>236.71</v>
      </c>
      <c r="G126" s="16">
        <v>20.48</v>
      </c>
      <c r="H126" s="16">
        <v>1136.19</v>
      </c>
      <c r="I126" s="14">
        <v>678.48</v>
      </c>
      <c r="J126" s="14">
        <v>1068.3499999999999</v>
      </c>
    </row>
    <row r="127" spans="1:10" ht="18" customHeight="1">
      <c r="A127" s="9">
        <v>42217</v>
      </c>
      <c r="B127" s="3">
        <v>1.076578</v>
      </c>
      <c r="C127" s="30" t="str">
        <f t="shared" si="7"/>
        <v/>
      </c>
      <c r="D127" s="41" t="str">
        <f t="shared" si="8"/>
        <v/>
      </c>
      <c r="E127" s="16">
        <v>1941.49</v>
      </c>
      <c r="F127" s="16">
        <v>232.8</v>
      </c>
      <c r="G127" s="16">
        <v>19.75</v>
      </c>
      <c r="H127" s="16">
        <v>1113.48</v>
      </c>
      <c r="I127" s="14">
        <v>687.11</v>
      </c>
      <c r="J127" s="14">
        <v>1115.31</v>
      </c>
    </row>
    <row r="128" spans="1:10" ht="18" customHeight="1">
      <c r="A128" s="9">
        <v>42186</v>
      </c>
      <c r="B128" s="3">
        <v>1.118217</v>
      </c>
      <c r="C128" s="30" t="str">
        <f t="shared" si="7"/>
        <v/>
      </c>
      <c r="D128" s="41" t="str">
        <f t="shared" si="8"/>
        <v/>
      </c>
      <c r="E128" s="16">
        <v>2030.16</v>
      </c>
      <c r="F128" s="16">
        <v>244.3</v>
      </c>
      <c r="G128" s="16">
        <v>13.54</v>
      </c>
      <c r="H128" s="16">
        <v>1173</v>
      </c>
      <c r="I128" s="14">
        <v>725.06</v>
      </c>
      <c r="J128" s="14">
        <v>1163.3599999999999</v>
      </c>
    </row>
    <row r="129" spans="1:10" ht="18" customHeight="1">
      <c r="A129" s="9">
        <v>42156</v>
      </c>
      <c r="B129" s="3">
        <v>1.1449069999999999</v>
      </c>
      <c r="C129" s="30" t="str">
        <f t="shared" si="7"/>
        <v/>
      </c>
      <c r="D129" s="41" t="str">
        <f t="shared" si="8"/>
        <v/>
      </c>
      <c r="E129" s="16">
        <v>2074.1999999999998</v>
      </c>
      <c r="F129" s="16">
        <v>252.27</v>
      </c>
      <c r="G129" s="16">
        <v>14.45</v>
      </c>
      <c r="H129" s="16">
        <v>1215.6500000000001</v>
      </c>
      <c r="I129" s="14">
        <v>742.27</v>
      </c>
      <c r="J129" s="14">
        <v>1139.1500000000001</v>
      </c>
    </row>
    <row r="130" spans="1:10" ht="18" customHeight="1">
      <c r="A130" s="9">
        <v>42125</v>
      </c>
      <c r="B130" s="3">
        <v>1.1653309999999999</v>
      </c>
      <c r="C130" s="30" t="str">
        <f t="shared" si="7"/>
        <v/>
      </c>
      <c r="D130" s="41" t="str">
        <f t="shared" si="8"/>
        <v/>
      </c>
      <c r="E130" s="16">
        <v>2114.8000000000002</v>
      </c>
      <c r="F130" s="16">
        <v>260.39</v>
      </c>
      <c r="G130" s="16">
        <v>12.59</v>
      </c>
      <c r="H130" s="16">
        <v>1262.31</v>
      </c>
      <c r="I130" s="14">
        <v>711.39</v>
      </c>
      <c r="J130" s="14">
        <v>1129.76</v>
      </c>
    </row>
    <row r="131" spans="1:10" ht="18" customHeight="1">
      <c r="A131" s="9">
        <v>42095</v>
      </c>
      <c r="B131" s="3">
        <v>1.2403200000000001</v>
      </c>
      <c r="C131" s="30" t="str">
        <f t="shared" si="7"/>
        <v/>
      </c>
      <c r="D131" s="41" t="str">
        <f t="shared" si="8"/>
        <v/>
      </c>
      <c r="E131" s="16">
        <v>2127.17</v>
      </c>
      <c r="F131" s="16">
        <v>266.42</v>
      </c>
      <c r="G131" s="16">
        <v>11.76</v>
      </c>
      <c r="H131" s="16">
        <v>1295.9000000000001</v>
      </c>
      <c r="I131" s="14">
        <v>689.01</v>
      </c>
      <c r="J131" s="13">
        <v>1104.2</v>
      </c>
    </row>
    <row r="132" spans="1:10" ht="18" customHeight="1">
      <c r="A132" s="9">
        <v>42064</v>
      </c>
      <c r="B132" s="3">
        <v>1.1897869999999999</v>
      </c>
      <c r="C132" s="30" t="str">
        <f t="shared" ref="C132:C195" si="9">IF(B132&lt;=C$1, "Risk", "")</f>
        <v/>
      </c>
      <c r="D132" s="41" t="str">
        <f t="shared" si="8"/>
        <v/>
      </c>
      <c r="E132" s="16">
        <v>2041.03</v>
      </c>
      <c r="F132" s="16">
        <v>257.27999999999997</v>
      </c>
      <c r="G132" s="16">
        <v>11.09</v>
      </c>
      <c r="H132" s="16">
        <v>1244.9100000000001</v>
      </c>
      <c r="I132" s="14">
        <v>650.49</v>
      </c>
      <c r="J132" s="14">
        <v>1050.1199999999999</v>
      </c>
    </row>
    <row r="133" spans="1:10" ht="18" customHeight="1">
      <c r="A133" s="9">
        <v>42036</v>
      </c>
      <c r="B133" s="3">
        <v>1.1522790000000001</v>
      </c>
      <c r="C133" s="30" t="str">
        <f t="shared" si="9"/>
        <v/>
      </c>
      <c r="D133" s="41" t="str">
        <f t="shared" ref="D133:D196" si="10">IF(B133&lt;=D$1, "Risk", "")</f>
        <v/>
      </c>
      <c r="E133" s="16">
        <v>1985.8</v>
      </c>
      <c r="F133" s="16">
        <v>251.46</v>
      </c>
      <c r="G133" s="16">
        <v>11.11</v>
      </c>
      <c r="H133" s="16">
        <v>1223.93</v>
      </c>
      <c r="I133" s="14">
        <v>624.55999999999995</v>
      </c>
      <c r="J133" s="13">
        <v>1021.6</v>
      </c>
    </row>
    <row r="134" spans="1:10" ht="18" customHeight="1">
      <c r="A134" s="9">
        <v>42005</v>
      </c>
      <c r="B134" s="3">
        <v>1.1316949999999999</v>
      </c>
      <c r="C134" s="30" t="str">
        <f t="shared" si="9"/>
        <v/>
      </c>
      <c r="D134" s="41" t="str">
        <f t="shared" si="10"/>
        <v/>
      </c>
      <c r="E134" s="16">
        <v>1949.26</v>
      </c>
      <c r="F134" s="16">
        <v>249.88</v>
      </c>
      <c r="G134" s="16">
        <v>13.67</v>
      </c>
      <c r="H134" s="16">
        <v>1219.56</v>
      </c>
      <c r="I134" s="14">
        <v>591.58000000000004</v>
      </c>
      <c r="J134" s="14">
        <v>965.87</v>
      </c>
    </row>
    <row r="135" spans="1:10" ht="18" customHeight="1">
      <c r="A135" s="9">
        <v>41974</v>
      </c>
      <c r="B135" s="3">
        <v>1.1122719999999999</v>
      </c>
      <c r="C135" s="30" t="str">
        <f t="shared" si="9"/>
        <v/>
      </c>
      <c r="D135" s="41" t="str">
        <f t="shared" si="10"/>
        <v/>
      </c>
      <c r="E135" s="16">
        <v>1915.59</v>
      </c>
      <c r="F135" s="16">
        <v>244.05</v>
      </c>
      <c r="G135" s="16">
        <v>12.97</v>
      </c>
      <c r="H135" s="16">
        <v>1184.5999999999999</v>
      </c>
      <c r="I135" s="14">
        <v>542.97</v>
      </c>
      <c r="J135" s="14">
        <v>894.44</v>
      </c>
    </row>
    <row r="136" spans="1:10" ht="18" customHeight="1">
      <c r="A136" s="9">
        <v>41944</v>
      </c>
      <c r="B136" s="3">
        <v>1.139229</v>
      </c>
      <c r="C136" s="30" t="str">
        <f t="shared" si="9"/>
        <v/>
      </c>
      <c r="D136" s="41" t="str">
        <f t="shared" si="10"/>
        <v/>
      </c>
      <c r="E136" s="16">
        <v>1980.78</v>
      </c>
      <c r="F136" s="16">
        <v>253.7</v>
      </c>
      <c r="G136" s="16">
        <v>11.59</v>
      </c>
      <c r="H136" s="16">
        <v>1226.24</v>
      </c>
      <c r="I136" s="14">
        <v>545.08000000000004</v>
      </c>
      <c r="J136" s="14">
        <v>896.82</v>
      </c>
    </row>
    <row r="137" spans="1:10" ht="18" customHeight="1">
      <c r="A137" s="9">
        <v>41913</v>
      </c>
      <c r="B137" s="3">
        <v>1.113874</v>
      </c>
      <c r="C137" s="30" t="str">
        <f t="shared" si="9"/>
        <v/>
      </c>
      <c r="D137" s="41" t="str">
        <f t="shared" si="10"/>
        <v/>
      </c>
      <c r="E137" s="16">
        <v>1964.43</v>
      </c>
      <c r="F137" s="16">
        <v>250.45</v>
      </c>
      <c r="G137" s="16">
        <v>13.99</v>
      </c>
      <c r="H137" s="16">
        <v>1207.9000000000001</v>
      </c>
      <c r="I137" s="13">
        <v>558.70000000000005</v>
      </c>
      <c r="J137" s="14">
        <v>920.41</v>
      </c>
    </row>
    <row r="138" spans="1:10" ht="18" customHeight="1">
      <c r="A138" s="9">
        <v>41883</v>
      </c>
      <c r="B138" s="3">
        <v>1.145802</v>
      </c>
      <c r="C138" s="30" t="str">
        <f t="shared" si="9"/>
        <v/>
      </c>
      <c r="D138" s="41" t="str">
        <f t="shared" si="10"/>
        <v/>
      </c>
      <c r="E138" s="16">
        <v>2020.09</v>
      </c>
      <c r="F138" s="16">
        <v>256.77</v>
      </c>
      <c r="G138" s="16">
        <v>12.69</v>
      </c>
      <c r="H138" s="16">
        <v>1240.73</v>
      </c>
      <c r="I138" s="14">
        <v>573.22</v>
      </c>
      <c r="J138" s="14">
        <v>954.34</v>
      </c>
    </row>
    <row r="139" spans="1:10" ht="18" customHeight="1">
      <c r="A139" s="9">
        <v>41852</v>
      </c>
      <c r="B139" s="3">
        <v>1.1735180000000001</v>
      </c>
      <c r="C139" s="30" t="str">
        <f t="shared" si="9"/>
        <v/>
      </c>
      <c r="D139" s="41" t="str">
        <f t="shared" si="10"/>
        <v/>
      </c>
      <c r="E139" s="16">
        <v>2068.54</v>
      </c>
      <c r="F139" s="16">
        <v>265.41000000000003</v>
      </c>
      <c r="G139" s="16">
        <v>10.86</v>
      </c>
      <c r="H139" s="16">
        <v>1288.7</v>
      </c>
      <c r="I139" s="13">
        <v>570.20000000000005</v>
      </c>
      <c r="J139" s="14">
        <v>944.48</v>
      </c>
    </row>
    <row r="140" spans="1:10" ht="18" customHeight="1">
      <c r="A140" s="9">
        <v>41821</v>
      </c>
      <c r="B140" s="3">
        <v>1.176464</v>
      </c>
      <c r="C140" s="30" t="str">
        <f t="shared" si="9"/>
        <v/>
      </c>
      <c r="D140" s="41" t="str">
        <f t="shared" si="10"/>
        <v/>
      </c>
      <c r="E140" s="16">
        <v>2076.12</v>
      </c>
      <c r="F140" s="16">
        <v>269.68</v>
      </c>
      <c r="G140" s="16">
        <v>12.69</v>
      </c>
      <c r="H140" s="16">
        <v>1318.05</v>
      </c>
      <c r="I140" s="14">
        <v>536.32000000000005</v>
      </c>
      <c r="J140" s="14">
        <v>877.17</v>
      </c>
    </row>
    <row r="141" spans="1:10" ht="18" customHeight="1">
      <c r="A141" s="9">
        <v>41791</v>
      </c>
      <c r="B141" s="3">
        <v>1.14174</v>
      </c>
      <c r="C141" s="30" t="str">
        <f t="shared" si="9"/>
        <v/>
      </c>
      <c r="D141" s="41" t="str">
        <f t="shared" si="10"/>
        <v/>
      </c>
      <c r="E141" s="16">
        <v>2002.21</v>
      </c>
      <c r="F141" s="16">
        <v>260.56</v>
      </c>
      <c r="G141" s="16">
        <v>11.48</v>
      </c>
      <c r="H141" s="16">
        <v>1264.44</v>
      </c>
      <c r="I141" s="14">
        <v>537.05999999999995</v>
      </c>
      <c r="J141" s="14">
        <v>885.49</v>
      </c>
    </row>
    <row r="142" spans="1:10" ht="18" customHeight="1">
      <c r="A142" s="9">
        <v>41760</v>
      </c>
      <c r="B142" s="3">
        <v>1.137718</v>
      </c>
      <c r="C142" s="30" t="str">
        <f t="shared" si="9"/>
        <v/>
      </c>
      <c r="D142" s="41" t="str">
        <f t="shared" si="10"/>
        <v/>
      </c>
      <c r="E142" s="16">
        <v>1994.96</v>
      </c>
      <c r="F142" s="16">
        <v>259.94</v>
      </c>
      <c r="G142" s="16">
        <v>10.86</v>
      </c>
      <c r="H142" s="16">
        <v>1273.0899999999999</v>
      </c>
      <c r="I142" s="14">
        <v>546.53</v>
      </c>
      <c r="J142" s="14">
        <v>900.98</v>
      </c>
    </row>
    <row r="143" spans="1:10" ht="18" customHeight="1">
      <c r="A143" s="9">
        <v>41730</v>
      </c>
      <c r="B143" s="3">
        <v>1.091137</v>
      </c>
      <c r="C143" s="30" t="str">
        <f t="shared" si="9"/>
        <v/>
      </c>
      <c r="D143" s="41" t="str">
        <f t="shared" si="10"/>
        <v/>
      </c>
      <c r="E143" s="16">
        <v>1961.79</v>
      </c>
      <c r="F143" s="16">
        <v>255.33</v>
      </c>
      <c r="G143" s="16">
        <v>11.6</v>
      </c>
      <c r="H143" s="16">
        <v>1246.49</v>
      </c>
      <c r="I143" s="14">
        <v>559.34</v>
      </c>
      <c r="J143" s="14">
        <v>933.77</v>
      </c>
    </row>
    <row r="144" spans="1:10" ht="18" customHeight="1">
      <c r="A144" s="9">
        <v>41699</v>
      </c>
      <c r="B144" s="3">
        <v>1.179996</v>
      </c>
      <c r="C144" s="30" t="str">
        <f t="shared" si="9"/>
        <v/>
      </c>
      <c r="D144" s="41" t="str">
        <f t="shared" si="10"/>
        <v/>
      </c>
      <c r="E144" s="16">
        <v>1985.61</v>
      </c>
      <c r="F144" s="16">
        <v>258.11</v>
      </c>
      <c r="G144" s="16">
        <v>13.82</v>
      </c>
      <c r="H144" s="16">
        <v>1261.1300000000001</v>
      </c>
      <c r="I144" s="14">
        <v>541.58000000000004</v>
      </c>
      <c r="J144" s="14">
        <v>903.93</v>
      </c>
    </row>
    <row r="145" spans="1:10" ht="18" customHeight="1">
      <c r="A145" s="9">
        <v>41671</v>
      </c>
      <c r="B145" s="3">
        <v>1.172771</v>
      </c>
      <c r="C145" s="30" t="str">
        <f t="shared" si="9"/>
        <v/>
      </c>
      <c r="D145" s="41" t="str">
        <f t="shared" si="10"/>
        <v/>
      </c>
      <c r="E145" s="16">
        <v>1979.99</v>
      </c>
      <c r="F145" s="16">
        <v>258.41000000000003</v>
      </c>
      <c r="G145" s="16">
        <v>13.49</v>
      </c>
      <c r="H145" s="16">
        <v>1263.67</v>
      </c>
      <c r="I145" s="14">
        <v>528.96</v>
      </c>
      <c r="J145" s="14">
        <v>896.99</v>
      </c>
    </row>
    <row r="146" spans="1:10" ht="18" customHeight="1">
      <c r="A146" s="9">
        <v>41640</v>
      </c>
      <c r="B146" s="3">
        <v>1.150638</v>
      </c>
      <c r="C146" s="30" t="str">
        <f t="shared" si="9"/>
        <v/>
      </c>
      <c r="D146" s="41" t="str">
        <f t="shared" si="10"/>
        <v/>
      </c>
      <c r="E146" s="16">
        <v>1941.15</v>
      </c>
      <c r="F146" s="16">
        <v>252.89</v>
      </c>
      <c r="G146" s="16">
        <v>14.43</v>
      </c>
      <c r="H146" s="16">
        <v>1248.94</v>
      </c>
      <c r="I146" s="13">
        <v>515.20000000000005</v>
      </c>
      <c r="J146" s="14">
        <v>884.82</v>
      </c>
    </row>
    <row r="147" spans="1:10" ht="18" customHeight="1">
      <c r="A147" s="9">
        <v>41609</v>
      </c>
      <c r="B147" s="3">
        <v>1.1950190000000001</v>
      </c>
      <c r="C147" s="30" t="str">
        <f t="shared" si="9"/>
        <v/>
      </c>
      <c r="D147" s="41" t="str">
        <f t="shared" si="10"/>
        <v/>
      </c>
      <c r="E147" s="16">
        <v>2011.34</v>
      </c>
      <c r="F147" s="16">
        <v>264.24</v>
      </c>
      <c r="G147" s="16">
        <v>12.84</v>
      </c>
      <c r="H147" s="16">
        <v>1303.6600000000001</v>
      </c>
      <c r="I147" s="14">
        <v>499.99</v>
      </c>
      <c r="J147" s="14">
        <v>855.88</v>
      </c>
    </row>
    <row r="148" spans="1:10" ht="18" customHeight="1">
      <c r="A148" s="9">
        <v>41579</v>
      </c>
      <c r="B148" s="3">
        <v>1.2160010000000001</v>
      </c>
      <c r="C148" s="30" t="str">
        <f t="shared" si="9"/>
        <v/>
      </c>
      <c r="D148" s="41" t="str">
        <f t="shared" si="10"/>
        <v/>
      </c>
      <c r="E148" s="16">
        <v>2044.87</v>
      </c>
      <c r="F148" s="16">
        <v>269.57</v>
      </c>
      <c r="G148" s="16">
        <v>14.42</v>
      </c>
      <c r="H148" s="16">
        <v>1322.13</v>
      </c>
      <c r="I148" s="14">
        <v>517.05999999999995</v>
      </c>
      <c r="J148" s="14">
        <v>885.35</v>
      </c>
    </row>
    <row r="149" spans="1:10" ht="18" customHeight="1">
      <c r="A149" s="9">
        <v>41548</v>
      </c>
      <c r="B149" s="3">
        <v>1.201624</v>
      </c>
      <c r="C149" s="30" t="str">
        <f t="shared" si="9"/>
        <v/>
      </c>
      <c r="D149" s="41" t="str">
        <f t="shared" si="10"/>
        <v/>
      </c>
      <c r="E149" s="16">
        <v>2030.09</v>
      </c>
      <c r="F149" s="16">
        <v>266.91000000000003</v>
      </c>
      <c r="G149" s="16">
        <v>14.41</v>
      </c>
      <c r="H149" s="16">
        <v>1315.77</v>
      </c>
      <c r="I149" s="14">
        <v>532.44000000000005</v>
      </c>
      <c r="J149" s="14">
        <v>910.62</v>
      </c>
    </row>
    <row r="150" spans="1:10" ht="18" customHeight="1">
      <c r="A150" s="9">
        <v>41518</v>
      </c>
      <c r="B150" s="3">
        <v>1.1809989999999999</v>
      </c>
      <c r="C150" s="30" t="str">
        <f t="shared" si="9"/>
        <v/>
      </c>
      <c r="D150" s="41" t="str">
        <f t="shared" si="10"/>
        <v/>
      </c>
      <c r="E150" s="16">
        <v>1996.96</v>
      </c>
      <c r="F150" s="16">
        <v>260.91000000000003</v>
      </c>
      <c r="G150" s="16">
        <v>15.38</v>
      </c>
      <c r="H150" s="16">
        <v>1287.3800000000001</v>
      </c>
      <c r="I150" s="14">
        <v>534.89</v>
      </c>
      <c r="J150" s="14">
        <v>917.72</v>
      </c>
    </row>
    <row r="151" spans="1:10" ht="18" customHeight="1">
      <c r="A151" s="9">
        <v>41487</v>
      </c>
      <c r="B151" s="3">
        <v>1.140471</v>
      </c>
      <c r="C151" s="30" t="str">
        <f t="shared" si="9"/>
        <v/>
      </c>
      <c r="D151" s="41" t="str">
        <f t="shared" si="10"/>
        <v/>
      </c>
      <c r="E151" s="16">
        <v>1926.36</v>
      </c>
      <c r="F151" s="16">
        <v>251.74</v>
      </c>
      <c r="G151" s="16">
        <v>15.73</v>
      </c>
      <c r="H151" s="16">
        <v>1237.3499999999999</v>
      </c>
      <c r="I151" s="14">
        <v>516.74</v>
      </c>
      <c r="J151" s="13">
        <v>874.7</v>
      </c>
    </row>
    <row r="152" spans="1:10" ht="18" customHeight="1">
      <c r="A152" s="9">
        <v>41456</v>
      </c>
      <c r="B152" s="3">
        <v>1.1277759999999999</v>
      </c>
      <c r="C152" s="30" t="str">
        <f t="shared" si="9"/>
        <v/>
      </c>
      <c r="D152" s="41" t="str">
        <f t="shared" si="10"/>
        <v/>
      </c>
      <c r="E152" s="16">
        <v>1914.03</v>
      </c>
      <c r="F152" s="16">
        <v>247.99</v>
      </c>
      <c r="G152" s="16">
        <v>16.260000000000002</v>
      </c>
      <c r="H152" s="16">
        <v>1224.78</v>
      </c>
      <c r="I152" s="14">
        <v>554.30999999999995</v>
      </c>
      <c r="J152" s="14">
        <v>961.94</v>
      </c>
    </row>
    <row r="153" spans="1:10" ht="18" customHeight="1">
      <c r="A153" s="9">
        <v>41426</v>
      </c>
      <c r="B153" s="3">
        <v>1.1070580000000001</v>
      </c>
      <c r="C153" s="30" t="str">
        <f t="shared" si="9"/>
        <v/>
      </c>
      <c r="D153" s="41" t="str">
        <f t="shared" si="10"/>
        <v/>
      </c>
      <c r="E153" s="16">
        <v>1863.32</v>
      </c>
      <c r="F153" s="16">
        <v>242.27</v>
      </c>
      <c r="G153" s="16">
        <v>17.11</v>
      </c>
      <c r="H153" s="16">
        <v>1193.22</v>
      </c>
      <c r="I153" s="14">
        <v>519.05999999999995</v>
      </c>
      <c r="J153" s="14">
        <v>886.36</v>
      </c>
    </row>
    <row r="154" spans="1:10" ht="18" customHeight="1">
      <c r="A154" s="9">
        <v>41395</v>
      </c>
      <c r="B154" s="3">
        <v>1.186987</v>
      </c>
      <c r="C154" s="30" t="str">
        <f t="shared" si="9"/>
        <v/>
      </c>
      <c r="D154" s="41" t="str">
        <f t="shared" si="10"/>
        <v/>
      </c>
      <c r="E154" s="16">
        <v>2001.05</v>
      </c>
      <c r="F154" s="16">
        <v>261.47000000000003</v>
      </c>
      <c r="G154" s="16">
        <v>14.16</v>
      </c>
      <c r="H154" s="16">
        <v>1300.8900000000001</v>
      </c>
      <c r="I154" s="14">
        <v>577.87</v>
      </c>
      <c r="J154" s="14">
        <v>980.29</v>
      </c>
    </row>
    <row r="155" spans="1:10" ht="18" customHeight="1">
      <c r="A155" s="9">
        <v>41365</v>
      </c>
      <c r="B155" s="3">
        <v>1.1660159999999999</v>
      </c>
      <c r="C155" s="30" t="str">
        <f t="shared" si="9"/>
        <v/>
      </c>
      <c r="D155" s="41" t="str">
        <f t="shared" si="10"/>
        <v/>
      </c>
      <c r="E155" s="16">
        <v>1963.95</v>
      </c>
      <c r="F155" s="16">
        <v>255.72</v>
      </c>
      <c r="G155" s="16">
        <v>14.74</v>
      </c>
      <c r="H155" s="16">
        <v>1275.3499999999999</v>
      </c>
      <c r="I155" s="14">
        <v>563.87</v>
      </c>
      <c r="J155" s="14">
        <v>962.25</v>
      </c>
    </row>
    <row r="156" spans="1:10" ht="18" customHeight="1">
      <c r="A156" s="9">
        <v>41334</v>
      </c>
      <c r="B156" s="3">
        <v>1.2511699999999999</v>
      </c>
      <c r="C156" s="30" t="str">
        <f t="shared" si="9"/>
        <v/>
      </c>
      <c r="D156" s="41" t="str">
        <f t="shared" si="10"/>
        <v/>
      </c>
      <c r="E156" s="16">
        <v>2004.89</v>
      </c>
      <c r="F156" s="16">
        <v>263.39</v>
      </c>
      <c r="G156" s="16">
        <v>14.34</v>
      </c>
      <c r="H156" s="16">
        <v>1313.78</v>
      </c>
      <c r="I156" s="14">
        <v>555.02</v>
      </c>
      <c r="J156" s="14">
        <v>973.03</v>
      </c>
    </row>
    <row r="157" spans="1:10" ht="18" customHeight="1">
      <c r="A157" s="9">
        <v>41306</v>
      </c>
      <c r="B157" s="3">
        <v>1.2645219999999999</v>
      </c>
      <c r="C157" s="30" t="str">
        <f t="shared" si="9"/>
        <v/>
      </c>
      <c r="D157" s="41" t="str">
        <f t="shared" si="10"/>
        <v/>
      </c>
      <c r="E157" s="16">
        <v>2026.49</v>
      </c>
      <c r="F157" s="16">
        <v>268.01</v>
      </c>
      <c r="G157" s="16">
        <v>15.19</v>
      </c>
      <c r="H157" s="16">
        <v>1344.57</v>
      </c>
      <c r="I157" s="14">
        <v>535.87</v>
      </c>
      <c r="J157" s="14">
        <v>944.37</v>
      </c>
    </row>
    <row r="158" spans="1:10" ht="18" customHeight="1">
      <c r="A158" s="9">
        <v>41275</v>
      </c>
      <c r="B158" s="3">
        <v>1.22597</v>
      </c>
      <c r="C158" s="30" t="str">
        <f t="shared" si="9"/>
        <v/>
      </c>
      <c r="D158" s="41" t="str">
        <f t="shared" si="10"/>
        <v/>
      </c>
      <c r="E158" s="16">
        <v>1961.94</v>
      </c>
      <c r="F158" s="16">
        <v>258.07</v>
      </c>
      <c r="G158" s="16">
        <v>15.18</v>
      </c>
      <c r="H158" s="16">
        <v>1290.6099999999999</v>
      </c>
      <c r="I158" s="14">
        <v>503.67</v>
      </c>
      <c r="J158" s="14">
        <v>883.56</v>
      </c>
    </row>
    <row r="159" spans="1:10" ht="18" customHeight="1">
      <c r="A159" s="9">
        <v>41244</v>
      </c>
      <c r="B159" s="3">
        <v>1.248632</v>
      </c>
      <c r="C159" s="30" t="str">
        <f t="shared" si="9"/>
        <v/>
      </c>
      <c r="D159" s="41" t="str">
        <f t="shared" si="10"/>
        <v/>
      </c>
      <c r="E159" s="16">
        <v>1997.05</v>
      </c>
      <c r="F159" s="16">
        <v>263.92</v>
      </c>
      <c r="G159" s="16">
        <v>15.89</v>
      </c>
      <c r="H159" s="16">
        <v>1329.58</v>
      </c>
      <c r="I159" s="14">
        <v>496.32</v>
      </c>
      <c r="J159" s="13">
        <v>880.2</v>
      </c>
    </row>
    <row r="160" spans="1:10" ht="18" customHeight="1">
      <c r="A160" s="9">
        <v>41214</v>
      </c>
      <c r="B160" s="3">
        <v>1.2084109999999999</v>
      </c>
      <c r="C160" s="30" t="str">
        <f t="shared" si="9"/>
        <v/>
      </c>
      <c r="D160" s="41" t="str">
        <f t="shared" si="10"/>
        <v/>
      </c>
      <c r="E160" s="16">
        <v>1932.9</v>
      </c>
      <c r="F160" s="16">
        <v>254.25</v>
      </c>
      <c r="G160" s="16">
        <v>14.87</v>
      </c>
      <c r="H160" s="16">
        <v>1273.51</v>
      </c>
      <c r="I160" s="14">
        <v>499.37</v>
      </c>
      <c r="J160" s="14">
        <v>876.85</v>
      </c>
    </row>
    <row r="161" spans="1:10" ht="18" customHeight="1">
      <c r="A161" s="9">
        <v>41183</v>
      </c>
      <c r="B161" s="3">
        <v>1.194307</v>
      </c>
      <c r="C161" s="30" t="str">
        <f t="shared" si="9"/>
        <v/>
      </c>
      <c r="D161" s="41" t="str">
        <f t="shared" si="10"/>
        <v/>
      </c>
      <c r="E161" s="16">
        <v>1912.06</v>
      </c>
      <c r="F161" s="16">
        <v>250.18</v>
      </c>
      <c r="G161" s="16">
        <v>18.37</v>
      </c>
      <c r="H161" s="16">
        <v>1249.08</v>
      </c>
      <c r="I161" s="14">
        <v>508.31</v>
      </c>
      <c r="J161" s="14">
        <v>893.42</v>
      </c>
    </row>
    <row r="162" spans="1:10" ht="18" customHeight="1">
      <c r="A162" s="9">
        <v>41153</v>
      </c>
      <c r="B162" s="3">
        <v>1.2496210000000001</v>
      </c>
      <c r="C162" s="30" t="str">
        <f t="shared" si="9"/>
        <v/>
      </c>
      <c r="D162" s="41" t="str">
        <f t="shared" si="10"/>
        <v/>
      </c>
      <c r="E162" s="16">
        <v>1996.21</v>
      </c>
      <c r="F162" s="16">
        <v>262.49</v>
      </c>
      <c r="G162" s="16">
        <v>17.23</v>
      </c>
      <c r="H162" s="16">
        <v>1317.13</v>
      </c>
      <c r="I162" s="14">
        <v>523.78</v>
      </c>
      <c r="J162" s="14">
        <v>925.14</v>
      </c>
    </row>
    <row r="163" spans="1:10" ht="18" customHeight="1">
      <c r="A163" s="9">
        <v>41122</v>
      </c>
      <c r="B163" s="3">
        <v>1.1915880000000001</v>
      </c>
      <c r="C163" s="30" t="str">
        <f t="shared" si="9"/>
        <v/>
      </c>
      <c r="D163" s="41" t="str">
        <f t="shared" si="10"/>
        <v/>
      </c>
      <c r="E163" s="16">
        <v>1905.12</v>
      </c>
      <c r="F163" s="16">
        <v>250.56</v>
      </c>
      <c r="G163" s="16">
        <v>20.350000000000001</v>
      </c>
      <c r="H163" s="16">
        <v>1254.68</v>
      </c>
      <c r="I163" s="14">
        <v>508.35</v>
      </c>
      <c r="J163" s="14">
        <v>922.68</v>
      </c>
    </row>
    <row r="164" spans="1:10" ht="18" customHeight="1">
      <c r="A164" s="9">
        <v>41091</v>
      </c>
      <c r="B164" s="3">
        <v>1.1835039999999999</v>
      </c>
      <c r="C164" s="30" t="str">
        <f t="shared" si="9"/>
        <v/>
      </c>
      <c r="D164" s="41" t="str">
        <f t="shared" si="10"/>
        <v/>
      </c>
      <c r="E164" s="16">
        <v>1881.99</v>
      </c>
      <c r="F164" s="16">
        <v>250.08</v>
      </c>
      <c r="G164" s="16">
        <v>20.32</v>
      </c>
      <c r="H164" s="16">
        <v>1256.44</v>
      </c>
      <c r="I164" s="14">
        <v>467.61</v>
      </c>
      <c r="J164" s="14">
        <v>841.13</v>
      </c>
    </row>
    <row r="165" spans="1:10" ht="18" customHeight="1">
      <c r="A165" s="9">
        <v>41061</v>
      </c>
      <c r="B165" s="3">
        <v>1.165116</v>
      </c>
      <c r="C165" s="30" t="str">
        <f t="shared" si="9"/>
        <v/>
      </c>
      <c r="D165" s="41" t="str">
        <f t="shared" si="10"/>
        <v/>
      </c>
      <c r="E165" s="16">
        <v>1854.01</v>
      </c>
      <c r="F165" s="16">
        <v>244.9</v>
      </c>
      <c r="G165" s="16">
        <v>20.03</v>
      </c>
      <c r="H165" s="16">
        <v>1232.6099999999999</v>
      </c>
      <c r="I165" s="14">
        <v>489.16</v>
      </c>
      <c r="J165" s="13">
        <v>882.8</v>
      </c>
    </row>
    <row r="166" spans="1:10" ht="18" customHeight="1">
      <c r="A166" s="9">
        <v>41030</v>
      </c>
      <c r="B166" s="3">
        <v>1.158393</v>
      </c>
      <c r="C166" s="30" t="str">
        <f t="shared" si="9"/>
        <v/>
      </c>
      <c r="D166" s="41" t="str">
        <f t="shared" si="10"/>
        <v/>
      </c>
      <c r="E166" s="16">
        <v>1843.47</v>
      </c>
      <c r="F166" s="16">
        <v>244.05</v>
      </c>
      <c r="G166" s="16">
        <v>22.69</v>
      </c>
      <c r="H166" s="16">
        <v>1228.04</v>
      </c>
      <c r="I166" s="14">
        <v>471.94</v>
      </c>
      <c r="J166" s="14">
        <v>873.73</v>
      </c>
    </row>
    <row r="167" spans="1:10" ht="18" customHeight="1">
      <c r="A167" s="9">
        <v>41000</v>
      </c>
      <c r="B167" s="3">
        <v>1.2452559999999999</v>
      </c>
      <c r="C167" s="30" t="str">
        <f t="shared" si="9"/>
        <v/>
      </c>
      <c r="D167" s="41" t="str">
        <f t="shared" si="10"/>
        <v/>
      </c>
      <c r="E167" s="16">
        <v>1981.99</v>
      </c>
      <c r="F167" s="16">
        <v>264.35000000000002</v>
      </c>
      <c r="G167" s="16">
        <v>17.309999999999999</v>
      </c>
      <c r="H167" s="16">
        <v>1339.72</v>
      </c>
      <c r="I167" s="14">
        <v>478.89</v>
      </c>
      <c r="J167" s="14">
        <v>864.72</v>
      </c>
    </row>
    <row r="168" spans="1:10" ht="18" customHeight="1">
      <c r="A168" s="9">
        <v>40969</v>
      </c>
      <c r="B168" s="3">
        <v>1.3139989999999999</v>
      </c>
      <c r="C168" s="30" t="str">
        <f t="shared" si="9"/>
        <v/>
      </c>
      <c r="D168" s="41" t="str">
        <f t="shared" si="10"/>
        <v/>
      </c>
      <c r="E168" s="16">
        <v>2014.04</v>
      </c>
      <c r="F168" s="16">
        <v>266.58</v>
      </c>
      <c r="G168" s="16">
        <v>17.559999999999999</v>
      </c>
      <c r="H168" s="16">
        <v>1353.11</v>
      </c>
      <c r="I168" s="14">
        <v>519.55999999999995</v>
      </c>
      <c r="J168" s="14">
        <v>943.42</v>
      </c>
    </row>
    <row r="169" spans="1:10" ht="18" customHeight="1">
      <c r="A169" s="9">
        <v>40940</v>
      </c>
      <c r="B169" s="3">
        <v>1.3252440000000001</v>
      </c>
      <c r="C169" s="30" t="str">
        <f t="shared" si="9"/>
        <v/>
      </c>
      <c r="D169" s="41" t="str">
        <f t="shared" si="10"/>
        <v/>
      </c>
      <c r="E169" s="16">
        <v>2030.25</v>
      </c>
      <c r="F169" s="16">
        <v>267.13</v>
      </c>
      <c r="G169" s="16">
        <v>19.399999999999999</v>
      </c>
      <c r="H169" s="16">
        <v>1361.87</v>
      </c>
      <c r="I169" s="13">
        <v>542.29999999999995</v>
      </c>
      <c r="J169" s="14">
        <v>988.15</v>
      </c>
    </row>
    <row r="170" spans="1:10" ht="18" customHeight="1">
      <c r="A170" s="9">
        <v>40909</v>
      </c>
      <c r="B170" s="3">
        <v>1.2748459999999999</v>
      </c>
      <c r="C170" s="30" t="str">
        <f t="shared" si="9"/>
        <v/>
      </c>
      <c r="D170" s="41" t="str">
        <f t="shared" si="10"/>
        <v/>
      </c>
      <c r="E170" s="16">
        <v>1955.79</v>
      </c>
      <c r="F170" s="16">
        <v>256.89999999999998</v>
      </c>
      <c r="G170" s="16">
        <v>23.36</v>
      </c>
      <c r="H170" s="16">
        <v>1316.01</v>
      </c>
      <c r="I170" s="14">
        <v>513.99</v>
      </c>
      <c r="J170" s="14">
        <v>966.47</v>
      </c>
    </row>
    <row r="171" spans="1:10" ht="18" customHeight="1">
      <c r="A171" s="9">
        <v>40878</v>
      </c>
      <c r="B171" s="3">
        <v>1.1906669999999999</v>
      </c>
      <c r="C171" s="30" t="str">
        <f t="shared" si="9"/>
        <v/>
      </c>
      <c r="D171" s="41" t="str">
        <f t="shared" si="10"/>
        <v/>
      </c>
      <c r="E171" s="16">
        <v>1825.74</v>
      </c>
      <c r="F171" s="16">
        <v>238.08</v>
      </c>
      <c r="G171" s="16">
        <v>26.4</v>
      </c>
      <c r="H171" s="16">
        <v>1215.8800000000001</v>
      </c>
      <c r="I171" s="14">
        <v>500.18</v>
      </c>
      <c r="J171" s="14">
        <v>965.62</v>
      </c>
    </row>
    <row r="172" spans="1:10" ht="18" customHeight="1">
      <c r="A172" s="9">
        <v>40848</v>
      </c>
      <c r="B172" s="3">
        <v>1.2039150000000001</v>
      </c>
      <c r="C172" s="30" t="str">
        <f t="shared" si="9"/>
        <v/>
      </c>
      <c r="D172" s="41" t="str">
        <f t="shared" si="10"/>
        <v/>
      </c>
      <c r="E172" s="16">
        <v>1847.51</v>
      </c>
      <c r="F172" s="16">
        <v>241.19</v>
      </c>
      <c r="G172" s="16">
        <v>29.04</v>
      </c>
      <c r="H172" s="16">
        <v>1223.58</v>
      </c>
      <c r="I172" s="14">
        <v>492.81</v>
      </c>
      <c r="J172" s="14">
        <v>973.91</v>
      </c>
    </row>
    <row r="173" spans="1:10" ht="18" customHeight="1">
      <c r="A173" s="9">
        <v>40817</v>
      </c>
      <c r="B173" s="3">
        <v>1.2442869999999999</v>
      </c>
      <c r="C173" s="30" t="str">
        <f t="shared" si="9"/>
        <v/>
      </c>
      <c r="D173" s="41" t="str">
        <f t="shared" si="10"/>
        <v/>
      </c>
      <c r="E173" s="16">
        <v>1909.03</v>
      </c>
      <c r="F173" s="16">
        <v>249.88</v>
      </c>
      <c r="G173" s="16">
        <v>31.02</v>
      </c>
      <c r="H173" s="16">
        <v>1276.67</v>
      </c>
      <c r="I173" s="14">
        <v>490.69</v>
      </c>
      <c r="J173" s="13">
        <v>983.8</v>
      </c>
    </row>
    <row r="174" spans="1:10" ht="18" customHeight="1">
      <c r="A174" s="9">
        <v>40787</v>
      </c>
      <c r="B174" s="3">
        <v>1.151486</v>
      </c>
      <c r="C174" s="30" t="str">
        <f t="shared" si="9"/>
        <v/>
      </c>
      <c r="D174" s="41" t="str">
        <f t="shared" si="10"/>
        <v/>
      </c>
      <c r="E174" s="16">
        <v>1769.65</v>
      </c>
      <c r="F174" s="16">
        <v>230.41</v>
      </c>
      <c r="G174" s="16">
        <v>40.56</v>
      </c>
      <c r="H174" s="16">
        <v>1162.3599999999999</v>
      </c>
      <c r="I174" s="14">
        <v>449.66</v>
      </c>
      <c r="J174" s="14">
        <v>916.17</v>
      </c>
    </row>
    <row r="175" spans="1:10" ht="18" customHeight="1">
      <c r="A175" s="9">
        <v>40756</v>
      </c>
      <c r="B175" s="3">
        <v>1.224227</v>
      </c>
      <c r="C175" s="30" t="str">
        <f t="shared" si="9"/>
        <v/>
      </c>
      <c r="D175" s="41" t="str">
        <f t="shared" si="10"/>
        <v/>
      </c>
      <c r="E175" s="16">
        <v>1880.11</v>
      </c>
      <c r="F175" s="16">
        <v>242.16</v>
      </c>
      <c r="G175" s="16">
        <v>28.05</v>
      </c>
      <c r="H175" s="16">
        <v>1216.98</v>
      </c>
      <c r="I175" s="14">
        <v>493.44</v>
      </c>
      <c r="J175" s="13">
        <v>987.9</v>
      </c>
    </row>
    <row r="176" spans="1:10" ht="18" customHeight="1">
      <c r="A176" s="9">
        <v>40725</v>
      </c>
      <c r="B176" s="3">
        <v>1.3914200000000001</v>
      </c>
      <c r="C176" s="30" t="str">
        <f t="shared" si="9"/>
        <v/>
      </c>
      <c r="D176" s="41" t="str">
        <f t="shared" si="10"/>
        <v/>
      </c>
      <c r="E176" s="16">
        <v>2133.21</v>
      </c>
      <c r="F176" s="16">
        <v>277.11</v>
      </c>
      <c r="G176" s="16">
        <v>21</v>
      </c>
      <c r="H176" s="16">
        <v>1401.67</v>
      </c>
      <c r="I176" s="14">
        <v>536.04999999999995</v>
      </c>
      <c r="J176" s="14">
        <v>1070.3900000000001</v>
      </c>
    </row>
    <row r="177" spans="1:10" ht="18" customHeight="1">
      <c r="A177" s="9">
        <v>40695</v>
      </c>
      <c r="B177" s="3">
        <v>1.3809899999999999</v>
      </c>
      <c r="C177" s="30" t="str">
        <f t="shared" si="9"/>
        <v/>
      </c>
      <c r="D177" s="41" t="str">
        <f t="shared" si="10"/>
        <v/>
      </c>
      <c r="E177" s="16">
        <v>2100.69</v>
      </c>
      <c r="F177" s="16">
        <v>275.17</v>
      </c>
      <c r="G177" s="16">
        <v>19.239999999999998</v>
      </c>
      <c r="H177" s="16">
        <v>1393.86</v>
      </c>
      <c r="I177" s="14">
        <v>479.55</v>
      </c>
      <c r="J177" s="14">
        <v>952.97</v>
      </c>
    </row>
    <row r="178" spans="1:10" ht="18" customHeight="1">
      <c r="A178" s="9">
        <v>40664</v>
      </c>
      <c r="B178" s="3">
        <v>1.4063650000000001</v>
      </c>
      <c r="C178" s="30" t="str">
        <f t="shared" si="9"/>
        <v/>
      </c>
      <c r="D178" s="41" t="str">
        <f t="shared" si="10"/>
        <v/>
      </c>
      <c r="E178" s="16">
        <v>2142.4699999999998</v>
      </c>
      <c r="F178" s="16">
        <v>282.76</v>
      </c>
      <c r="G178" s="16">
        <v>18.559999999999999</v>
      </c>
      <c r="H178" s="16">
        <v>1429.99</v>
      </c>
      <c r="I178" s="14">
        <v>484.54</v>
      </c>
      <c r="J178" s="14">
        <v>948.75</v>
      </c>
    </row>
    <row r="179" spans="1:10" ht="18" customHeight="1">
      <c r="A179" s="9">
        <v>40634</v>
      </c>
      <c r="B179" s="3">
        <v>1.4379519999999999</v>
      </c>
      <c r="C179" s="30" t="str">
        <f t="shared" si="9"/>
        <v/>
      </c>
      <c r="D179" s="41" t="str">
        <f t="shared" si="10"/>
        <v/>
      </c>
      <c r="E179" s="16">
        <v>2192.36</v>
      </c>
      <c r="F179" s="16">
        <v>290.39</v>
      </c>
      <c r="G179" s="16">
        <v>18.36</v>
      </c>
      <c r="H179" s="16">
        <v>1470.69</v>
      </c>
      <c r="I179" s="15">
        <v>511</v>
      </c>
      <c r="J179" s="14">
        <v>994.75</v>
      </c>
    </row>
    <row r="180" spans="1:10" ht="18" customHeight="1">
      <c r="A180" s="9">
        <v>40603</v>
      </c>
      <c r="B180" s="3">
        <v>1.549609</v>
      </c>
      <c r="C180" s="30" t="str">
        <f t="shared" si="9"/>
        <v/>
      </c>
      <c r="D180" s="41" t="str">
        <f t="shared" si="10"/>
        <v/>
      </c>
      <c r="E180" s="16">
        <v>2106.6999999999998</v>
      </c>
      <c r="F180" s="16">
        <v>278.87</v>
      </c>
      <c r="G180" s="16">
        <v>16.57</v>
      </c>
      <c r="H180" s="16">
        <v>1419.37</v>
      </c>
      <c r="I180" s="14">
        <v>525.41999999999996</v>
      </c>
      <c r="J180" s="14">
        <v>1033.07</v>
      </c>
    </row>
    <row r="181" spans="1:10" ht="18" customHeight="1">
      <c r="A181" s="9">
        <v>40575</v>
      </c>
      <c r="B181" s="3">
        <v>1.4250750000000001</v>
      </c>
      <c r="C181" s="30" t="str">
        <f t="shared" si="9"/>
        <v/>
      </c>
      <c r="D181" s="41" t="str">
        <f t="shared" si="10"/>
        <v/>
      </c>
      <c r="E181" s="16">
        <v>1939.3</v>
      </c>
      <c r="F181" s="16">
        <v>256.36</v>
      </c>
      <c r="G181" s="16">
        <v>20.059999999999999</v>
      </c>
      <c r="H181" s="16">
        <v>1298.24</v>
      </c>
      <c r="I181" s="14">
        <v>504.46</v>
      </c>
      <c r="J181" s="14">
        <v>999.69</v>
      </c>
    </row>
    <row r="182" spans="1:10" ht="18" customHeight="1">
      <c r="A182" s="9">
        <v>40544</v>
      </c>
      <c r="B182" s="3">
        <v>1.521261</v>
      </c>
      <c r="C182" s="30" t="str">
        <f t="shared" si="9"/>
        <v/>
      </c>
      <c r="D182" s="41" t="str">
        <f t="shared" si="10"/>
        <v/>
      </c>
      <c r="E182" s="16">
        <v>2069.73</v>
      </c>
      <c r="F182" s="16">
        <v>273.12</v>
      </c>
      <c r="G182" s="16">
        <v>16.3</v>
      </c>
      <c r="H182" s="16">
        <v>1392.19</v>
      </c>
      <c r="I182" s="14">
        <v>521.38</v>
      </c>
      <c r="J182" s="14">
        <v>1037.72</v>
      </c>
    </row>
    <row r="183" spans="1:10" ht="18" customHeight="1">
      <c r="A183" s="9">
        <v>40513</v>
      </c>
      <c r="B183" s="3">
        <v>1.5031829999999999</v>
      </c>
      <c r="C183" s="30" t="str">
        <f t="shared" si="9"/>
        <v/>
      </c>
      <c r="D183" s="41" t="str">
        <f t="shared" si="10"/>
        <v/>
      </c>
      <c r="E183" s="16">
        <v>2051</v>
      </c>
      <c r="F183" s="16">
        <v>271.19</v>
      </c>
      <c r="G183" s="16">
        <v>15.83</v>
      </c>
      <c r="H183" s="16">
        <v>1391.42</v>
      </c>
      <c r="I183" s="14">
        <v>510.69</v>
      </c>
      <c r="J183" s="13">
        <v>997.9</v>
      </c>
    </row>
    <row r="184" spans="1:10" ht="18" customHeight="1">
      <c r="A184" s="9">
        <v>40483</v>
      </c>
      <c r="B184" s="3">
        <v>1.3943779999999999</v>
      </c>
      <c r="C184" s="30" t="str">
        <f t="shared" si="9"/>
        <v/>
      </c>
      <c r="D184" s="41" t="str">
        <f t="shared" si="10"/>
        <v/>
      </c>
      <c r="E184" s="16">
        <v>1904.63</v>
      </c>
      <c r="F184" s="16">
        <v>249.64</v>
      </c>
      <c r="G184" s="16">
        <v>22.76</v>
      </c>
      <c r="H184" s="16">
        <v>1269.1500000000001</v>
      </c>
      <c r="I184" s="14">
        <v>498.39</v>
      </c>
      <c r="J184" s="14">
        <v>971.73</v>
      </c>
    </row>
    <row r="185" spans="1:10" ht="18" customHeight="1">
      <c r="A185" s="9">
        <v>40452</v>
      </c>
      <c r="B185" s="3">
        <v>1.3795040000000001</v>
      </c>
      <c r="C185" s="30" t="str">
        <f t="shared" si="9"/>
        <v/>
      </c>
      <c r="D185" s="41" t="str">
        <f t="shared" si="10"/>
        <v/>
      </c>
      <c r="E185" s="16">
        <v>1882.95</v>
      </c>
      <c r="F185" s="16">
        <v>242.98</v>
      </c>
      <c r="G185" s="16">
        <v>18.600000000000001</v>
      </c>
      <c r="H185" s="16">
        <v>1226.1099999999999</v>
      </c>
      <c r="I185" s="14">
        <v>526.45000000000005</v>
      </c>
      <c r="J185" s="14">
        <v>1019.44</v>
      </c>
    </row>
    <row r="186" spans="1:10" ht="18" customHeight="1">
      <c r="A186" s="9">
        <v>40422</v>
      </c>
      <c r="B186" s="3">
        <v>1.371021</v>
      </c>
      <c r="C186" s="30" t="str">
        <f t="shared" si="9"/>
        <v/>
      </c>
      <c r="D186" s="41" t="str">
        <f t="shared" si="10"/>
        <v/>
      </c>
      <c r="E186" s="16">
        <v>1872.81</v>
      </c>
      <c r="F186" s="16">
        <v>242.95</v>
      </c>
      <c r="G186" s="16">
        <v>16.77</v>
      </c>
      <c r="H186" s="16">
        <v>1234.21</v>
      </c>
      <c r="I186" s="14">
        <v>492.75</v>
      </c>
      <c r="J186" s="14">
        <v>963.37</v>
      </c>
    </row>
    <row r="187" spans="1:10" ht="18" customHeight="1">
      <c r="A187" s="9">
        <v>40391</v>
      </c>
      <c r="B187" s="3">
        <v>1.2758419999999999</v>
      </c>
      <c r="C187" s="30" t="str">
        <f t="shared" si="9"/>
        <v/>
      </c>
      <c r="D187" s="41" t="str">
        <f t="shared" si="10"/>
        <v/>
      </c>
      <c r="E187" s="16">
        <v>1742.75</v>
      </c>
      <c r="F187" s="16">
        <v>226.81</v>
      </c>
      <c r="G187" s="16">
        <v>18.79</v>
      </c>
      <c r="H187" s="16">
        <v>1149.3499999999999</v>
      </c>
      <c r="I187" s="14">
        <v>464.71</v>
      </c>
      <c r="J187" s="14">
        <v>889.81</v>
      </c>
    </row>
    <row r="188" spans="1:10" ht="18" customHeight="1">
      <c r="A188" s="9">
        <v>40360</v>
      </c>
      <c r="B188" s="3">
        <v>1.286538</v>
      </c>
      <c r="C188" s="30" t="str">
        <f t="shared" si="9"/>
        <v/>
      </c>
      <c r="D188" s="41" t="str">
        <f t="shared" si="10"/>
        <v/>
      </c>
      <c r="E188" s="16">
        <v>1759.33</v>
      </c>
      <c r="F188" s="16">
        <v>229.25</v>
      </c>
      <c r="G188" s="16">
        <v>19.260000000000002</v>
      </c>
      <c r="H188" s="16">
        <v>1167.8699999999999</v>
      </c>
      <c r="I188" s="14">
        <v>481.45</v>
      </c>
      <c r="J188" s="14">
        <v>918.99</v>
      </c>
    </row>
    <row r="189" spans="1:10" ht="18" customHeight="1">
      <c r="A189" s="9">
        <v>40330</v>
      </c>
      <c r="B189" s="3">
        <v>1.260346</v>
      </c>
      <c r="C189" s="30" t="str">
        <f t="shared" si="9"/>
        <v/>
      </c>
      <c r="D189" s="41" t="str">
        <f t="shared" si="10"/>
        <v/>
      </c>
      <c r="E189" s="16">
        <v>1698.29</v>
      </c>
      <c r="F189" s="16">
        <v>220.85</v>
      </c>
      <c r="G189" s="16">
        <v>21.9</v>
      </c>
      <c r="H189" s="16">
        <v>1119.93</v>
      </c>
      <c r="I189" s="14">
        <v>489.98</v>
      </c>
      <c r="J189" s="14">
        <v>943.44</v>
      </c>
    </row>
    <row r="190" spans="1:10" ht="18" customHeight="1">
      <c r="A190" s="9">
        <v>40299</v>
      </c>
      <c r="B190" s="3">
        <v>1.2201850000000001</v>
      </c>
      <c r="C190" s="30" t="str">
        <f t="shared" si="9"/>
        <v/>
      </c>
      <c r="D190" s="41" t="str">
        <f t="shared" si="10"/>
        <v/>
      </c>
      <c r="E190" s="16">
        <v>1641.25</v>
      </c>
      <c r="F190" s="16">
        <v>214.34</v>
      </c>
      <c r="G190" s="16">
        <v>24.01</v>
      </c>
      <c r="H190" s="16">
        <v>1079.8599999999999</v>
      </c>
      <c r="I190" s="14">
        <v>489.42</v>
      </c>
      <c r="J190" s="14">
        <v>939.54</v>
      </c>
    </row>
    <row r="191" spans="1:10" ht="18" customHeight="1">
      <c r="A191" s="9">
        <v>40269</v>
      </c>
      <c r="B191" s="3">
        <v>1.273026</v>
      </c>
      <c r="C191" s="30" t="str">
        <f t="shared" si="9"/>
        <v/>
      </c>
      <c r="D191" s="41" t="str">
        <f t="shared" si="10"/>
        <v/>
      </c>
      <c r="E191" s="16">
        <v>1741.56</v>
      </c>
      <c r="F191" s="16">
        <v>227.95</v>
      </c>
      <c r="G191" s="16">
        <v>18.27</v>
      </c>
      <c r="H191" s="16">
        <v>1159.4100000000001</v>
      </c>
      <c r="I191" s="14">
        <v>523.75</v>
      </c>
      <c r="J191" s="14">
        <v>985.47</v>
      </c>
    </row>
    <row r="192" spans="1:10" ht="18" customHeight="1">
      <c r="A192" s="9">
        <v>40238</v>
      </c>
      <c r="B192" s="3">
        <v>1.3561719999999999</v>
      </c>
      <c r="C192" s="30" t="str">
        <f t="shared" si="9"/>
        <v/>
      </c>
      <c r="D192" s="41" t="str">
        <f t="shared" si="10"/>
        <v/>
      </c>
      <c r="E192" s="16">
        <v>1692.85</v>
      </c>
      <c r="F192" s="16">
        <v>221.58</v>
      </c>
      <c r="G192" s="16">
        <v>17.68</v>
      </c>
      <c r="H192" s="16">
        <v>1128.25</v>
      </c>
      <c r="I192" s="14">
        <v>515.74</v>
      </c>
      <c r="J192" s="37">
        <v>957.81</v>
      </c>
    </row>
    <row r="193" spans="1:19" ht="18" customHeight="1">
      <c r="A193" s="9">
        <v>40210</v>
      </c>
      <c r="B193" s="3">
        <v>1.2761750000000001</v>
      </c>
      <c r="C193" s="30" t="str">
        <f t="shared" si="9"/>
        <v/>
      </c>
      <c r="D193" s="41" t="str">
        <f t="shared" si="10"/>
        <v/>
      </c>
      <c r="E193" s="16">
        <v>1594.58</v>
      </c>
      <c r="F193" s="16">
        <v>208.36</v>
      </c>
      <c r="G193" s="16">
        <v>20.59</v>
      </c>
      <c r="H193" s="16">
        <v>1054.43</v>
      </c>
      <c r="I193" s="14">
        <v>507.03</v>
      </c>
      <c r="J193" s="37">
        <v>928.29</v>
      </c>
    </row>
    <row r="194" spans="1:19" ht="18" customHeight="1">
      <c r="A194" s="9">
        <v>40179</v>
      </c>
      <c r="B194" s="3">
        <v>1.2835559999999999</v>
      </c>
      <c r="C194" s="30" t="str">
        <f t="shared" si="9"/>
        <v/>
      </c>
      <c r="D194" s="41" t="str">
        <f t="shared" si="10"/>
        <v/>
      </c>
      <c r="E194" s="16">
        <v>1602.43</v>
      </c>
      <c r="F194" s="16">
        <v>210.34</v>
      </c>
      <c r="G194" s="16">
        <v>23.29</v>
      </c>
      <c r="H194" s="16">
        <v>1062.81</v>
      </c>
      <c r="I194" s="14">
        <v>496.57</v>
      </c>
      <c r="J194" s="37">
        <v>922.07</v>
      </c>
    </row>
    <row r="195" spans="1:19" ht="18" customHeight="1">
      <c r="A195" s="9">
        <v>40148</v>
      </c>
      <c r="B195" s="3">
        <v>1.3417349999999999</v>
      </c>
      <c r="C195" s="30" t="str">
        <f t="shared" si="9"/>
        <v/>
      </c>
      <c r="D195" s="41" t="str">
        <f t="shared" si="10"/>
        <v/>
      </c>
      <c r="E195" s="16">
        <v>1682.77</v>
      </c>
      <c r="F195" s="16">
        <v>221.86</v>
      </c>
      <c r="G195" s="16">
        <v>20.350000000000001</v>
      </c>
      <c r="H195" s="16">
        <v>1129.3</v>
      </c>
      <c r="I195" s="14">
        <v>513.57000000000005</v>
      </c>
      <c r="J195" s="38">
        <f>(I195/I194)*J194</f>
        <v>953.63692913385842</v>
      </c>
    </row>
    <row r="196" spans="1:19" ht="18" customHeight="1">
      <c r="A196" s="9">
        <v>40118</v>
      </c>
      <c r="B196" s="3">
        <v>1.2312620000000001</v>
      </c>
      <c r="C196" s="30" t="str">
        <f t="shared" ref="C196:C259" si="11">IF(B196&lt;=C$1, "Risk", "")</f>
        <v/>
      </c>
      <c r="D196" s="41" t="str">
        <f t="shared" si="10"/>
        <v/>
      </c>
      <c r="E196" s="16">
        <v>1555.6</v>
      </c>
      <c r="F196" s="16">
        <v>204.75</v>
      </c>
      <c r="G196" s="16">
        <v>21.94</v>
      </c>
      <c r="H196" s="16">
        <v>1025.05</v>
      </c>
      <c r="I196" s="14">
        <v>464.32</v>
      </c>
      <c r="J196" s="38">
        <f t="shared" ref="J196:J259" si="12">(I196/I195)*J195</f>
        <v>862.18567855488652</v>
      </c>
      <c r="S196" s="32"/>
    </row>
    <row r="197" spans="1:19" ht="18" customHeight="1">
      <c r="A197" s="9">
        <v>40087</v>
      </c>
      <c r="B197" s="3">
        <v>1.2495289999999999</v>
      </c>
      <c r="C197" s="30" t="str">
        <f t="shared" si="11"/>
        <v/>
      </c>
      <c r="D197" s="41" t="str">
        <f t="shared" ref="D197:D260" si="13">IF(B197&lt;=D$1, "Risk", "")</f>
        <v/>
      </c>
      <c r="E197" s="16">
        <v>1580.69</v>
      </c>
      <c r="F197" s="16">
        <v>206.81</v>
      </c>
      <c r="G197" s="16">
        <v>25.41</v>
      </c>
      <c r="H197" s="16">
        <v>1032.8399999999999</v>
      </c>
      <c r="I197" s="14">
        <v>486.46</v>
      </c>
      <c r="J197" s="38">
        <f t="shared" si="12"/>
        <v>903.29696155627596</v>
      </c>
      <c r="R197" s="33"/>
      <c r="S197" s="32"/>
    </row>
    <row r="198" spans="1:19" ht="18" customHeight="1">
      <c r="A198" s="9">
        <v>40057</v>
      </c>
      <c r="B198" s="3">
        <v>1.3212820000000001</v>
      </c>
      <c r="C198" s="30" t="str">
        <f t="shared" si="11"/>
        <v/>
      </c>
      <c r="D198" s="41" t="str">
        <f t="shared" si="13"/>
        <v/>
      </c>
      <c r="E198" s="16">
        <v>1673.14</v>
      </c>
      <c r="F198" s="16">
        <v>219.75</v>
      </c>
      <c r="G198" s="16">
        <v>22.85</v>
      </c>
      <c r="H198" s="16">
        <v>1112.79</v>
      </c>
      <c r="I198" s="14">
        <v>505.94</v>
      </c>
      <c r="J198" s="38">
        <f t="shared" si="12"/>
        <v>939.468948587309</v>
      </c>
      <c r="Q198" s="33"/>
      <c r="R198" s="33"/>
      <c r="S198" s="32"/>
    </row>
    <row r="199" spans="1:19" ht="18" customHeight="1">
      <c r="A199" s="9">
        <v>40026</v>
      </c>
      <c r="B199" s="11">
        <v>1.2603839999999999</v>
      </c>
      <c r="C199" s="30" t="str">
        <f t="shared" si="11"/>
        <v/>
      </c>
      <c r="D199" s="41" t="str">
        <f t="shared" si="13"/>
        <v/>
      </c>
      <c r="E199" s="16">
        <v>1591.85</v>
      </c>
      <c r="F199" s="16">
        <v>207.44</v>
      </c>
      <c r="G199" s="16">
        <v>23.97</v>
      </c>
      <c r="H199" s="16">
        <v>1041.1099999999999</v>
      </c>
      <c r="I199" s="13">
        <v>514.70000000000005</v>
      </c>
      <c r="J199" s="38">
        <f t="shared" si="12"/>
        <v>955.73520148216789</v>
      </c>
      <c r="P199" s="33"/>
      <c r="Q199" s="33"/>
      <c r="R199" s="33"/>
      <c r="S199" s="32"/>
    </row>
    <row r="200" spans="1:19" ht="18" customHeight="1">
      <c r="A200" s="9">
        <v>39995</v>
      </c>
      <c r="B200" s="11">
        <v>1.2340770000000001</v>
      </c>
      <c r="C200" s="30" t="str">
        <f t="shared" si="11"/>
        <v/>
      </c>
      <c r="D200" s="41" t="str">
        <f t="shared" si="13"/>
        <v/>
      </c>
      <c r="E200" s="16">
        <v>1557.29</v>
      </c>
      <c r="F200" s="16">
        <v>202.96</v>
      </c>
      <c r="G200" s="16">
        <v>25.62</v>
      </c>
      <c r="H200" s="16">
        <v>1023.23</v>
      </c>
      <c r="I200" s="14">
        <v>504.35</v>
      </c>
      <c r="J200" s="38">
        <f t="shared" si="12"/>
        <v>936.5165122742012</v>
      </c>
      <c r="O200" s="33"/>
      <c r="P200" s="33"/>
      <c r="Q200" s="33"/>
      <c r="R200" s="33"/>
      <c r="S200" s="32"/>
    </row>
    <row r="201" spans="1:19" ht="18" customHeight="1">
      <c r="A201" s="9">
        <v>39965</v>
      </c>
      <c r="B201" s="11">
        <v>1.103451</v>
      </c>
      <c r="C201" s="30" t="str">
        <f t="shared" si="11"/>
        <v/>
      </c>
      <c r="D201" s="41" t="str">
        <f t="shared" si="13"/>
        <v/>
      </c>
      <c r="E201" s="16">
        <v>1390.07</v>
      </c>
      <c r="F201" s="16">
        <v>178.99</v>
      </c>
      <c r="G201" s="16">
        <v>27.26</v>
      </c>
      <c r="H201" s="16">
        <v>899.36</v>
      </c>
      <c r="I201" s="14">
        <v>485.15</v>
      </c>
      <c r="J201" s="38">
        <f t="shared" si="12"/>
        <v>900.86445113478464</v>
      </c>
      <c r="N201" s="33"/>
      <c r="O201" s="32"/>
      <c r="P201" s="32"/>
      <c r="Q201" s="32"/>
      <c r="R201" s="32"/>
      <c r="S201" s="32"/>
    </row>
    <row r="202" spans="1:19" ht="18" customHeight="1">
      <c r="A202" s="9">
        <v>39934</v>
      </c>
      <c r="B202" s="11">
        <v>1.108449</v>
      </c>
      <c r="C202" s="30" t="str">
        <f t="shared" si="11"/>
        <v/>
      </c>
      <c r="D202" s="41" t="str">
        <f t="shared" si="13"/>
        <v/>
      </c>
      <c r="E202" s="16">
        <v>1395.89</v>
      </c>
      <c r="F202" s="16">
        <v>178.7</v>
      </c>
      <c r="G202" s="16">
        <v>33.42</v>
      </c>
      <c r="H202" s="16">
        <v>895.72</v>
      </c>
      <c r="I202" s="13">
        <v>528.79999999999995</v>
      </c>
      <c r="J202" s="38">
        <f t="shared" si="12"/>
        <v>981.91718388142658</v>
      </c>
      <c r="M202" s="33"/>
      <c r="N202" s="33"/>
      <c r="O202" s="32"/>
      <c r="P202" s="32"/>
      <c r="Q202" s="32"/>
      <c r="R202" s="32"/>
      <c r="S202" s="32"/>
    </row>
    <row r="203" spans="1:19" ht="18" customHeight="1">
      <c r="A203" s="9">
        <v>39904</v>
      </c>
      <c r="B203" s="11">
        <v>1.148882</v>
      </c>
      <c r="C203" s="30" t="str">
        <f t="shared" si="11"/>
        <v/>
      </c>
      <c r="D203" s="41" t="str">
        <f t="shared" si="13"/>
        <v/>
      </c>
      <c r="E203" s="16">
        <v>1369.36</v>
      </c>
      <c r="F203" s="16">
        <v>176</v>
      </c>
      <c r="G203" s="16">
        <v>34.57</v>
      </c>
      <c r="H203" s="16">
        <v>891.93</v>
      </c>
      <c r="I203" s="14">
        <v>500.98</v>
      </c>
      <c r="J203" s="38">
        <f t="shared" si="12"/>
        <v>930.25883279295988</v>
      </c>
      <c r="L203" s="33"/>
      <c r="M203" s="33"/>
      <c r="N203" s="33"/>
      <c r="O203" s="32"/>
      <c r="P203" s="32"/>
      <c r="Q203" s="32"/>
      <c r="R203" s="32"/>
      <c r="S203" s="32"/>
    </row>
    <row r="204" spans="1:19" ht="18" customHeight="1">
      <c r="A204" s="9">
        <v>39873</v>
      </c>
      <c r="B204" s="11">
        <v>1.0096160000000001</v>
      </c>
      <c r="C204" s="30" t="str">
        <f t="shared" si="11"/>
        <v/>
      </c>
      <c r="D204" s="41" t="str">
        <f t="shared" si="13"/>
        <v/>
      </c>
      <c r="E204" s="16">
        <v>1206.26</v>
      </c>
      <c r="F204" s="16">
        <v>157.01</v>
      </c>
      <c r="G204" s="16">
        <v>39.56</v>
      </c>
      <c r="H204" s="16">
        <v>798.32</v>
      </c>
      <c r="I204" s="14">
        <v>421.44</v>
      </c>
      <c r="J204" s="38">
        <f t="shared" si="12"/>
        <v>782.56274201019005</v>
      </c>
      <c r="K204" s="33"/>
      <c r="L204" s="33"/>
      <c r="M204" s="33"/>
      <c r="N204" s="33"/>
      <c r="O204" s="32"/>
      <c r="P204" s="32"/>
      <c r="Q204" s="32"/>
      <c r="R204" s="32"/>
      <c r="S204" s="32"/>
    </row>
    <row r="205" spans="1:19" ht="18" customHeight="1">
      <c r="A205" s="9">
        <v>39845</v>
      </c>
      <c r="B205" s="3">
        <v>0.89</v>
      </c>
      <c r="C205" s="30" t="str">
        <f t="shared" si="11"/>
        <v>Risk</v>
      </c>
      <c r="D205" s="41" t="str">
        <f t="shared" si="13"/>
        <v>Risk</v>
      </c>
      <c r="E205" s="16">
        <v>1063.03</v>
      </c>
      <c r="F205" s="16">
        <v>138.07</v>
      </c>
      <c r="G205" s="16">
        <v>47.36</v>
      </c>
      <c r="H205" s="16">
        <v>694.11</v>
      </c>
      <c r="I205" s="14">
        <v>363.21</v>
      </c>
      <c r="J205" s="38">
        <f t="shared" si="12"/>
        <v>674.43672533580377</v>
      </c>
      <c r="K205" s="33"/>
      <c r="L205" s="33"/>
      <c r="M205" s="33"/>
      <c r="N205" s="33"/>
      <c r="O205" s="32"/>
      <c r="P205" s="32"/>
      <c r="Q205" s="32"/>
      <c r="R205" s="32"/>
      <c r="S205" s="32"/>
    </row>
    <row r="206" spans="1:19" ht="18" customHeight="1">
      <c r="A206" s="9">
        <v>39814</v>
      </c>
      <c r="B206" s="3">
        <v>0.97</v>
      </c>
      <c r="C206" s="30" t="str">
        <f t="shared" si="11"/>
        <v/>
      </c>
      <c r="D206" s="41" t="str">
        <f t="shared" si="13"/>
        <v/>
      </c>
      <c r="E206" s="16">
        <v>1162.1099999999999</v>
      </c>
      <c r="F206" s="16">
        <v>151.33000000000001</v>
      </c>
      <c r="G206" s="16">
        <v>48.21</v>
      </c>
      <c r="H206" s="16">
        <v>768.59</v>
      </c>
      <c r="I206" s="13">
        <v>364.9</v>
      </c>
      <c r="J206" s="28">
        <f t="shared" si="12"/>
        <v>677.5748494673461</v>
      </c>
      <c r="K206" s="33"/>
      <c r="L206" s="33"/>
      <c r="M206" s="33"/>
      <c r="N206" s="33"/>
      <c r="O206" s="32"/>
      <c r="P206" s="32"/>
      <c r="Q206" s="32"/>
      <c r="R206" s="32"/>
      <c r="S206" s="32"/>
    </row>
    <row r="207" spans="1:19" ht="18" customHeight="1">
      <c r="A207" s="9">
        <v>39783</v>
      </c>
      <c r="B207" s="3">
        <v>0.94</v>
      </c>
      <c r="C207" s="30" t="str">
        <f t="shared" si="11"/>
        <v>Risk</v>
      </c>
      <c r="D207" s="41" t="str">
        <f t="shared" si="13"/>
        <v/>
      </c>
      <c r="E207" s="16">
        <v>1124.47</v>
      </c>
      <c r="F207" s="16">
        <v>146.35</v>
      </c>
      <c r="G207" s="16">
        <v>48.61</v>
      </c>
      <c r="H207" s="16">
        <v>744.27</v>
      </c>
      <c r="I207" s="14">
        <v>332.05</v>
      </c>
      <c r="J207" s="28">
        <f t="shared" si="12"/>
        <v>616.57640111162596</v>
      </c>
      <c r="K207" s="33"/>
      <c r="L207" s="33"/>
      <c r="M207" s="33"/>
      <c r="N207" s="33"/>
      <c r="O207" s="32"/>
      <c r="P207" s="32"/>
      <c r="Q207" s="32"/>
      <c r="R207" s="32"/>
      <c r="S207" s="32"/>
    </row>
    <row r="208" spans="1:19" ht="18" customHeight="1">
      <c r="A208" s="9">
        <v>39753</v>
      </c>
      <c r="B208" s="3">
        <v>0.9</v>
      </c>
      <c r="C208" s="30" t="str">
        <f t="shared" si="11"/>
        <v>Risk</v>
      </c>
      <c r="D208" s="41" t="str">
        <f t="shared" si="13"/>
        <v>Risk</v>
      </c>
      <c r="E208" s="16">
        <v>1076.07</v>
      </c>
      <c r="F208" s="16">
        <v>140.66</v>
      </c>
      <c r="G208" s="16">
        <v>57.79</v>
      </c>
      <c r="H208" s="16">
        <v>706.45</v>
      </c>
      <c r="I208" s="14">
        <v>307.48</v>
      </c>
      <c r="J208" s="28">
        <f t="shared" si="12"/>
        <v>570.95290412227905</v>
      </c>
      <c r="K208" s="35">
        <f>1+(($H204/$H208)-1)*2</f>
        <v>1.2600891782857953</v>
      </c>
      <c r="L208" s="35">
        <f>1+(($H203/$H208)-1)*2</f>
        <v>1.5251043952155139</v>
      </c>
      <c r="M208" s="35">
        <f>1+(($H202/$H208)-1)*2</f>
        <v>1.5358341000778539</v>
      </c>
      <c r="N208" s="35">
        <f>1+(($H201/$H208)-1)*2</f>
        <v>1.5461391464364072</v>
      </c>
      <c r="O208" s="35">
        <f>1+(($H200/$H208)-1)*2</f>
        <v>1.8968221388633304</v>
      </c>
      <c r="P208" s="35">
        <f>1+(($H199/$H208)-1)*2</f>
        <v>1.9474414325146858</v>
      </c>
      <c r="Q208" s="35">
        <f>1+(($H198/$H208)-1)*2</f>
        <v>2.1503715761908131</v>
      </c>
      <c r="R208" s="35">
        <f>1+(($H197/$H208)-1)*2</f>
        <v>1.9240285936725878</v>
      </c>
      <c r="S208" s="35">
        <f>1+(($H196/$H208)-1)*2</f>
        <v>1.901974662042607</v>
      </c>
    </row>
    <row r="209" spans="1:19" ht="18" customHeight="1">
      <c r="A209" s="9">
        <v>39722</v>
      </c>
      <c r="B209" s="3">
        <v>0.93</v>
      </c>
      <c r="C209" s="30" t="str">
        <f t="shared" si="11"/>
        <v>Risk</v>
      </c>
      <c r="D209" s="41" t="str">
        <f t="shared" si="13"/>
        <v/>
      </c>
      <c r="E209" s="16">
        <v>1113.06</v>
      </c>
      <c r="F209" s="16">
        <v>147.5</v>
      </c>
      <c r="G209" s="16">
        <v>81.27</v>
      </c>
      <c r="H209" s="16">
        <v>740.18</v>
      </c>
      <c r="I209" s="14">
        <v>308.02999999999997</v>
      </c>
      <c r="J209" s="28">
        <f t="shared" si="12"/>
        <v>571.97418712366857</v>
      </c>
      <c r="K209" s="34">
        <f>$H208/$H209</f>
        <v>0.95443000351265916</v>
      </c>
      <c r="L209" s="34">
        <f t="shared" ref="L209:S209" si="14">$H208/$H209</f>
        <v>0.95443000351265916</v>
      </c>
      <c r="M209" s="34">
        <f t="shared" si="14"/>
        <v>0.95443000351265916</v>
      </c>
      <c r="N209" s="34">
        <f t="shared" si="14"/>
        <v>0.95443000351265916</v>
      </c>
      <c r="O209" s="34">
        <f t="shared" si="14"/>
        <v>0.95443000351265916</v>
      </c>
      <c r="P209" s="34">
        <f t="shared" si="14"/>
        <v>0.95443000351265916</v>
      </c>
      <c r="Q209" s="34">
        <f t="shared" si="14"/>
        <v>0.95443000351265916</v>
      </c>
      <c r="R209" s="34">
        <f t="shared" si="14"/>
        <v>0.95443000351265916</v>
      </c>
      <c r="S209" s="34">
        <f t="shared" si="14"/>
        <v>0.95443000351265916</v>
      </c>
    </row>
    <row r="210" spans="1:19" ht="18" customHeight="1">
      <c r="A210" s="9">
        <v>39692</v>
      </c>
      <c r="B210" s="3">
        <v>1.2</v>
      </c>
      <c r="C210" s="30" t="str">
        <f t="shared" si="11"/>
        <v/>
      </c>
      <c r="D210" s="41" t="str">
        <f t="shared" si="13"/>
        <v/>
      </c>
      <c r="E210" s="16">
        <v>1448.06</v>
      </c>
      <c r="F210" s="16">
        <v>186.62</v>
      </c>
      <c r="G210" s="16">
        <v>36.78</v>
      </c>
      <c r="H210" s="16">
        <v>936.31</v>
      </c>
      <c r="I210" s="14">
        <v>440.77</v>
      </c>
      <c r="J210" s="28">
        <f t="shared" si="12"/>
        <v>818.45619731357147</v>
      </c>
    </row>
    <row r="211" spans="1:19" ht="18" customHeight="1">
      <c r="A211" s="9">
        <v>39661</v>
      </c>
      <c r="B211" s="3">
        <v>1.22</v>
      </c>
      <c r="C211" s="30" t="str">
        <f t="shared" si="11"/>
        <v/>
      </c>
      <c r="D211" s="41" t="str">
        <f t="shared" si="13"/>
        <v/>
      </c>
      <c r="E211" s="16">
        <v>1474.24</v>
      </c>
      <c r="F211" s="16">
        <v>188.96</v>
      </c>
      <c r="G211" s="16">
        <v>25.66</v>
      </c>
      <c r="H211" s="16">
        <v>967.11</v>
      </c>
      <c r="I211" s="14">
        <v>470.28</v>
      </c>
      <c r="J211" s="28">
        <f t="shared" si="12"/>
        <v>873.25267253358072</v>
      </c>
    </row>
    <row r="212" spans="1:19" ht="18" customHeight="1">
      <c r="A212" s="9">
        <v>39630</v>
      </c>
      <c r="B212" s="3">
        <v>1.33</v>
      </c>
      <c r="C212" s="30" t="str">
        <f t="shared" si="11"/>
        <v/>
      </c>
      <c r="D212" s="41" t="str">
        <f t="shared" si="13"/>
        <v/>
      </c>
      <c r="E212" s="16">
        <v>1594.67</v>
      </c>
      <c r="F212" s="16">
        <v>204.12</v>
      </c>
      <c r="G212" s="16">
        <v>23.82</v>
      </c>
      <c r="H212" s="16">
        <v>1048.68</v>
      </c>
      <c r="I212" s="14">
        <v>539.44000000000005</v>
      </c>
      <c r="J212" s="28">
        <f t="shared" si="12"/>
        <v>1001.6743677628539</v>
      </c>
    </row>
    <row r="213" spans="1:19" ht="18" customHeight="1">
      <c r="A213" s="9">
        <v>39600</v>
      </c>
      <c r="B213" s="3">
        <v>1.4</v>
      </c>
      <c r="C213" s="30" t="str">
        <f t="shared" si="11"/>
        <v/>
      </c>
      <c r="D213" s="41" t="str">
        <f t="shared" si="13"/>
        <v/>
      </c>
      <c r="E213" s="16">
        <v>1674.92</v>
      </c>
      <c r="F213" s="16">
        <v>213.52</v>
      </c>
      <c r="G213" s="16">
        <v>25.15</v>
      </c>
      <c r="H213" s="16">
        <v>1099.31</v>
      </c>
      <c r="I213" s="14">
        <v>590.19000000000005</v>
      </c>
      <c r="J213" s="28">
        <f t="shared" si="12"/>
        <v>1095.9109356183426</v>
      </c>
    </row>
    <row r="214" spans="1:19" ht="18" customHeight="1">
      <c r="A214" s="9">
        <v>39569</v>
      </c>
      <c r="B214" s="3">
        <v>1.54</v>
      </c>
      <c r="C214" s="30" t="str">
        <f t="shared" si="11"/>
        <v/>
      </c>
      <c r="D214" s="41" t="str">
        <f t="shared" si="13"/>
        <v/>
      </c>
      <c r="E214" s="16">
        <v>1852.02</v>
      </c>
      <c r="F214" s="16">
        <v>237.46</v>
      </c>
      <c r="G214" s="16">
        <v>23.06</v>
      </c>
      <c r="H214" s="16">
        <v>1222.8699999999999</v>
      </c>
      <c r="I214" s="14">
        <v>652.15</v>
      </c>
      <c r="J214" s="28">
        <f t="shared" si="12"/>
        <v>1210.9631079203341</v>
      </c>
    </row>
    <row r="215" spans="1:19" ht="18" customHeight="1">
      <c r="A215" s="9">
        <v>39539</v>
      </c>
      <c r="B215" s="3">
        <v>1.52</v>
      </c>
      <c r="C215" s="30" t="str">
        <f t="shared" si="11"/>
        <v/>
      </c>
      <c r="D215" s="41" t="str">
        <f t="shared" si="13"/>
        <v/>
      </c>
      <c r="E215" s="16">
        <v>1825.47</v>
      </c>
      <c r="F215" s="16">
        <v>235</v>
      </c>
      <c r="G215" s="16">
        <v>22.04</v>
      </c>
      <c r="H215" s="16">
        <v>1221.06</v>
      </c>
      <c r="I215" s="14">
        <v>647.02</v>
      </c>
      <c r="J215" s="28">
        <f t="shared" si="12"/>
        <v>1201.4373228346462</v>
      </c>
    </row>
    <row r="216" spans="1:19" ht="18" customHeight="1">
      <c r="A216" s="9">
        <v>39508</v>
      </c>
      <c r="B216" s="3">
        <v>1.59</v>
      </c>
      <c r="C216" s="30" t="str">
        <f t="shared" si="11"/>
        <v/>
      </c>
      <c r="D216" s="41" t="str">
        <f t="shared" si="13"/>
        <v/>
      </c>
      <c r="E216" s="16">
        <v>1703.99</v>
      </c>
      <c r="F216" s="16">
        <v>217.65</v>
      </c>
      <c r="G216" s="16">
        <v>27.05</v>
      </c>
      <c r="H216" s="16">
        <v>1121.1099999999999</v>
      </c>
      <c r="I216" s="14">
        <v>644.45000000000005</v>
      </c>
      <c r="J216" s="28">
        <f t="shared" si="12"/>
        <v>1196.6651459008808</v>
      </c>
    </row>
    <row r="217" spans="1:19" ht="18" customHeight="1">
      <c r="A217" s="9">
        <v>39479</v>
      </c>
      <c r="B217" s="3">
        <v>1.58</v>
      </c>
      <c r="C217" s="30" t="str">
        <f t="shared" si="11"/>
        <v/>
      </c>
      <c r="D217" s="41" t="str">
        <f t="shared" si="13"/>
        <v/>
      </c>
      <c r="E217" s="16">
        <v>1711.62</v>
      </c>
      <c r="F217" s="16">
        <v>216.85</v>
      </c>
      <c r="G217" s="16">
        <v>29.21</v>
      </c>
      <c r="H217" s="16">
        <v>1122.94</v>
      </c>
      <c r="I217" s="14">
        <v>655.94</v>
      </c>
      <c r="J217" s="28">
        <f t="shared" si="12"/>
        <v>1218.0006762390003</v>
      </c>
    </row>
    <row r="218" spans="1:19" ht="18" customHeight="1">
      <c r="A218" s="9">
        <v>39448</v>
      </c>
      <c r="B218" s="3">
        <v>1.51</v>
      </c>
      <c r="C218" s="30" t="str">
        <f t="shared" si="11"/>
        <v/>
      </c>
      <c r="D218" s="41" t="str">
        <f t="shared" si="13"/>
        <v/>
      </c>
      <c r="E218" s="16">
        <v>1624.68</v>
      </c>
      <c r="F218" s="16">
        <v>207.77</v>
      </c>
      <c r="G218" s="16">
        <v>31.39</v>
      </c>
      <c r="H218" s="16">
        <v>1076.3499999999999</v>
      </c>
      <c r="I218" s="14">
        <v>608.84</v>
      </c>
      <c r="J218" s="28">
        <f t="shared" si="12"/>
        <v>1130.5417137563693</v>
      </c>
    </row>
    <row r="219" spans="1:19" ht="18" customHeight="1">
      <c r="A219" s="9">
        <v>39417</v>
      </c>
      <c r="B219" s="3">
        <v>1.75</v>
      </c>
      <c r="C219" s="30" t="str">
        <f t="shared" si="11"/>
        <v/>
      </c>
      <c r="D219" s="41" t="str">
        <f t="shared" si="13"/>
        <v/>
      </c>
      <c r="E219" s="16">
        <v>1897.13</v>
      </c>
      <c r="F219" s="16">
        <v>241.27</v>
      </c>
      <c r="G219" s="16">
        <v>25.13</v>
      </c>
      <c r="H219" s="16">
        <v>1252.6300000000001</v>
      </c>
      <c r="I219" s="14">
        <v>704.23</v>
      </c>
      <c r="J219" s="28">
        <f t="shared" si="12"/>
        <v>1307.6693237610011</v>
      </c>
    </row>
    <row r="220" spans="1:19" ht="18" customHeight="1">
      <c r="A220" s="9">
        <v>39387</v>
      </c>
      <c r="B220" s="3">
        <v>1.76</v>
      </c>
      <c r="C220" s="30" t="str">
        <f t="shared" si="11"/>
        <v/>
      </c>
      <c r="D220" s="41" t="str">
        <f t="shared" si="13"/>
        <v/>
      </c>
      <c r="E220" s="16">
        <v>1906</v>
      </c>
      <c r="F220" s="16">
        <v>241.91</v>
      </c>
      <c r="G220" s="16">
        <v>32.76</v>
      </c>
      <c r="H220" s="16">
        <v>1254.6099999999999</v>
      </c>
      <c r="I220" s="14">
        <v>741.84</v>
      </c>
      <c r="J220" s="28">
        <f t="shared" si="12"/>
        <v>1377.5065122742017</v>
      </c>
    </row>
    <row r="221" spans="1:19" ht="18" customHeight="1">
      <c r="A221" s="9">
        <v>39356</v>
      </c>
      <c r="B221" s="3">
        <v>1.9</v>
      </c>
      <c r="C221" s="30" t="str">
        <f t="shared" si="11"/>
        <v/>
      </c>
      <c r="D221" s="41" t="str">
        <f t="shared" si="13"/>
        <v/>
      </c>
      <c r="E221" s="16">
        <v>2064.85</v>
      </c>
      <c r="F221" s="16">
        <v>260.42</v>
      </c>
      <c r="G221" s="16">
        <v>34.049999999999997</v>
      </c>
      <c r="H221" s="16">
        <v>1353.07</v>
      </c>
      <c r="I221" s="14">
        <v>810.07</v>
      </c>
      <c r="J221" s="28">
        <f t="shared" si="12"/>
        <v>1504.2013107920341</v>
      </c>
    </row>
    <row r="222" spans="1:19" ht="18" customHeight="1">
      <c r="A222" s="9">
        <v>39326</v>
      </c>
      <c r="B222" s="3">
        <v>1.8</v>
      </c>
      <c r="C222" s="30" t="str">
        <f t="shared" si="11"/>
        <v/>
      </c>
      <c r="D222" s="41" t="str">
        <f t="shared" si="13"/>
        <v/>
      </c>
      <c r="E222" s="16">
        <v>1946.48</v>
      </c>
      <c r="F222" s="16">
        <v>247.2</v>
      </c>
      <c r="G222" s="16">
        <v>25.78</v>
      </c>
      <c r="H222" s="16">
        <v>1290.02</v>
      </c>
      <c r="I222" s="14">
        <v>794.56</v>
      </c>
      <c r="J222" s="28">
        <f t="shared" si="12"/>
        <v>1475.401130152849</v>
      </c>
    </row>
    <row r="223" spans="1:19" ht="18" customHeight="1">
      <c r="A223" s="9">
        <v>39295</v>
      </c>
      <c r="B223" s="3">
        <v>1.73</v>
      </c>
      <c r="C223" s="30" t="str">
        <f t="shared" si="11"/>
        <v/>
      </c>
      <c r="D223" s="41" t="str">
        <f t="shared" si="13"/>
        <v/>
      </c>
      <c r="E223" s="16">
        <v>1873.24</v>
      </c>
      <c r="F223" s="16">
        <v>238.28</v>
      </c>
      <c r="G223" s="16">
        <v>32.33</v>
      </c>
      <c r="H223" s="16">
        <v>1244.42</v>
      </c>
      <c r="I223" s="14">
        <v>775.13</v>
      </c>
      <c r="J223" s="28">
        <f t="shared" si="12"/>
        <v>1439.3219870310334</v>
      </c>
    </row>
    <row r="224" spans="1:19" ht="18" customHeight="1">
      <c r="A224" s="9">
        <v>39264</v>
      </c>
      <c r="B224" s="3">
        <v>1.79</v>
      </c>
      <c r="C224" s="30" t="str">
        <f t="shared" si="11"/>
        <v/>
      </c>
      <c r="D224" s="41" t="str">
        <f t="shared" si="13"/>
        <v/>
      </c>
      <c r="E224" s="16">
        <v>1933.27</v>
      </c>
      <c r="F224" s="16">
        <v>244.32</v>
      </c>
      <c r="G224" s="16">
        <v>27.71</v>
      </c>
      <c r="H224" s="16">
        <v>1277.22</v>
      </c>
      <c r="I224" s="14">
        <v>811.52</v>
      </c>
      <c r="J224" s="28">
        <f t="shared" si="12"/>
        <v>1506.8937841593336</v>
      </c>
    </row>
    <row r="225" spans="1:10" ht="18" customHeight="1">
      <c r="A225" s="9">
        <v>39234</v>
      </c>
      <c r="B225" s="3">
        <v>1.61</v>
      </c>
      <c r="C225" s="30" t="str">
        <f t="shared" si="11"/>
        <v/>
      </c>
      <c r="D225" s="41" t="str">
        <f t="shared" si="13"/>
        <v/>
      </c>
      <c r="E225" s="16">
        <v>1743.6</v>
      </c>
      <c r="F225" s="16">
        <v>221.31</v>
      </c>
      <c r="G225" s="16">
        <v>19.95</v>
      </c>
      <c r="H225" s="16">
        <v>1154.8599999999999</v>
      </c>
      <c r="I225" s="14">
        <v>778.69</v>
      </c>
      <c r="J225" s="28">
        <f t="shared" si="12"/>
        <v>1445.9324733673004</v>
      </c>
    </row>
    <row r="226" spans="1:10" ht="18" customHeight="1">
      <c r="A226" s="9">
        <v>39203</v>
      </c>
      <c r="B226" s="3">
        <v>1.57</v>
      </c>
      <c r="C226" s="30" t="str">
        <f t="shared" si="11"/>
        <v/>
      </c>
      <c r="D226" s="41" t="str">
        <f t="shared" si="13"/>
        <v/>
      </c>
      <c r="E226" s="16">
        <v>1700.91</v>
      </c>
      <c r="F226" s="16">
        <v>216.45</v>
      </c>
      <c r="G226" s="16">
        <v>18.59</v>
      </c>
      <c r="H226" s="16">
        <v>1144.5999999999999</v>
      </c>
      <c r="I226" s="14">
        <v>747.87</v>
      </c>
      <c r="J226" s="28">
        <f t="shared" si="12"/>
        <v>1388.7034877257995</v>
      </c>
    </row>
    <row r="227" spans="1:10" ht="18" customHeight="1">
      <c r="A227" s="9">
        <v>39173</v>
      </c>
      <c r="B227" s="3">
        <v>1.42</v>
      </c>
      <c r="C227" s="30" t="str">
        <f t="shared" si="11"/>
        <v/>
      </c>
      <c r="D227" s="41" t="str">
        <f t="shared" si="13"/>
        <v/>
      </c>
      <c r="E227" s="16">
        <v>1542.24</v>
      </c>
      <c r="F227" s="16">
        <v>198.55</v>
      </c>
      <c r="G227" s="16">
        <v>18.989999999999998</v>
      </c>
      <c r="H227" s="16">
        <v>1053.69</v>
      </c>
      <c r="I227" s="14">
        <v>675.88</v>
      </c>
      <c r="J227" s="28">
        <f t="shared" si="12"/>
        <v>1255.0268272348314</v>
      </c>
    </row>
    <row r="228" spans="1:10" ht="18" customHeight="1">
      <c r="A228" s="9">
        <v>39142</v>
      </c>
      <c r="B228" s="3">
        <v>1.48</v>
      </c>
      <c r="C228" s="30" t="str">
        <f t="shared" si="11"/>
        <v/>
      </c>
      <c r="D228" s="41" t="str">
        <f t="shared" si="13"/>
        <v/>
      </c>
      <c r="E228" s="16">
        <v>1452.55</v>
      </c>
      <c r="F228" s="16">
        <v>187.6</v>
      </c>
      <c r="G228" s="16">
        <v>19.64</v>
      </c>
      <c r="H228" s="16">
        <v>994.41</v>
      </c>
      <c r="I228" s="14">
        <v>648.99</v>
      </c>
      <c r="J228" s="28">
        <f t="shared" si="12"/>
        <v>1205.0953728578049</v>
      </c>
    </row>
    <row r="229" spans="1:10" ht="18" customHeight="1">
      <c r="A229" s="9">
        <v>39114</v>
      </c>
      <c r="B229" s="3">
        <v>1.45</v>
      </c>
      <c r="C229" s="30" t="str">
        <f t="shared" si="11"/>
        <v/>
      </c>
      <c r="D229" s="41" t="str">
        <f t="shared" si="13"/>
        <v/>
      </c>
      <c r="E229" s="16">
        <v>1417.34</v>
      </c>
      <c r="F229" s="16">
        <v>183.2</v>
      </c>
      <c r="G229" s="16">
        <v>20.38</v>
      </c>
      <c r="H229" s="16">
        <v>979.68</v>
      </c>
      <c r="I229" s="14">
        <v>600.92999999999995</v>
      </c>
      <c r="J229" s="28">
        <f t="shared" si="12"/>
        <v>1115.8538073182031</v>
      </c>
    </row>
    <row r="230" spans="1:10" ht="18" customHeight="1">
      <c r="A230" s="9">
        <v>39083</v>
      </c>
      <c r="B230" s="3">
        <v>1.39</v>
      </c>
      <c r="C230" s="30" t="str">
        <f t="shared" si="11"/>
        <v/>
      </c>
      <c r="D230" s="41" t="str">
        <f t="shared" si="13"/>
        <v/>
      </c>
      <c r="E230" s="16">
        <v>1360.23</v>
      </c>
      <c r="F230" s="16">
        <v>175.99</v>
      </c>
      <c r="G230" s="16">
        <v>17.989999999999998</v>
      </c>
      <c r="H230" s="16">
        <v>947.06</v>
      </c>
      <c r="I230" s="14">
        <v>576.37</v>
      </c>
      <c r="J230" s="28">
        <f t="shared" si="12"/>
        <v>1070.2488791106998</v>
      </c>
    </row>
    <row r="231" spans="1:10" ht="18" customHeight="1">
      <c r="A231" s="9">
        <v>39052</v>
      </c>
      <c r="B231" s="3">
        <v>1.46</v>
      </c>
      <c r="C231" s="30" t="str">
        <f t="shared" si="11"/>
        <v/>
      </c>
      <c r="D231" s="41" t="str">
        <f t="shared" si="13"/>
        <v/>
      </c>
      <c r="E231" s="16">
        <v>1434.46</v>
      </c>
      <c r="F231" s="16">
        <v>185.39</v>
      </c>
      <c r="G231" s="16">
        <v>15.4</v>
      </c>
      <c r="H231" s="16">
        <v>1000</v>
      </c>
      <c r="I231" s="14">
        <v>606.15</v>
      </c>
      <c r="J231" s="28">
        <f t="shared" si="12"/>
        <v>1125.5467114404821</v>
      </c>
    </row>
    <row r="232" spans="1:10" ht="18" customHeight="1">
      <c r="A232" s="9">
        <v>39022</v>
      </c>
      <c r="B232" s="3">
        <v>1.46</v>
      </c>
      <c r="C232" s="30" t="str">
        <f t="shared" si="11"/>
        <v/>
      </c>
      <c r="D232" s="41" t="str">
        <f t="shared" si="13"/>
        <v/>
      </c>
      <c r="E232" s="16">
        <v>1432.21</v>
      </c>
      <c r="F232" s="16">
        <v>184.96</v>
      </c>
      <c r="G232" s="16">
        <v>14.68</v>
      </c>
      <c r="H232" s="28">
        <f>(F232/F231)*H231</f>
        <v>997.68056529478406</v>
      </c>
      <c r="I232" s="14">
        <v>622.16999999999996</v>
      </c>
      <c r="J232" s="28">
        <f t="shared" si="12"/>
        <v>1155.2938999536825</v>
      </c>
    </row>
    <row r="233" spans="1:10" ht="18" customHeight="1">
      <c r="A233" s="9">
        <v>38991</v>
      </c>
      <c r="B233" s="3">
        <v>1.4</v>
      </c>
      <c r="C233" s="30" t="str">
        <f t="shared" si="11"/>
        <v/>
      </c>
      <c r="D233" s="41" t="str">
        <f t="shared" si="13"/>
        <v/>
      </c>
      <c r="E233" s="16">
        <v>1364.55</v>
      </c>
      <c r="F233" s="16">
        <v>176.84</v>
      </c>
      <c r="G233" s="16">
        <v>16.84</v>
      </c>
      <c r="H233" s="28">
        <f t="shared" ref="H233:H271" si="15">(F233/F232)*H232</f>
        <v>953.88100760558825</v>
      </c>
      <c r="I233" s="13">
        <v>586.1</v>
      </c>
      <c r="J233" s="28">
        <f t="shared" si="12"/>
        <v>1088.3163038443729</v>
      </c>
    </row>
    <row r="234" spans="1:10" ht="18" customHeight="1">
      <c r="A234" s="9">
        <v>38961</v>
      </c>
      <c r="B234" s="3">
        <v>1.4</v>
      </c>
      <c r="C234" s="30" t="str">
        <f t="shared" si="11"/>
        <v/>
      </c>
      <c r="D234" s="41" t="str">
        <f t="shared" si="13"/>
        <v/>
      </c>
      <c r="E234" s="16">
        <v>1371.41</v>
      </c>
      <c r="F234" s="16">
        <v>178.05</v>
      </c>
      <c r="G234" s="16">
        <v>16.71</v>
      </c>
      <c r="H234" s="28">
        <f t="shared" si="15"/>
        <v>960.40778898538224</v>
      </c>
      <c r="I234" s="14">
        <v>600.41999999999996</v>
      </c>
      <c r="J234" s="28">
        <f t="shared" si="12"/>
        <v>1114.9067994441875</v>
      </c>
    </row>
    <row r="235" spans="1:10" ht="18" customHeight="1">
      <c r="A235" s="9">
        <v>38930</v>
      </c>
      <c r="B235" s="3">
        <v>1.38</v>
      </c>
      <c r="C235" s="30" t="str">
        <f t="shared" si="11"/>
        <v/>
      </c>
      <c r="D235" s="41" t="str">
        <f t="shared" si="13"/>
        <v/>
      </c>
      <c r="E235" s="16">
        <v>1352.74</v>
      </c>
      <c r="F235" s="16">
        <v>175.44</v>
      </c>
      <c r="G235" s="16">
        <v>17.899999999999999</v>
      </c>
      <c r="H235" s="28">
        <f t="shared" si="15"/>
        <v>946.32935972814062</v>
      </c>
      <c r="I235" s="14">
        <v>572.83000000000004</v>
      </c>
      <c r="J235" s="28">
        <f t="shared" si="12"/>
        <v>1063.6755303381201</v>
      </c>
    </row>
    <row r="236" spans="1:10" ht="18" customHeight="1">
      <c r="A236" s="9">
        <v>38899</v>
      </c>
      <c r="B236" s="3">
        <v>1.33</v>
      </c>
      <c r="C236" s="30" t="str">
        <f t="shared" si="11"/>
        <v/>
      </c>
      <c r="D236" s="41" t="str">
        <f t="shared" si="13"/>
        <v/>
      </c>
      <c r="E236" s="16">
        <v>1297.82</v>
      </c>
      <c r="F236" s="16">
        <v>168.51</v>
      </c>
      <c r="G236" s="16">
        <v>23.75</v>
      </c>
      <c r="H236" s="28">
        <f t="shared" si="15"/>
        <v>908.94870273477522</v>
      </c>
      <c r="I236" s="14">
        <v>557.66</v>
      </c>
      <c r="J236" s="28">
        <f t="shared" si="12"/>
        <v>1035.5066882816122</v>
      </c>
    </row>
    <row r="237" spans="1:10" ht="18" customHeight="1">
      <c r="A237" s="9">
        <v>38869</v>
      </c>
      <c r="B237" s="3">
        <v>1.33</v>
      </c>
      <c r="C237" s="30" t="str">
        <f t="shared" si="11"/>
        <v/>
      </c>
      <c r="D237" s="41" t="str">
        <f t="shared" si="13"/>
        <v/>
      </c>
      <c r="E237" s="16">
        <v>1295.1500000000001</v>
      </c>
      <c r="F237" s="16">
        <v>167.45</v>
      </c>
      <c r="G237" s="16">
        <v>22.72</v>
      </c>
      <c r="H237" s="28">
        <f t="shared" si="15"/>
        <v>903.23102648470774</v>
      </c>
      <c r="I237" s="14">
        <v>590.67999999999995</v>
      </c>
      <c r="J237" s="28">
        <f t="shared" si="12"/>
        <v>1096.8208059286712</v>
      </c>
    </row>
    <row r="238" spans="1:10" ht="18" customHeight="1">
      <c r="A238" s="9">
        <v>38838</v>
      </c>
      <c r="B238" s="3">
        <v>1.36</v>
      </c>
      <c r="C238" s="30" t="str">
        <f t="shared" si="11"/>
        <v/>
      </c>
      <c r="D238" s="41" t="str">
        <f t="shared" si="13"/>
        <v/>
      </c>
      <c r="E238" s="16">
        <v>1317.7</v>
      </c>
      <c r="F238" s="16">
        <v>171.01</v>
      </c>
      <c r="G238" s="16">
        <v>21.21</v>
      </c>
      <c r="H238" s="28">
        <f t="shared" si="15"/>
        <v>922.43378823021726</v>
      </c>
      <c r="I238" s="13">
        <v>630.5</v>
      </c>
      <c r="J238" s="28">
        <f t="shared" si="12"/>
        <v>1170.7616952292733</v>
      </c>
    </row>
    <row r="239" spans="1:10" ht="18" customHeight="1">
      <c r="A239" s="9">
        <v>38808</v>
      </c>
      <c r="B239" s="3">
        <v>1.46</v>
      </c>
      <c r="C239" s="30" t="str">
        <f t="shared" si="11"/>
        <v/>
      </c>
      <c r="D239" s="41" t="str">
        <f t="shared" si="13"/>
        <v/>
      </c>
      <c r="E239" s="16">
        <v>1419.73</v>
      </c>
      <c r="F239" s="16">
        <v>184.1</v>
      </c>
      <c r="G239" s="16">
        <v>17.98</v>
      </c>
      <c r="H239" s="28">
        <f t="shared" si="15"/>
        <v>993.04169588435184</v>
      </c>
      <c r="I239" s="14">
        <v>685.44</v>
      </c>
      <c r="J239" s="28">
        <f t="shared" si="12"/>
        <v>1272.778582677166</v>
      </c>
    </row>
    <row r="240" spans="1:10" ht="18" customHeight="1">
      <c r="A240" s="9">
        <v>38777</v>
      </c>
      <c r="B240" s="3">
        <v>1.63</v>
      </c>
      <c r="C240" s="30" t="str">
        <f t="shared" si="11"/>
        <v/>
      </c>
      <c r="D240" s="41" t="str">
        <f t="shared" si="13"/>
        <v/>
      </c>
      <c r="E240" s="16">
        <v>1359.6</v>
      </c>
      <c r="F240" s="16">
        <v>176.21</v>
      </c>
      <c r="G240" s="16">
        <v>18.190000000000001</v>
      </c>
      <c r="H240" s="28">
        <f t="shared" si="15"/>
        <v>950.48276606073682</v>
      </c>
      <c r="I240" s="14">
        <v>665.21</v>
      </c>
      <c r="J240" s="28">
        <f t="shared" si="12"/>
        <v>1235.2139370078746</v>
      </c>
    </row>
    <row r="241" spans="1:10" ht="18" customHeight="1">
      <c r="A241" s="9">
        <v>38749</v>
      </c>
      <c r="B241" s="3">
        <v>1.64</v>
      </c>
      <c r="C241" s="30" t="str">
        <f t="shared" si="11"/>
        <v/>
      </c>
      <c r="D241" s="41" t="str">
        <f t="shared" si="13"/>
        <v/>
      </c>
      <c r="E241" s="16">
        <v>1371.59</v>
      </c>
      <c r="F241" s="16">
        <v>177.45</v>
      </c>
      <c r="G241" s="16">
        <v>19.899999999999999</v>
      </c>
      <c r="H241" s="28">
        <f t="shared" si="15"/>
        <v>957.171368466476</v>
      </c>
      <c r="I241" s="14">
        <v>682.36</v>
      </c>
      <c r="J241" s="28">
        <f t="shared" si="12"/>
        <v>1267.0593978693844</v>
      </c>
    </row>
    <row r="242" spans="1:10" ht="18" customHeight="1">
      <c r="A242" s="9">
        <v>38718</v>
      </c>
      <c r="B242" s="3">
        <v>1.65</v>
      </c>
      <c r="C242" s="30" t="str">
        <f t="shared" si="11"/>
        <v/>
      </c>
      <c r="D242" s="41" t="str">
        <f t="shared" si="13"/>
        <v/>
      </c>
      <c r="E242" s="16">
        <v>1399.83</v>
      </c>
      <c r="F242" s="16">
        <v>180.65</v>
      </c>
      <c r="G242" s="16">
        <v>21.57</v>
      </c>
      <c r="H242" s="28">
        <f t="shared" si="15"/>
        <v>974.43227790064191</v>
      </c>
      <c r="I242" s="14">
        <v>690.24</v>
      </c>
      <c r="J242" s="28">
        <f t="shared" si="12"/>
        <v>1281.6915979620198</v>
      </c>
    </row>
    <row r="243" spans="1:10" ht="18" customHeight="1">
      <c r="A243" s="9">
        <v>38687</v>
      </c>
      <c r="B243" s="3">
        <v>1.63</v>
      </c>
      <c r="C243" s="30" t="str">
        <f t="shared" si="11"/>
        <v/>
      </c>
      <c r="D243" s="41" t="str">
        <f t="shared" si="13"/>
        <v/>
      </c>
      <c r="E243" s="16">
        <v>1379.37</v>
      </c>
      <c r="F243" s="16">
        <v>177.43</v>
      </c>
      <c r="G243" s="16">
        <v>19.440000000000001</v>
      </c>
      <c r="H243" s="28">
        <f t="shared" si="15"/>
        <v>957.06348778251254</v>
      </c>
      <c r="I243" s="14">
        <v>701.79</v>
      </c>
      <c r="J243" s="28">
        <f t="shared" si="12"/>
        <v>1303.1385409912</v>
      </c>
    </row>
    <row r="244" spans="1:10" ht="18" customHeight="1">
      <c r="A244" s="9">
        <v>38657</v>
      </c>
      <c r="B244" s="3">
        <v>1.53</v>
      </c>
      <c r="C244" s="30" t="str">
        <f t="shared" si="11"/>
        <v/>
      </c>
      <c r="D244" s="41" t="str">
        <f t="shared" si="13"/>
        <v/>
      </c>
      <c r="E244" s="16">
        <v>1297.44</v>
      </c>
      <c r="F244" s="16">
        <v>165.95</v>
      </c>
      <c r="G244" s="16">
        <v>23.38</v>
      </c>
      <c r="H244" s="28">
        <f t="shared" si="15"/>
        <v>895.13997518744259</v>
      </c>
      <c r="I244" s="14">
        <v>712.39</v>
      </c>
      <c r="J244" s="28">
        <f t="shared" si="12"/>
        <v>1322.8214497452527</v>
      </c>
    </row>
    <row r="245" spans="1:10" ht="18" customHeight="1">
      <c r="A245" s="9">
        <v>38626</v>
      </c>
      <c r="B245" s="3">
        <v>1.35</v>
      </c>
      <c r="C245" s="30" t="str">
        <f t="shared" si="11"/>
        <v/>
      </c>
      <c r="D245" s="41" t="str">
        <f t="shared" si="13"/>
        <v/>
      </c>
      <c r="E245" s="16">
        <v>1158.1099999999999</v>
      </c>
      <c r="F245" s="16">
        <v>148.84</v>
      </c>
      <c r="G245" s="16">
        <v>25.85</v>
      </c>
      <c r="H245" s="28">
        <f t="shared" si="15"/>
        <v>802.84805005663725</v>
      </c>
      <c r="I245" s="14">
        <v>587.46</v>
      </c>
      <c r="J245" s="28">
        <f t="shared" si="12"/>
        <v>1090.8416581750814</v>
      </c>
    </row>
    <row r="246" spans="1:10" ht="18" customHeight="1">
      <c r="A246" s="9">
        <v>38596</v>
      </c>
      <c r="B246" s="3">
        <v>1.43</v>
      </c>
      <c r="C246" s="30" t="str">
        <f t="shared" si="11"/>
        <v/>
      </c>
      <c r="D246" s="41" t="str">
        <f t="shared" si="13"/>
        <v/>
      </c>
      <c r="E246" s="16">
        <v>1221.01</v>
      </c>
      <c r="F246" s="16">
        <v>157.55000000000001</v>
      </c>
      <c r="G246" s="16">
        <v>23.82</v>
      </c>
      <c r="H246" s="28">
        <f t="shared" si="15"/>
        <v>849.83008792275734</v>
      </c>
      <c r="I246" s="14">
        <v>571.95000000000005</v>
      </c>
      <c r="J246" s="28">
        <f t="shared" si="12"/>
        <v>1062.0414775358968</v>
      </c>
    </row>
    <row r="247" spans="1:10" ht="18" customHeight="1">
      <c r="A247" s="9">
        <v>38565</v>
      </c>
      <c r="B247" s="3">
        <v>1.27</v>
      </c>
      <c r="C247" s="30" t="str">
        <f t="shared" si="11"/>
        <v/>
      </c>
      <c r="D247" s="41" t="str">
        <f t="shared" si="13"/>
        <v/>
      </c>
      <c r="E247" s="16">
        <v>1083.33</v>
      </c>
      <c r="F247" s="16">
        <v>140.09</v>
      </c>
      <c r="G247" s="16">
        <v>21.12</v>
      </c>
      <c r="H247" s="28">
        <f t="shared" si="15"/>
        <v>755.65025082259012</v>
      </c>
      <c r="I247" s="14">
        <v>503.95</v>
      </c>
      <c r="J247" s="28">
        <f t="shared" si="12"/>
        <v>935.77376100046365</v>
      </c>
    </row>
    <row r="248" spans="1:10" ht="18" customHeight="1">
      <c r="A248" s="9">
        <v>38534</v>
      </c>
      <c r="B248" s="3">
        <v>1.3</v>
      </c>
      <c r="C248" s="30" t="str">
        <f t="shared" si="11"/>
        <v/>
      </c>
      <c r="D248" s="41" t="str">
        <f t="shared" si="13"/>
        <v/>
      </c>
      <c r="E248" s="16">
        <v>1111.29</v>
      </c>
      <c r="F248" s="16">
        <v>143.32</v>
      </c>
      <c r="G248" s="16">
        <v>16.88</v>
      </c>
      <c r="H248" s="28">
        <f t="shared" si="15"/>
        <v>773.07298128270122</v>
      </c>
      <c r="I248" s="14">
        <v>546.67999999999995</v>
      </c>
      <c r="J248" s="28">
        <f t="shared" si="12"/>
        <v>1015.1181658175085</v>
      </c>
    </row>
    <row r="249" spans="1:10" ht="18" customHeight="1">
      <c r="A249" s="9">
        <v>38504</v>
      </c>
      <c r="B249" s="3">
        <v>1.18</v>
      </c>
      <c r="C249" s="30" t="str">
        <f t="shared" si="11"/>
        <v/>
      </c>
      <c r="D249" s="41" t="str">
        <f t="shared" si="13"/>
        <v/>
      </c>
      <c r="E249" s="16">
        <v>1008.16</v>
      </c>
      <c r="F249" s="16">
        <v>129.43</v>
      </c>
      <c r="G249" s="16">
        <v>15.76</v>
      </c>
      <c r="H249" s="28">
        <f t="shared" si="15"/>
        <v>698.14984627002536</v>
      </c>
      <c r="I249" s="14">
        <v>503.21</v>
      </c>
      <c r="J249" s="28">
        <f t="shared" si="12"/>
        <v>934.39967114404863</v>
      </c>
    </row>
    <row r="250" spans="1:10" ht="18" customHeight="1">
      <c r="A250" s="9">
        <v>38473</v>
      </c>
      <c r="B250" s="3">
        <v>1.1399999999999999</v>
      </c>
      <c r="C250" s="30" t="str">
        <f t="shared" si="11"/>
        <v/>
      </c>
      <c r="D250" s="41" t="str">
        <f t="shared" si="13"/>
        <v/>
      </c>
      <c r="E250" s="16">
        <v>970.21</v>
      </c>
      <c r="F250" s="16">
        <v>124.84</v>
      </c>
      <c r="G250" s="16">
        <v>16.350000000000001</v>
      </c>
      <c r="H250" s="28">
        <f t="shared" si="15"/>
        <v>673.39122930039377</v>
      </c>
      <c r="I250" s="14">
        <v>471.48</v>
      </c>
      <c r="J250" s="28">
        <f t="shared" si="12"/>
        <v>875.48092635479441</v>
      </c>
    </row>
    <row r="251" spans="1:10" ht="18" customHeight="1">
      <c r="A251" s="9">
        <v>38443</v>
      </c>
      <c r="B251" s="3">
        <v>1.07</v>
      </c>
      <c r="C251" s="30" t="str">
        <f t="shared" si="11"/>
        <v/>
      </c>
      <c r="D251" s="41" t="str">
        <f t="shared" si="13"/>
        <v/>
      </c>
      <c r="E251" s="16">
        <v>911.3</v>
      </c>
      <c r="F251" s="16">
        <v>117.58</v>
      </c>
      <c r="G251" s="16">
        <v>22.48</v>
      </c>
      <c r="H251" s="28">
        <f t="shared" si="15"/>
        <v>634.23054102163007</v>
      </c>
      <c r="I251" s="13">
        <v>424.4</v>
      </c>
      <c r="J251" s="28">
        <f t="shared" si="12"/>
        <v>788.05910143585038</v>
      </c>
    </row>
    <row r="252" spans="1:10" ht="18" customHeight="1">
      <c r="A252" s="9">
        <v>38412</v>
      </c>
      <c r="B252" s="3">
        <v>1.27</v>
      </c>
      <c r="C252" s="30" t="str">
        <f t="shared" si="11"/>
        <v/>
      </c>
      <c r="D252" s="41" t="str">
        <f t="shared" si="13"/>
        <v/>
      </c>
      <c r="E252" s="16">
        <v>965.68</v>
      </c>
      <c r="F252" s="16">
        <v>124.78</v>
      </c>
      <c r="G252" s="16">
        <v>19.690000000000001</v>
      </c>
      <c r="H252" s="28">
        <f t="shared" si="15"/>
        <v>673.06758724850317</v>
      </c>
      <c r="I252" s="14">
        <v>455.03</v>
      </c>
      <c r="J252" s="28">
        <f t="shared" si="12"/>
        <v>844.93528022232556</v>
      </c>
    </row>
    <row r="253" spans="1:10" ht="18" customHeight="1">
      <c r="A253" s="9">
        <v>38384</v>
      </c>
      <c r="B253" s="3">
        <v>1.33</v>
      </c>
      <c r="C253" s="30" t="str">
        <f t="shared" si="11"/>
        <v/>
      </c>
      <c r="D253" s="41" t="str">
        <f t="shared" si="13"/>
        <v/>
      </c>
      <c r="E253" s="16">
        <v>1011.36</v>
      </c>
      <c r="F253" s="16">
        <v>130.85</v>
      </c>
      <c r="G253" s="16">
        <v>16.670000000000002</v>
      </c>
      <c r="H253" s="28">
        <f t="shared" si="15"/>
        <v>705.80937483143634</v>
      </c>
      <c r="I253" s="14">
        <v>498.38</v>
      </c>
      <c r="J253" s="28">
        <f t="shared" si="12"/>
        <v>925.43094951366425</v>
      </c>
    </row>
    <row r="254" spans="1:10" ht="18" customHeight="1">
      <c r="A254" s="9">
        <v>38353</v>
      </c>
      <c r="B254" s="3">
        <v>1.23</v>
      </c>
      <c r="C254" s="30" t="str">
        <f t="shared" si="11"/>
        <v/>
      </c>
      <c r="D254" s="41" t="str">
        <f t="shared" si="13"/>
        <v/>
      </c>
      <c r="E254" s="16">
        <v>932.7</v>
      </c>
      <c r="F254" s="16">
        <v>121.06</v>
      </c>
      <c r="G254" s="16">
        <v>18.12</v>
      </c>
      <c r="H254" s="28">
        <f t="shared" si="15"/>
        <v>653.00178003128542</v>
      </c>
      <c r="I254" s="14">
        <v>472.95</v>
      </c>
      <c r="J254" s="28">
        <f t="shared" si="12"/>
        <v>878.2105372857809</v>
      </c>
    </row>
    <row r="255" spans="1:10" ht="18" customHeight="1">
      <c r="A255" s="9">
        <v>38322</v>
      </c>
      <c r="B255" s="3">
        <v>1.1599999999999999</v>
      </c>
      <c r="C255" s="30" t="str">
        <f t="shared" si="11"/>
        <v/>
      </c>
      <c r="D255" s="41" t="str">
        <f t="shared" si="13"/>
        <v/>
      </c>
      <c r="E255" s="16">
        <v>895.92</v>
      </c>
      <c r="F255" s="16">
        <v>115.25</v>
      </c>
      <c r="G255" s="16">
        <v>21.29</v>
      </c>
      <c r="H255" s="28">
        <f t="shared" si="15"/>
        <v>621.66244133987811</v>
      </c>
      <c r="I255" s="14">
        <v>380.33</v>
      </c>
      <c r="J255" s="28">
        <f t="shared" si="12"/>
        <v>706.22647985178367</v>
      </c>
    </row>
    <row r="256" spans="1:10" ht="18" customHeight="1">
      <c r="A256" s="9">
        <v>38292</v>
      </c>
      <c r="B256" s="3">
        <v>1.1299999999999999</v>
      </c>
      <c r="C256" s="30" t="str">
        <f t="shared" si="11"/>
        <v/>
      </c>
      <c r="D256" s="41" t="str">
        <f t="shared" si="13"/>
        <v/>
      </c>
      <c r="E256" s="16">
        <v>878.06</v>
      </c>
      <c r="F256" s="16">
        <v>113.4</v>
      </c>
      <c r="G256" s="16">
        <v>25.05</v>
      </c>
      <c r="H256" s="28">
        <f t="shared" si="15"/>
        <v>611.68347807325108</v>
      </c>
      <c r="I256" s="14">
        <v>373.43</v>
      </c>
      <c r="J256" s="28">
        <f t="shared" si="12"/>
        <v>693.41402037980595</v>
      </c>
    </row>
    <row r="257" spans="1:19" ht="18" customHeight="1">
      <c r="A257" s="9">
        <v>38261</v>
      </c>
      <c r="B257" s="3">
        <v>1.08</v>
      </c>
      <c r="C257" s="30" t="str">
        <f t="shared" si="11"/>
        <v/>
      </c>
      <c r="D257" s="41" t="str">
        <f t="shared" si="13"/>
        <v/>
      </c>
      <c r="E257" s="16">
        <v>834.84</v>
      </c>
      <c r="F257" s="16">
        <v>107.99</v>
      </c>
      <c r="G257" s="16">
        <v>27.17</v>
      </c>
      <c r="H257" s="28">
        <f t="shared" si="15"/>
        <v>582.50175306111441</v>
      </c>
      <c r="I257" s="14">
        <v>357.04</v>
      </c>
      <c r="J257" s="28">
        <f t="shared" si="12"/>
        <v>662.97978693839787</v>
      </c>
    </row>
    <row r="258" spans="1:19" ht="18" customHeight="1">
      <c r="A258" s="9">
        <v>38231</v>
      </c>
      <c r="B258" s="3">
        <v>1.08</v>
      </c>
      <c r="C258" s="30" t="str">
        <f t="shared" si="11"/>
        <v/>
      </c>
      <c r="D258" s="41" t="str">
        <f t="shared" si="13"/>
        <v/>
      </c>
      <c r="E258" s="16">
        <v>835.09</v>
      </c>
      <c r="F258" s="16">
        <v>107.69</v>
      </c>
      <c r="G258" s="21">
        <v>23.73</v>
      </c>
      <c r="H258" s="28">
        <f t="shared" si="15"/>
        <v>580.88354280166141</v>
      </c>
      <c r="I258" s="14">
        <v>362.08</v>
      </c>
      <c r="J258" s="28">
        <f t="shared" si="12"/>
        <v>672.33845298749463</v>
      </c>
    </row>
    <row r="259" spans="1:19" ht="18" customHeight="1">
      <c r="A259" s="9">
        <v>38200</v>
      </c>
      <c r="B259" s="3">
        <v>1.03</v>
      </c>
      <c r="C259" s="30" t="str">
        <f t="shared" si="11"/>
        <v/>
      </c>
      <c r="D259" s="41" t="str">
        <f t="shared" si="13"/>
        <v/>
      </c>
      <c r="E259" s="16">
        <v>803.57</v>
      </c>
      <c r="F259" s="16">
        <v>102.89</v>
      </c>
      <c r="G259" s="21">
        <v>22.76</v>
      </c>
      <c r="H259" s="28">
        <f t="shared" si="15"/>
        <v>554.99217865041271</v>
      </c>
      <c r="I259" s="14">
        <v>355.66</v>
      </c>
      <c r="J259" s="28">
        <f t="shared" si="12"/>
        <v>660.41729504400234</v>
      </c>
    </row>
    <row r="260" spans="1:19" ht="18" customHeight="1">
      <c r="A260" s="9">
        <v>38169</v>
      </c>
      <c r="B260" s="3">
        <v>0.96</v>
      </c>
      <c r="C260" s="30" t="str">
        <f t="shared" ref="C260:C323" si="16">IF(B260&lt;=C$1, "Risk", "")</f>
        <v/>
      </c>
      <c r="D260" s="41" t="str">
        <f t="shared" si="13"/>
        <v/>
      </c>
      <c r="E260" s="16">
        <v>735.34</v>
      </c>
      <c r="F260" s="16">
        <v>95.27</v>
      </c>
      <c r="G260" s="21">
        <v>28.62</v>
      </c>
      <c r="H260" s="28">
        <f t="shared" si="15"/>
        <v>513.8896380603054</v>
      </c>
      <c r="I260" s="14">
        <v>331.21</v>
      </c>
      <c r="J260" s="28">
        <f t="shared" ref="J260:J265" si="17">(I260/I259)*J259</f>
        <v>615.01662343677663</v>
      </c>
    </row>
    <row r="261" spans="1:19" ht="18" customHeight="1">
      <c r="A261" s="9">
        <v>38139</v>
      </c>
      <c r="B261" s="3">
        <v>1.01</v>
      </c>
      <c r="C261" s="30" t="str">
        <f t="shared" si="16"/>
        <v/>
      </c>
      <c r="D261" s="41" t="str">
        <f t="shared" ref="D261:D324" si="18">IF(B261&lt;=D$1, "Risk", "")</f>
        <v/>
      </c>
      <c r="E261" s="16">
        <v>785.79</v>
      </c>
      <c r="F261" s="16">
        <v>101.85</v>
      </c>
      <c r="G261" s="21">
        <v>32.36</v>
      </c>
      <c r="H261" s="28">
        <f t="shared" si="15"/>
        <v>549.38238308430891</v>
      </c>
      <c r="I261" s="14">
        <v>385.18</v>
      </c>
      <c r="J261" s="28">
        <f t="shared" si="17"/>
        <v>715.23233904585504</v>
      </c>
    </row>
    <row r="262" spans="1:19" ht="18" customHeight="1">
      <c r="A262" s="9">
        <v>38108</v>
      </c>
      <c r="B262" s="3">
        <v>1.02</v>
      </c>
      <c r="C262" s="30" t="str">
        <f t="shared" si="16"/>
        <v/>
      </c>
      <c r="D262" s="41" t="str">
        <f t="shared" si="18"/>
        <v/>
      </c>
      <c r="E262" s="16">
        <v>803.84</v>
      </c>
      <c r="F262" s="16">
        <v>104.14</v>
      </c>
      <c r="G262" s="21">
        <v>30.14</v>
      </c>
      <c r="H262" s="28">
        <f t="shared" si="15"/>
        <v>561.73472139813396</v>
      </c>
      <c r="I262" s="14">
        <v>400.92</v>
      </c>
      <c r="J262" s="28">
        <f t="shared" si="17"/>
        <v>744.45960166743907</v>
      </c>
    </row>
    <row r="263" spans="1:19" ht="18" customHeight="1">
      <c r="A263" s="9">
        <v>38078</v>
      </c>
      <c r="B263" s="3">
        <v>1.1000000000000001</v>
      </c>
      <c r="C263" s="30" t="str">
        <f t="shared" si="16"/>
        <v/>
      </c>
      <c r="D263" s="41" t="str">
        <f t="shared" si="18"/>
        <v/>
      </c>
      <c r="E263" s="16">
        <v>862.84</v>
      </c>
      <c r="F263" s="16">
        <v>112.4</v>
      </c>
      <c r="G263" s="21">
        <v>24.47</v>
      </c>
      <c r="H263" s="28">
        <f t="shared" si="15"/>
        <v>606.28944387507454</v>
      </c>
      <c r="I263" s="14">
        <v>453.47</v>
      </c>
      <c r="J263" s="28">
        <f t="shared" si="17"/>
        <v>842.03855025474809</v>
      </c>
    </row>
    <row r="264" spans="1:19" ht="18" customHeight="1">
      <c r="A264" s="9">
        <v>38047</v>
      </c>
      <c r="B264" s="3">
        <v>1.1100000000000001</v>
      </c>
      <c r="C264" s="30" t="str">
        <f t="shared" si="16"/>
        <v/>
      </c>
      <c r="D264" s="41" t="str">
        <f t="shared" si="18"/>
        <v/>
      </c>
      <c r="E264" s="16">
        <v>880.5</v>
      </c>
      <c r="F264" s="16">
        <v>115.98</v>
      </c>
      <c r="G264" s="21">
        <v>24.66</v>
      </c>
      <c r="H264" s="28">
        <f t="shared" si="15"/>
        <v>625.60008630454752</v>
      </c>
      <c r="I264" s="14">
        <v>434.16</v>
      </c>
      <c r="J264" s="28">
        <f t="shared" si="17"/>
        <v>806.18223251505378</v>
      </c>
      <c r="S264" s="32"/>
    </row>
    <row r="265" spans="1:19" ht="18" customHeight="1">
      <c r="A265" s="9">
        <v>38018</v>
      </c>
      <c r="B265" s="3">
        <v>1.08</v>
      </c>
      <c r="C265" s="30" t="str">
        <f t="shared" si="16"/>
        <v/>
      </c>
      <c r="D265" s="41" t="str">
        <f t="shared" si="18"/>
        <v/>
      </c>
      <c r="E265" s="16">
        <v>883.42</v>
      </c>
      <c r="F265" s="16">
        <v>115.92</v>
      </c>
      <c r="G265" s="21">
        <v>19.95</v>
      </c>
      <c r="H265" s="28">
        <f t="shared" si="15"/>
        <v>625.27644425265692</v>
      </c>
      <c r="I265" s="14">
        <v>428.68</v>
      </c>
      <c r="J265" s="28">
        <f t="shared" si="17"/>
        <v>796.00654006484535</v>
      </c>
      <c r="R265" s="33"/>
      <c r="S265" s="32"/>
    </row>
    <row r="266" spans="1:19" ht="18" customHeight="1">
      <c r="A266" s="9">
        <v>37987</v>
      </c>
      <c r="B266" s="3">
        <v>1.07</v>
      </c>
      <c r="C266" s="30" t="str">
        <f t="shared" si="16"/>
        <v/>
      </c>
      <c r="D266" s="41" t="str">
        <f t="shared" si="18"/>
        <v/>
      </c>
      <c r="E266" s="16">
        <v>848.5</v>
      </c>
      <c r="F266" s="16">
        <v>110.89</v>
      </c>
      <c r="G266" s="21">
        <v>21.23</v>
      </c>
      <c r="H266" s="28">
        <f t="shared" si="15"/>
        <v>598.14445223582754</v>
      </c>
      <c r="I266" s="14">
        <v>441.45</v>
      </c>
      <c r="J266" s="28">
        <f>(I266/I265)*J265</f>
        <v>819.71887447892595</v>
      </c>
      <c r="Q266" s="33"/>
      <c r="R266" s="33"/>
      <c r="S266" s="32"/>
    </row>
    <row r="267" spans="1:19" ht="18" customHeight="1">
      <c r="A267" s="9">
        <v>37956</v>
      </c>
      <c r="B267" s="58">
        <v>1.02</v>
      </c>
      <c r="C267" s="30" t="str">
        <f t="shared" si="16"/>
        <v/>
      </c>
      <c r="D267" s="41" t="str">
        <f t="shared" si="18"/>
        <v/>
      </c>
      <c r="E267" s="17">
        <v>811</v>
      </c>
      <c r="F267" s="27">
        <v>105.21</v>
      </c>
      <c r="G267" s="17">
        <v>22.5</v>
      </c>
      <c r="H267" s="28">
        <f t="shared" si="15"/>
        <v>567.50633799018317</v>
      </c>
      <c r="I267" s="29">
        <f>(E267/E266)*I266</f>
        <v>421.93983500294632</v>
      </c>
      <c r="J267" s="29">
        <f>(H267/H266)*J266</f>
        <v>777.73129032309305</v>
      </c>
      <c r="P267" s="33"/>
      <c r="Q267" s="33"/>
      <c r="R267" s="33"/>
      <c r="S267" s="32"/>
    </row>
    <row r="268" spans="1:19" ht="18" customHeight="1">
      <c r="A268" s="9">
        <v>37926</v>
      </c>
      <c r="B268" s="58">
        <v>1.01</v>
      </c>
      <c r="C268" s="30" t="str">
        <f t="shared" si="16"/>
        <v/>
      </c>
      <c r="D268" s="41" t="str">
        <f t="shared" si="18"/>
        <v/>
      </c>
      <c r="E268" s="17">
        <v>796</v>
      </c>
      <c r="F268" s="27">
        <v>103.61</v>
      </c>
      <c r="G268" s="17">
        <v>25.4</v>
      </c>
      <c r="H268" s="28">
        <f t="shared" si="15"/>
        <v>558.87588327310027</v>
      </c>
      <c r="I268" s="29">
        <f t="shared" ref="I268:I326" si="19">(E268/E267)*I267</f>
        <v>414.13576900412488</v>
      </c>
      <c r="J268" s="29">
        <f t="shared" ref="J268:J326" si="20">(H268/H267)*J267</f>
        <v>765.90380182849231</v>
      </c>
      <c r="O268" s="33"/>
      <c r="P268" s="33"/>
      <c r="Q268" s="33"/>
      <c r="R268" s="33"/>
      <c r="S268" s="32"/>
    </row>
    <row r="269" spans="1:19" ht="18" customHeight="1">
      <c r="A269" s="9">
        <v>37895</v>
      </c>
      <c r="B269" s="59">
        <v>0.99</v>
      </c>
      <c r="C269" s="30" t="str">
        <f t="shared" si="16"/>
        <v/>
      </c>
      <c r="D269" s="41" t="str">
        <f t="shared" si="18"/>
        <v/>
      </c>
      <c r="E269" s="18">
        <v>782</v>
      </c>
      <c r="F269" s="27">
        <v>101.44</v>
      </c>
      <c r="G269" s="18">
        <v>28.3</v>
      </c>
      <c r="H269" s="28">
        <f t="shared" si="15"/>
        <v>547.17082906305654</v>
      </c>
      <c r="I269" s="29">
        <f t="shared" si="19"/>
        <v>406.8519740718915</v>
      </c>
      <c r="J269" s="29">
        <f t="shared" si="20"/>
        <v>749.86277055768994</v>
      </c>
      <c r="N269" s="33"/>
      <c r="O269" s="32"/>
      <c r="P269" s="32"/>
      <c r="Q269" s="32"/>
      <c r="R269" s="32"/>
      <c r="S269" s="32"/>
    </row>
    <row r="270" spans="1:19" ht="18" customHeight="1">
      <c r="A270" s="9">
        <v>37865</v>
      </c>
      <c r="B270" s="59">
        <v>0.89</v>
      </c>
      <c r="C270" s="30" t="str">
        <f t="shared" si="16"/>
        <v>Risk</v>
      </c>
      <c r="D270" s="41" t="str">
        <f t="shared" si="18"/>
        <v>Risk</v>
      </c>
      <c r="E270" s="18">
        <v>698</v>
      </c>
      <c r="F270" s="27">
        <v>89.55</v>
      </c>
      <c r="G270" s="18">
        <v>27</v>
      </c>
      <c r="H270" s="28">
        <f t="shared" si="15"/>
        <v>483.03576244673417</v>
      </c>
      <c r="I270" s="29">
        <f t="shared" si="19"/>
        <v>363.14920447849141</v>
      </c>
      <c r="J270" s="29">
        <f t="shared" si="20"/>
        <v>661.96974668218786</v>
      </c>
      <c r="M270" s="33"/>
      <c r="N270" s="33"/>
      <c r="O270" s="32"/>
      <c r="P270" s="32"/>
      <c r="Q270" s="32"/>
      <c r="R270" s="32"/>
      <c r="S270" s="32"/>
    </row>
    <row r="271" spans="1:19" ht="18" customHeight="1">
      <c r="A271" s="9">
        <v>37834</v>
      </c>
      <c r="B271" s="59">
        <v>0.96</v>
      </c>
      <c r="C271" s="30" t="str">
        <f t="shared" si="16"/>
        <v/>
      </c>
      <c r="D271" s="41" t="str">
        <f t="shared" si="18"/>
        <v/>
      </c>
      <c r="E271" s="18">
        <v>759</v>
      </c>
      <c r="F271" s="27">
        <v>97.59</v>
      </c>
      <c r="G271" s="18">
        <v>20.8</v>
      </c>
      <c r="H271" s="28">
        <f t="shared" si="15"/>
        <v>526.40379740007586</v>
      </c>
      <c r="I271" s="29">
        <f t="shared" si="19"/>
        <v>394.88573954036531</v>
      </c>
      <c r="J271" s="29">
        <f t="shared" si="20"/>
        <v>721.40287636755693</v>
      </c>
      <c r="L271" s="33"/>
      <c r="M271" s="33"/>
      <c r="N271" s="33"/>
      <c r="O271" s="32"/>
      <c r="P271" s="32"/>
      <c r="Q271" s="32"/>
      <c r="R271" s="32"/>
      <c r="S271" s="32"/>
    </row>
    <row r="272" spans="1:19" ht="18" customHeight="1">
      <c r="A272" s="9">
        <v>37803</v>
      </c>
      <c r="B272" s="59">
        <v>0.9</v>
      </c>
      <c r="C272" s="30" t="str">
        <f t="shared" si="16"/>
        <v>Risk</v>
      </c>
      <c r="D272" s="41" t="str">
        <f t="shared" si="18"/>
        <v>Risk</v>
      </c>
      <c r="E272" s="18">
        <v>714</v>
      </c>
      <c r="F272" s="27">
        <v>91.52</v>
      </c>
      <c r="G272" s="18">
        <v>25.5</v>
      </c>
      <c r="H272" s="28">
        <f>(F272/F271)*H271</f>
        <v>493.66200981714252</v>
      </c>
      <c r="I272" s="29">
        <f t="shared" si="19"/>
        <v>371.47354154390098</v>
      </c>
      <c r="J272" s="29">
        <f t="shared" si="20"/>
        <v>676.53234189116506</v>
      </c>
      <c r="K272" s="33"/>
      <c r="L272" s="33"/>
      <c r="M272" s="33"/>
      <c r="N272" s="33"/>
      <c r="O272" s="32"/>
      <c r="P272" s="32"/>
      <c r="Q272" s="32"/>
      <c r="R272" s="32"/>
      <c r="S272" s="32"/>
    </row>
    <row r="273" spans="1:19" ht="18" customHeight="1">
      <c r="A273" s="9">
        <v>37773</v>
      </c>
      <c r="B273" s="59">
        <v>0.84</v>
      </c>
      <c r="C273" s="30" t="str">
        <f t="shared" si="16"/>
        <v>Risk</v>
      </c>
      <c r="D273" s="41" t="str">
        <f t="shared" si="18"/>
        <v>Risk</v>
      </c>
      <c r="E273" s="18">
        <v>670</v>
      </c>
      <c r="F273" s="27">
        <v>85.47</v>
      </c>
      <c r="G273" s="18">
        <v>28.3</v>
      </c>
      <c r="H273" s="28">
        <f t="shared" ref="H273:H326" si="21">(F273/F272)*H272</f>
        <v>461.02810291817281</v>
      </c>
      <c r="I273" s="29">
        <f t="shared" si="19"/>
        <v>348.58161461402472</v>
      </c>
      <c r="J273" s="29">
        <f t="shared" si="20"/>
        <v>631.80965102095593</v>
      </c>
      <c r="K273" s="33"/>
      <c r="L273" s="33"/>
      <c r="M273" s="33"/>
      <c r="N273" s="33"/>
      <c r="O273" s="32"/>
      <c r="P273" s="32"/>
      <c r="Q273" s="32"/>
      <c r="R273" s="32"/>
      <c r="S273" s="32"/>
    </row>
    <row r="274" spans="1:19" ht="18" customHeight="1">
      <c r="A274" s="9">
        <v>37742</v>
      </c>
      <c r="B274" s="59">
        <v>0.79</v>
      </c>
      <c r="C274" s="30" t="str">
        <f t="shared" si="16"/>
        <v>Risk</v>
      </c>
      <c r="D274" s="41" t="str">
        <f t="shared" si="18"/>
        <v>Risk</v>
      </c>
      <c r="E274" s="18">
        <v>633</v>
      </c>
      <c r="F274" s="27">
        <v>80.53</v>
      </c>
      <c r="G274" s="18">
        <v>32.4</v>
      </c>
      <c r="H274" s="28">
        <f t="shared" si="21"/>
        <v>434.38157397917934</v>
      </c>
      <c r="I274" s="29">
        <f t="shared" si="19"/>
        <v>329.33158515026514</v>
      </c>
      <c r="J274" s="29">
        <f t="shared" si="20"/>
        <v>595.29228029387593</v>
      </c>
      <c r="K274" s="33"/>
      <c r="L274" s="33"/>
      <c r="M274" s="33"/>
      <c r="N274" s="33"/>
      <c r="O274" s="32"/>
      <c r="P274" s="32"/>
      <c r="Q274" s="32"/>
      <c r="R274" s="32"/>
      <c r="S274" s="32"/>
    </row>
    <row r="275" spans="1:19" ht="18" customHeight="1">
      <c r="A275" s="9">
        <v>37712</v>
      </c>
      <c r="B275" s="58">
        <v>0.76</v>
      </c>
      <c r="C275" s="30" t="str">
        <f t="shared" si="16"/>
        <v>Risk</v>
      </c>
      <c r="D275" s="41" t="str">
        <f t="shared" si="18"/>
        <v>Risk</v>
      </c>
      <c r="E275" s="17">
        <v>599</v>
      </c>
      <c r="F275" s="27">
        <v>76.45</v>
      </c>
      <c r="G275" s="17">
        <v>34.5</v>
      </c>
      <c r="H275" s="28">
        <f t="shared" si="21"/>
        <v>412.37391445061792</v>
      </c>
      <c r="I275" s="29">
        <f t="shared" si="19"/>
        <v>311.64236888626982</v>
      </c>
      <c r="J275" s="29">
        <f t="shared" si="20"/>
        <v>565.13218463264388</v>
      </c>
      <c r="K275" s="33"/>
      <c r="L275" s="33"/>
      <c r="M275" s="33"/>
      <c r="N275" s="33"/>
      <c r="O275" s="32"/>
      <c r="P275" s="32"/>
      <c r="Q275" s="32"/>
      <c r="R275" s="32"/>
      <c r="S275" s="32"/>
    </row>
    <row r="276" spans="1:19" ht="18" customHeight="1">
      <c r="A276" s="9">
        <v>37681</v>
      </c>
      <c r="B276" s="58">
        <v>0.89</v>
      </c>
      <c r="C276" s="30" t="str">
        <f t="shared" si="16"/>
        <v>Risk</v>
      </c>
      <c r="D276" s="41" t="str">
        <f t="shared" si="18"/>
        <v>Risk</v>
      </c>
      <c r="E276" s="17">
        <v>536</v>
      </c>
      <c r="F276" s="27">
        <v>68.05</v>
      </c>
      <c r="G276" s="17">
        <v>41</v>
      </c>
      <c r="H276" s="28">
        <f t="shared" si="21"/>
        <v>367.06402718593262</v>
      </c>
      <c r="I276" s="29">
        <f t="shared" si="19"/>
        <v>278.86529169121974</v>
      </c>
      <c r="J276" s="29">
        <f t="shared" si="20"/>
        <v>503.03787003598973</v>
      </c>
      <c r="K276" s="35">
        <f>1+(($H272/$H276)-1)*2</f>
        <v>1.6897869213813368</v>
      </c>
      <c r="L276" s="35">
        <f>1+(($H271/$H276)-1)*2</f>
        <v>1.8681851579720794</v>
      </c>
      <c r="M276" s="35">
        <f>1+(($H270/$H276)-1)*2</f>
        <v>1.631888317413666</v>
      </c>
      <c r="N276" s="35">
        <f>1+(($H269/$H276)-1)*2</f>
        <v>1.9813372520205728</v>
      </c>
      <c r="O276" s="35">
        <f>1+(($H268/$H276)-1)*2</f>
        <v>2.0451138868479055</v>
      </c>
      <c r="P276" s="35">
        <f>1+(($H267/$H276)-1)*2</f>
        <v>2.0921381337252014</v>
      </c>
      <c r="Q276" s="35">
        <f>1+(($H266/$H276)-1)*2</f>
        <v>2.2590742101396031</v>
      </c>
      <c r="R276" s="35">
        <f>1+(($H265/$H276)-1)*2</f>
        <v>2.4069066862601023</v>
      </c>
      <c r="S276" s="35">
        <f>1+(($H264/$H276)-1)*2</f>
        <v>2.4086700955180009</v>
      </c>
    </row>
    <row r="277" spans="1:19" ht="18" customHeight="1">
      <c r="A277" s="9">
        <v>37653</v>
      </c>
      <c r="B277" s="58">
        <v>0.96</v>
      </c>
      <c r="C277" s="30" t="str">
        <f t="shared" si="16"/>
        <v/>
      </c>
      <c r="D277" s="41" t="str">
        <f t="shared" si="18"/>
        <v/>
      </c>
      <c r="E277" s="17">
        <v>575</v>
      </c>
      <c r="F277" s="27">
        <v>72.849999999999994</v>
      </c>
      <c r="G277" s="17">
        <v>35.5</v>
      </c>
      <c r="H277" s="28">
        <f t="shared" si="21"/>
        <v>392.95539133718131</v>
      </c>
      <c r="I277" s="29">
        <f t="shared" si="19"/>
        <v>299.1558632881555</v>
      </c>
      <c r="J277" s="29">
        <f t="shared" si="20"/>
        <v>538.52033551979207</v>
      </c>
    </row>
    <row r="278" spans="1:19" ht="18" customHeight="1">
      <c r="A278" s="9">
        <v>37622</v>
      </c>
      <c r="B278" s="58">
        <v>0.98</v>
      </c>
      <c r="C278" s="30" t="str">
        <f t="shared" si="16"/>
        <v/>
      </c>
      <c r="D278" s="41" t="str">
        <f t="shared" si="18"/>
        <v/>
      </c>
      <c r="E278" s="17">
        <v>592</v>
      </c>
      <c r="F278" s="27">
        <v>75.22</v>
      </c>
      <c r="G278" s="17">
        <v>35.9</v>
      </c>
      <c r="H278" s="28">
        <f t="shared" si="21"/>
        <v>405.73925238686036</v>
      </c>
      <c r="I278" s="29">
        <f t="shared" si="19"/>
        <v>308.00047142015313</v>
      </c>
      <c r="J278" s="29">
        <f t="shared" si="20"/>
        <v>556.03980285241948</v>
      </c>
    </row>
    <row r="279" spans="1:19" ht="18" customHeight="1">
      <c r="A279" s="9">
        <v>37591</v>
      </c>
      <c r="B279" s="58">
        <v>1.05</v>
      </c>
      <c r="C279" s="30" t="str">
        <f t="shared" si="16"/>
        <v/>
      </c>
      <c r="D279" s="41" t="str">
        <f t="shared" si="18"/>
        <v/>
      </c>
      <c r="E279" s="17">
        <v>628</v>
      </c>
      <c r="F279" s="27">
        <v>79.87</v>
      </c>
      <c r="G279" s="17">
        <v>35.6</v>
      </c>
      <c r="H279" s="28">
        <f t="shared" si="21"/>
        <v>430.82151140838261</v>
      </c>
      <c r="I279" s="29">
        <f t="shared" si="19"/>
        <v>326.73022981732458</v>
      </c>
      <c r="J279" s="29">
        <f t="shared" si="20"/>
        <v>590.41344128985304</v>
      </c>
    </row>
    <row r="280" spans="1:19" ht="18" customHeight="1">
      <c r="A280" s="9">
        <v>37561</v>
      </c>
      <c r="B280" s="58">
        <v>1.19</v>
      </c>
      <c r="C280" s="30" t="str">
        <f t="shared" si="16"/>
        <v/>
      </c>
      <c r="D280" s="41" t="str">
        <f t="shared" si="18"/>
        <v/>
      </c>
      <c r="E280" s="17">
        <v>725</v>
      </c>
      <c r="F280" s="27">
        <v>92.05</v>
      </c>
      <c r="G280" s="17">
        <v>40.9</v>
      </c>
      <c r="H280" s="28">
        <f t="shared" si="21"/>
        <v>496.5208479421762</v>
      </c>
      <c r="I280" s="29">
        <f t="shared" si="19"/>
        <v>377.19652327636993</v>
      </c>
      <c r="J280" s="29">
        <f t="shared" si="20"/>
        <v>680.45019745500144</v>
      </c>
    </row>
    <row r="281" spans="1:19" ht="18" customHeight="1">
      <c r="A281" s="9">
        <v>37530</v>
      </c>
      <c r="B281" s="58">
        <v>1.08</v>
      </c>
      <c r="C281" s="30" t="str">
        <f t="shared" si="16"/>
        <v/>
      </c>
      <c r="D281" s="41" t="str">
        <f t="shared" si="18"/>
        <v/>
      </c>
      <c r="E281" s="17">
        <v>659</v>
      </c>
      <c r="F281" s="27">
        <v>83.1</v>
      </c>
      <c r="G281" s="17">
        <v>40.9</v>
      </c>
      <c r="H281" s="28">
        <f t="shared" si="21"/>
        <v>448.2442418684937</v>
      </c>
      <c r="I281" s="29">
        <f t="shared" si="19"/>
        <v>342.85863288155554</v>
      </c>
      <c r="J281" s="29">
        <f t="shared" si="20"/>
        <v>614.29018368832828</v>
      </c>
    </row>
    <row r="282" spans="1:19" ht="18" customHeight="1">
      <c r="A282" s="9">
        <v>37500</v>
      </c>
      <c r="B282" s="58">
        <v>1.06</v>
      </c>
      <c r="C282" s="30" t="str">
        <f t="shared" si="16"/>
        <v/>
      </c>
      <c r="D282" s="41" t="str">
        <f t="shared" si="18"/>
        <v/>
      </c>
      <c r="E282" s="17">
        <v>646</v>
      </c>
      <c r="F282" s="27">
        <v>81.37</v>
      </c>
      <c r="G282" s="22">
        <v>40</v>
      </c>
      <c r="H282" s="28">
        <f t="shared" si="21"/>
        <v>438.91256270564787</v>
      </c>
      <c r="I282" s="29">
        <f t="shared" si="19"/>
        <v>336.09510901591028</v>
      </c>
      <c r="J282" s="29">
        <f t="shared" si="20"/>
        <v>601.50171175354126</v>
      </c>
      <c r="R282" s="32"/>
    </row>
    <row r="283" spans="1:19" ht="18" customHeight="1">
      <c r="A283" s="9">
        <v>37469</v>
      </c>
      <c r="B283" s="58">
        <v>1.2</v>
      </c>
      <c r="C283" s="30" t="str">
        <f t="shared" si="16"/>
        <v/>
      </c>
      <c r="D283" s="41" t="str">
        <f t="shared" si="18"/>
        <v/>
      </c>
      <c r="E283" s="17">
        <v>736</v>
      </c>
      <c r="F283" s="27">
        <v>92.55</v>
      </c>
      <c r="G283" s="22">
        <v>40</v>
      </c>
      <c r="H283" s="28">
        <f t="shared" si="21"/>
        <v>499.2178650412647</v>
      </c>
      <c r="I283" s="29">
        <f t="shared" si="19"/>
        <v>382.919505008839</v>
      </c>
      <c r="J283" s="29">
        <f t="shared" si="20"/>
        <v>684.1462876095643</v>
      </c>
      <c r="R283" s="32"/>
    </row>
    <row r="284" spans="1:19" ht="18" customHeight="1">
      <c r="A284" s="9">
        <v>37438</v>
      </c>
      <c r="B284" s="58">
        <v>1.1599999999999999</v>
      </c>
      <c r="C284" s="30" t="str">
        <f t="shared" si="16"/>
        <v/>
      </c>
      <c r="D284" s="41" t="str">
        <f t="shared" si="18"/>
        <v/>
      </c>
      <c r="E284" s="17">
        <v>718</v>
      </c>
      <c r="F284" s="27">
        <v>90.16</v>
      </c>
      <c r="G284" s="22">
        <v>35</v>
      </c>
      <c r="H284" s="28">
        <f t="shared" si="21"/>
        <v>486.32612330762208</v>
      </c>
      <c r="I284" s="29">
        <f t="shared" si="19"/>
        <v>373.55462581025324</v>
      </c>
      <c r="J284" s="29">
        <f t="shared" si="20"/>
        <v>666.47897667075438</v>
      </c>
      <c r="Q284" s="33"/>
      <c r="R284" s="32"/>
    </row>
    <row r="285" spans="1:19" ht="18" customHeight="1">
      <c r="A285" s="9">
        <v>37408</v>
      </c>
      <c r="B285" s="58">
        <v>1.21</v>
      </c>
      <c r="C285" s="30" t="str">
        <f t="shared" si="16"/>
        <v/>
      </c>
      <c r="D285" s="41" t="str">
        <f t="shared" si="18"/>
        <v/>
      </c>
      <c r="E285" s="17">
        <v>743</v>
      </c>
      <c r="F285" s="27">
        <v>93.69</v>
      </c>
      <c r="G285" s="22">
        <v>40</v>
      </c>
      <c r="H285" s="28">
        <f t="shared" si="21"/>
        <v>505.36706402718625</v>
      </c>
      <c r="I285" s="29">
        <f t="shared" si="19"/>
        <v>386.56140247495563</v>
      </c>
      <c r="J285" s="29">
        <f t="shared" si="20"/>
        <v>692.57337316196742</v>
      </c>
      <c r="P285" s="33"/>
      <c r="Q285" s="33"/>
      <c r="R285" s="32"/>
    </row>
    <row r="286" spans="1:19" ht="18" customHeight="1">
      <c r="A286" s="9">
        <v>37377</v>
      </c>
      <c r="B286" s="58">
        <v>1.34</v>
      </c>
      <c r="C286" s="30" t="str">
        <f t="shared" si="16"/>
        <v/>
      </c>
      <c r="D286" s="41" t="str">
        <f t="shared" si="18"/>
        <v/>
      </c>
      <c r="E286" s="17">
        <v>796</v>
      </c>
      <c r="F286" s="27">
        <v>100.8</v>
      </c>
      <c r="G286" s="22">
        <v>35</v>
      </c>
      <c r="H286" s="28">
        <f t="shared" si="21"/>
        <v>543.71864717622339</v>
      </c>
      <c r="I286" s="29">
        <f t="shared" si="19"/>
        <v>414.13576900412471</v>
      </c>
      <c r="J286" s="29">
        <f t="shared" si="20"/>
        <v>745.13177515984967</v>
      </c>
      <c r="O286" s="33"/>
      <c r="P286" s="33"/>
      <c r="Q286" s="33"/>
      <c r="R286" s="32"/>
    </row>
    <row r="287" spans="1:19" ht="18" customHeight="1">
      <c r="A287" s="9">
        <v>37347</v>
      </c>
      <c r="B287" s="58">
        <v>1.4</v>
      </c>
      <c r="C287" s="30" t="str">
        <f t="shared" si="16"/>
        <v/>
      </c>
      <c r="D287" s="41" t="str">
        <f t="shared" si="18"/>
        <v/>
      </c>
      <c r="E287" s="17">
        <v>842</v>
      </c>
      <c r="F287" s="27">
        <v>106.39</v>
      </c>
      <c r="G287" s="22">
        <v>32</v>
      </c>
      <c r="H287" s="28">
        <f t="shared" si="21"/>
        <v>573.87129834403186</v>
      </c>
      <c r="I287" s="29">
        <f t="shared" si="19"/>
        <v>438.06823806717716</v>
      </c>
      <c r="J287" s="29">
        <f t="shared" si="20"/>
        <v>786.4540630878613</v>
      </c>
      <c r="N287" s="33"/>
      <c r="O287" s="33"/>
      <c r="P287" s="33"/>
      <c r="Q287" s="33"/>
      <c r="R287" s="32"/>
    </row>
    <row r="288" spans="1:19" ht="18" customHeight="1">
      <c r="A288" s="9">
        <v>37316</v>
      </c>
      <c r="B288" s="59">
        <v>1.49</v>
      </c>
      <c r="C288" s="30" t="str">
        <f t="shared" si="16"/>
        <v/>
      </c>
      <c r="D288" s="41" t="str">
        <f t="shared" si="18"/>
        <v/>
      </c>
      <c r="E288" s="18">
        <v>896</v>
      </c>
      <c r="F288" s="27">
        <v>111.84</v>
      </c>
      <c r="G288" s="23">
        <v>15</v>
      </c>
      <c r="H288" s="28">
        <f t="shared" si="21"/>
        <v>603.26878472409555</v>
      </c>
      <c r="I288" s="29">
        <f t="shared" si="19"/>
        <v>466.16287566293437</v>
      </c>
      <c r="J288" s="29">
        <f t="shared" si="20"/>
        <v>826.74144577259528</v>
      </c>
      <c r="M288" s="33"/>
      <c r="N288" s="33"/>
      <c r="O288" s="33"/>
      <c r="P288" s="33"/>
      <c r="Q288" s="33"/>
      <c r="R288" s="32"/>
    </row>
    <row r="289" spans="1:21" ht="18" customHeight="1">
      <c r="A289" s="9">
        <v>37288</v>
      </c>
      <c r="B289" s="59">
        <v>1.363</v>
      </c>
      <c r="C289" s="30" t="str">
        <f t="shared" si="16"/>
        <v/>
      </c>
      <c r="D289" s="41" t="str">
        <f t="shared" si="18"/>
        <v/>
      </c>
      <c r="E289" s="18">
        <v>820</v>
      </c>
      <c r="F289" s="27">
        <v>102.62</v>
      </c>
      <c r="G289" s="23">
        <v>15</v>
      </c>
      <c r="H289" s="28">
        <f t="shared" si="21"/>
        <v>553.53578941690523</v>
      </c>
      <c r="I289" s="29">
        <f t="shared" si="19"/>
        <v>426.62227460223903</v>
      </c>
      <c r="J289" s="29">
        <f t="shared" si="20"/>
        <v>758.58554332245808</v>
      </c>
      <c r="L289" s="33"/>
      <c r="M289" s="33"/>
      <c r="N289" s="33"/>
      <c r="O289" s="33"/>
      <c r="P289" s="33"/>
      <c r="Q289" s="33"/>
      <c r="R289" s="32"/>
    </row>
    <row r="290" spans="1:21" ht="18" customHeight="1">
      <c r="A290" s="9">
        <v>37257</v>
      </c>
      <c r="B290" s="59">
        <v>1.244</v>
      </c>
      <c r="C290" s="30" t="str">
        <f t="shared" si="16"/>
        <v/>
      </c>
      <c r="D290" s="41" t="str">
        <f t="shared" si="18"/>
        <v/>
      </c>
      <c r="E290" s="18">
        <v>748</v>
      </c>
      <c r="F290" s="27">
        <v>92.99</v>
      </c>
      <c r="G290" s="23">
        <v>15</v>
      </c>
      <c r="H290" s="28">
        <f t="shared" si="21"/>
        <v>501.59124008846243</v>
      </c>
      <c r="I290" s="29">
        <f t="shared" si="19"/>
        <v>389.16275780789613</v>
      </c>
      <c r="J290" s="29">
        <f t="shared" si="20"/>
        <v>687.39884694557952</v>
      </c>
      <c r="K290" s="33"/>
      <c r="L290" s="33"/>
      <c r="M290" s="33"/>
      <c r="N290" s="33"/>
      <c r="O290" s="33"/>
      <c r="P290" s="33"/>
      <c r="Q290" s="33"/>
      <c r="R290" s="32"/>
    </row>
    <row r="291" spans="1:21" ht="18" customHeight="1">
      <c r="A291" s="9">
        <v>37226</v>
      </c>
      <c r="B291" s="59">
        <v>1.1539999999999999</v>
      </c>
      <c r="C291" s="30" t="str">
        <f t="shared" si="16"/>
        <v/>
      </c>
      <c r="D291" s="41" t="str">
        <f t="shared" si="18"/>
        <v/>
      </c>
      <c r="E291" s="18">
        <v>694</v>
      </c>
      <c r="F291" s="27">
        <v>86.97</v>
      </c>
      <c r="G291" s="23">
        <v>15</v>
      </c>
      <c r="H291" s="28">
        <f t="shared" si="21"/>
        <v>469.11915421543796</v>
      </c>
      <c r="I291" s="29">
        <f t="shared" si="19"/>
        <v>361.06812021213892</v>
      </c>
      <c r="J291" s="29">
        <f t="shared" si="20"/>
        <v>642.89792148464403</v>
      </c>
      <c r="K291" s="33"/>
      <c r="L291" s="33"/>
      <c r="M291" s="33"/>
      <c r="N291" s="33"/>
      <c r="O291" s="33"/>
      <c r="P291" s="33"/>
      <c r="Q291" s="33"/>
      <c r="R291" s="32"/>
    </row>
    <row r="292" spans="1:21" ht="18" customHeight="1">
      <c r="A292" s="9">
        <v>37196</v>
      </c>
      <c r="B292" s="59">
        <v>1.071</v>
      </c>
      <c r="C292" s="30" t="str">
        <f t="shared" si="16"/>
        <v/>
      </c>
      <c r="D292" s="41" t="str">
        <f t="shared" si="18"/>
        <v/>
      </c>
      <c r="E292" s="18">
        <v>644</v>
      </c>
      <c r="F292" s="27">
        <v>80.03</v>
      </c>
      <c r="G292" s="23">
        <v>15</v>
      </c>
      <c r="H292" s="28">
        <f t="shared" si="21"/>
        <v>431.68455688009089</v>
      </c>
      <c r="I292" s="29">
        <f t="shared" si="19"/>
        <v>335.05456688273409</v>
      </c>
      <c r="J292" s="29">
        <f t="shared" si="20"/>
        <v>591.59619013931319</v>
      </c>
      <c r="K292" s="33"/>
      <c r="L292" s="33"/>
      <c r="M292" s="33"/>
      <c r="N292" s="33"/>
      <c r="O292" s="33"/>
      <c r="P292" s="33"/>
      <c r="Q292" s="33"/>
      <c r="R292" s="32"/>
    </row>
    <row r="293" spans="1:21" ht="18" customHeight="1">
      <c r="A293" s="9">
        <v>37165</v>
      </c>
      <c r="B293" s="59">
        <v>0.89500000000000002</v>
      </c>
      <c r="C293" s="30" t="str">
        <f t="shared" si="16"/>
        <v>Risk</v>
      </c>
      <c r="D293" s="41" t="str">
        <f t="shared" si="18"/>
        <v>Risk</v>
      </c>
      <c r="E293" s="18">
        <v>538</v>
      </c>
      <c r="F293" s="27">
        <v>66.44</v>
      </c>
      <c r="G293" s="23">
        <v>15</v>
      </c>
      <c r="H293" s="28">
        <f t="shared" si="21"/>
        <v>358.37963212686788</v>
      </c>
      <c r="I293" s="29">
        <f t="shared" si="19"/>
        <v>279.90583382439587</v>
      </c>
      <c r="J293" s="29">
        <f t="shared" si="20"/>
        <v>491.13645973829773</v>
      </c>
      <c r="K293" s="33"/>
      <c r="L293" s="33"/>
      <c r="M293" s="33"/>
      <c r="N293" s="33"/>
      <c r="O293" s="33"/>
      <c r="P293" s="33"/>
      <c r="Q293" s="33"/>
      <c r="R293" s="35">
        <f>1+(($H282/$H293)-1)*2</f>
        <v>1.4494280553883208</v>
      </c>
      <c r="S293" s="32"/>
    </row>
    <row r="294" spans="1:21" ht="18" customHeight="1">
      <c r="A294" s="9">
        <v>37135</v>
      </c>
      <c r="B294" s="58">
        <v>0.79800000000000004</v>
      </c>
      <c r="C294" s="30" t="str">
        <f t="shared" si="16"/>
        <v>Risk</v>
      </c>
      <c r="D294" s="41" t="str">
        <f t="shared" si="18"/>
        <v>Risk</v>
      </c>
      <c r="E294" s="17">
        <v>480</v>
      </c>
      <c r="F294" s="27">
        <v>58.91</v>
      </c>
      <c r="G294" s="22">
        <v>35</v>
      </c>
      <c r="H294" s="28">
        <f t="shared" si="21"/>
        <v>317.76255461459641</v>
      </c>
      <c r="I294" s="29">
        <f t="shared" si="19"/>
        <v>249.73011196228629</v>
      </c>
      <c r="J294" s="29">
        <f t="shared" si="20"/>
        <v>435.47334201058277</v>
      </c>
      <c r="K294" s="35">
        <f>1+(($H290/$H294)-1)*2</f>
        <v>2.1570191818027502</v>
      </c>
      <c r="L294" s="35">
        <f>1+(($H289/$H294)-1)*2</f>
        <v>2.4839585808860978</v>
      </c>
      <c r="M294" s="35">
        <f>1+(($H288/$H294)-1)*2</f>
        <v>2.7969784416907153</v>
      </c>
      <c r="N294" s="35">
        <f>1+(($H287/$H294)-1)*2</f>
        <v>2.6119504328636909</v>
      </c>
      <c r="O294" s="35">
        <f>1+(($H286/$H294)-1)*2</f>
        <v>2.4221694109658802</v>
      </c>
      <c r="P294" s="35">
        <f>1+(($H285/$H294)-1)*2</f>
        <v>2.1807842471566801</v>
      </c>
      <c r="Q294" s="35">
        <f>1+(($H284/$H294)-1)*2</f>
        <v>2.0609404175861488</v>
      </c>
      <c r="R294" s="33"/>
      <c r="S294" s="32"/>
    </row>
    <row r="295" spans="1:21" ht="18" customHeight="1">
      <c r="A295" s="9">
        <v>37104</v>
      </c>
      <c r="B295" s="58">
        <v>0.90600000000000003</v>
      </c>
      <c r="C295" s="30" t="str">
        <f t="shared" si="16"/>
        <v>Risk</v>
      </c>
      <c r="D295" s="41" t="str">
        <f t="shared" si="18"/>
        <v/>
      </c>
      <c r="E295" s="17">
        <v>545</v>
      </c>
      <c r="F295" s="27">
        <v>67.42</v>
      </c>
      <c r="G295" s="22">
        <v>35</v>
      </c>
      <c r="H295" s="28">
        <f t="shared" si="21"/>
        <v>363.66578564108119</v>
      </c>
      <c r="I295" s="29">
        <f t="shared" si="19"/>
        <v>283.54773129051256</v>
      </c>
      <c r="J295" s="29">
        <f t="shared" si="20"/>
        <v>498.38079644124082</v>
      </c>
      <c r="K295" s="34">
        <f>$H294/$H295</f>
        <v>0.87377632749925827</v>
      </c>
      <c r="L295" s="33"/>
      <c r="M295" s="33"/>
      <c r="N295" s="33"/>
      <c r="O295" s="33"/>
      <c r="P295" s="34">
        <f>$H294/$H295</f>
        <v>0.87377632749925827</v>
      </c>
      <c r="Q295" s="33"/>
      <c r="R295" s="33"/>
      <c r="S295" s="32"/>
    </row>
    <row r="296" spans="1:21" ht="18" customHeight="1">
      <c r="A296" s="9">
        <v>37073</v>
      </c>
      <c r="B296" s="58">
        <v>0.90100000000000002</v>
      </c>
      <c r="C296" s="30" t="str">
        <f t="shared" si="16"/>
        <v>Risk</v>
      </c>
      <c r="D296" s="41" t="str">
        <f t="shared" si="18"/>
        <v/>
      </c>
      <c r="E296" s="17">
        <v>542</v>
      </c>
      <c r="F296" s="27">
        <v>66.98</v>
      </c>
      <c r="G296" s="22">
        <v>35</v>
      </c>
      <c r="H296" s="28">
        <f t="shared" si="21"/>
        <v>361.2924105938834</v>
      </c>
      <c r="I296" s="29">
        <f t="shared" si="19"/>
        <v>281.9869180907483</v>
      </c>
      <c r="J296" s="29">
        <f t="shared" si="20"/>
        <v>495.12823710522559</v>
      </c>
      <c r="K296" s="32"/>
      <c r="L296" s="34">
        <f>$H294/$H296</f>
        <v>0.87951627351448181</v>
      </c>
      <c r="M296" s="34">
        <f>$H294/$H296</f>
        <v>0.87951627351448181</v>
      </c>
      <c r="N296" s="34">
        <f>$H294/$H296</f>
        <v>0.87951627351448181</v>
      </c>
      <c r="O296" s="34">
        <f>$H294/$H296</f>
        <v>0.87951627351448181</v>
      </c>
      <c r="P296" s="33"/>
      <c r="Q296" s="33"/>
      <c r="R296" s="32"/>
      <c r="S296" s="32"/>
    </row>
    <row r="297" spans="1:21" ht="18" customHeight="1">
      <c r="A297" s="9">
        <v>37043</v>
      </c>
      <c r="B297" s="58">
        <v>0.98899999999999999</v>
      </c>
      <c r="C297" s="30" t="str">
        <f t="shared" si="16"/>
        <v/>
      </c>
      <c r="D297" s="41" t="str">
        <f t="shared" si="18"/>
        <v/>
      </c>
      <c r="E297" s="17">
        <v>595</v>
      </c>
      <c r="F297" s="27">
        <v>73.2</v>
      </c>
      <c r="G297" s="22">
        <v>25</v>
      </c>
      <c r="H297" s="28">
        <f t="shared" si="21"/>
        <v>394.84330330654319</v>
      </c>
      <c r="I297" s="29">
        <f t="shared" si="19"/>
        <v>309.56128461991739</v>
      </c>
      <c r="J297" s="29">
        <f t="shared" si="20"/>
        <v>541.10759862798614</v>
      </c>
      <c r="K297" s="32"/>
      <c r="O297" s="33"/>
      <c r="P297" s="33"/>
      <c r="Q297" s="33"/>
      <c r="R297" s="32"/>
      <c r="S297" s="32"/>
    </row>
    <row r="298" spans="1:21" ht="18" customHeight="1">
      <c r="A298" s="9">
        <v>37012</v>
      </c>
      <c r="B298" s="57">
        <v>1.018</v>
      </c>
      <c r="C298" s="30" t="str">
        <f t="shared" si="16"/>
        <v/>
      </c>
      <c r="D298" s="41" t="str">
        <f t="shared" si="18"/>
        <v/>
      </c>
      <c r="E298" s="19">
        <v>612</v>
      </c>
      <c r="F298" s="27">
        <v>76.09</v>
      </c>
      <c r="G298" s="24">
        <v>20</v>
      </c>
      <c r="H298" s="28">
        <f t="shared" si="21"/>
        <v>410.43206213927419</v>
      </c>
      <c r="I298" s="29">
        <f t="shared" si="19"/>
        <v>318.40589275191502</v>
      </c>
      <c r="J298" s="29">
        <f t="shared" si="20"/>
        <v>562.47099972135879</v>
      </c>
      <c r="K298" s="32"/>
      <c r="N298" s="33"/>
      <c r="O298" s="33"/>
      <c r="P298" s="33"/>
      <c r="Q298" s="33"/>
      <c r="R298" s="32"/>
      <c r="S298" s="32"/>
    </row>
    <row r="299" spans="1:21" ht="18" customHeight="1">
      <c r="A299" s="9">
        <v>36982</v>
      </c>
      <c r="B299" s="57">
        <v>0.95899999999999996</v>
      </c>
      <c r="C299" s="30" t="str">
        <f t="shared" si="16"/>
        <v/>
      </c>
      <c r="D299" s="41" t="str">
        <f t="shared" si="18"/>
        <v/>
      </c>
      <c r="E299" s="19">
        <v>577</v>
      </c>
      <c r="F299" s="27">
        <v>72.45</v>
      </c>
      <c r="G299" s="24">
        <v>20</v>
      </c>
      <c r="H299" s="28">
        <f t="shared" si="21"/>
        <v>390.79777765791056</v>
      </c>
      <c r="I299" s="29">
        <f t="shared" si="19"/>
        <v>300.19640542133163</v>
      </c>
      <c r="J299" s="29">
        <f t="shared" si="20"/>
        <v>535.56346339614197</v>
      </c>
      <c r="K299" s="32"/>
      <c r="M299" s="33"/>
      <c r="N299" s="33"/>
      <c r="O299" s="33"/>
      <c r="P299" s="33"/>
      <c r="Q299" s="33"/>
      <c r="R299" s="32"/>
      <c r="S299" s="32"/>
    </row>
    <row r="300" spans="1:21" ht="18" customHeight="1">
      <c r="A300" s="9">
        <v>36951</v>
      </c>
      <c r="B300" s="57">
        <v>0.87</v>
      </c>
      <c r="C300" s="30" t="str">
        <f t="shared" si="16"/>
        <v>Risk</v>
      </c>
      <c r="D300" s="41" t="str">
        <f t="shared" si="18"/>
        <v>Risk</v>
      </c>
      <c r="E300" s="19">
        <v>523</v>
      </c>
      <c r="F300" s="27">
        <v>65.16</v>
      </c>
      <c r="G300" s="24">
        <v>20</v>
      </c>
      <c r="H300" s="28">
        <f t="shared" si="21"/>
        <v>351.4752683532015</v>
      </c>
      <c r="I300" s="29">
        <f t="shared" si="19"/>
        <v>272.10176782557443</v>
      </c>
      <c r="J300" s="29">
        <f t="shared" si="20"/>
        <v>481.67446894261707</v>
      </c>
      <c r="K300" s="35">
        <f>1+(($H296/$H300)-1)*2</f>
        <v>1.0558624923265811</v>
      </c>
      <c r="L300" s="33"/>
      <c r="M300" s="33"/>
      <c r="N300" s="33"/>
      <c r="O300" s="33"/>
      <c r="P300" s="33"/>
      <c r="Q300" s="33"/>
      <c r="R300" s="33"/>
      <c r="S300" s="32"/>
    </row>
    <row r="301" spans="1:21" ht="18" customHeight="1">
      <c r="A301" s="9">
        <v>36923</v>
      </c>
      <c r="B301" s="57">
        <v>0.96099999999999997</v>
      </c>
      <c r="C301" s="30" t="str">
        <f t="shared" si="16"/>
        <v/>
      </c>
      <c r="D301" s="41" t="str">
        <f t="shared" si="18"/>
        <v/>
      </c>
      <c r="E301" s="19">
        <v>578</v>
      </c>
      <c r="F301" s="27">
        <v>72.14</v>
      </c>
      <c r="G301" s="24">
        <v>20</v>
      </c>
      <c r="H301" s="28">
        <f t="shared" si="21"/>
        <v>389.12562705647571</v>
      </c>
      <c r="I301" s="29">
        <f t="shared" si="19"/>
        <v>300.7166764879197</v>
      </c>
      <c r="J301" s="29">
        <f t="shared" si="20"/>
        <v>533.27188750031303</v>
      </c>
      <c r="K301" s="33"/>
      <c r="L301" s="33"/>
      <c r="M301" s="33"/>
      <c r="N301" s="33"/>
      <c r="O301" s="33"/>
      <c r="P301" s="33"/>
      <c r="Q301" s="33"/>
      <c r="R301" s="32"/>
      <c r="S301" s="32"/>
    </row>
    <row r="302" spans="1:21" ht="18" customHeight="1">
      <c r="A302" s="9">
        <v>36892</v>
      </c>
      <c r="B302" s="57">
        <v>1.028</v>
      </c>
      <c r="C302" s="30" t="str">
        <f t="shared" si="16"/>
        <v/>
      </c>
      <c r="D302" s="41" t="str">
        <f t="shared" si="18"/>
        <v/>
      </c>
      <c r="E302" s="19">
        <v>618</v>
      </c>
      <c r="F302" s="27">
        <v>77.98</v>
      </c>
      <c r="G302" s="24">
        <v>20</v>
      </c>
      <c r="H302" s="28">
        <f t="shared" si="21"/>
        <v>420.62678677382837</v>
      </c>
      <c r="I302" s="29">
        <f t="shared" si="19"/>
        <v>321.52751915144353</v>
      </c>
      <c r="J302" s="29">
        <f t="shared" si="20"/>
        <v>576.44222050560597</v>
      </c>
      <c r="K302" s="33"/>
      <c r="L302" s="33"/>
      <c r="M302" s="33"/>
      <c r="N302" s="33"/>
      <c r="O302" s="33"/>
      <c r="P302" s="33"/>
      <c r="Q302" s="33"/>
      <c r="R302" s="32"/>
      <c r="S302" s="32"/>
    </row>
    <row r="303" spans="1:21" ht="18" customHeight="1">
      <c r="A303" s="9">
        <v>36861</v>
      </c>
      <c r="B303" s="57">
        <v>0.84</v>
      </c>
      <c r="C303" s="30" t="str">
        <f t="shared" si="16"/>
        <v>Risk</v>
      </c>
      <c r="D303" s="41" t="str">
        <f t="shared" si="18"/>
        <v>Risk</v>
      </c>
      <c r="E303" s="19">
        <v>505</v>
      </c>
      <c r="F303" s="27">
        <v>63.35</v>
      </c>
      <c r="G303" s="24">
        <v>20</v>
      </c>
      <c r="H303" s="28">
        <f t="shared" si="21"/>
        <v>341.7120664545015</v>
      </c>
      <c r="I303" s="29">
        <f t="shared" si="19"/>
        <v>262.73688862698867</v>
      </c>
      <c r="J303" s="29">
        <f t="shared" si="20"/>
        <v>468.29462258309997</v>
      </c>
      <c r="K303" s="33"/>
      <c r="L303" s="33"/>
      <c r="M303" s="33"/>
      <c r="N303" s="33"/>
      <c r="O303" s="33"/>
      <c r="P303" s="33"/>
      <c r="Q303" s="33"/>
      <c r="R303" s="32"/>
      <c r="S303" s="32"/>
    </row>
    <row r="304" spans="1:21" ht="18" customHeight="1">
      <c r="A304" s="9">
        <v>36831</v>
      </c>
      <c r="B304" s="58">
        <v>0.84599999999999997</v>
      </c>
      <c r="C304" s="30" t="str">
        <f t="shared" si="16"/>
        <v>Risk</v>
      </c>
      <c r="D304" s="41" t="str">
        <f t="shared" si="18"/>
        <v>Risk</v>
      </c>
      <c r="E304" s="17">
        <v>509</v>
      </c>
      <c r="F304" s="27">
        <v>63.48</v>
      </c>
      <c r="G304" s="25">
        <v>20</v>
      </c>
      <c r="H304" s="28">
        <f t="shared" si="21"/>
        <v>342.41329090026443</v>
      </c>
      <c r="I304" s="29">
        <f t="shared" si="19"/>
        <v>264.81797289334105</v>
      </c>
      <c r="J304" s="29">
        <f t="shared" si="20"/>
        <v>469.25560602328625</v>
      </c>
      <c r="K304" s="33"/>
      <c r="L304" s="33"/>
      <c r="M304" s="33"/>
      <c r="N304" s="33"/>
      <c r="O304" s="33"/>
      <c r="P304" s="33"/>
      <c r="Q304" s="33"/>
      <c r="R304" s="32"/>
      <c r="S304" s="32"/>
      <c r="T304" s="52"/>
      <c r="U304" s="52"/>
    </row>
    <row r="305" spans="1:19" ht="18" customHeight="1">
      <c r="A305" s="9">
        <v>36800</v>
      </c>
      <c r="B305" s="58">
        <v>0.85499999999999998</v>
      </c>
      <c r="C305" s="30" t="str">
        <f t="shared" si="16"/>
        <v>Risk</v>
      </c>
      <c r="D305" s="41" t="str">
        <f t="shared" si="18"/>
        <v>Risk</v>
      </c>
      <c r="E305" s="17">
        <v>514</v>
      </c>
      <c r="F305" s="27">
        <v>64</v>
      </c>
      <c r="G305" s="25">
        <v>40</v>
      </c>
      <c r="H305" s="28">
        <f t="shared" si="21"/>
        <v>345.21818868331644</v>
      </c>
      <c r="I305" s="29">
        <f t="shared" si="19"/>
        <v>267.41932822628155</v>
      </c>
      <c r="J305" s="29">
        <f t="shared" si="20"/>
        <v>473.09953978403155</v>
      </c>
      <c r="K305" s="35">
        <f>1+(($H301/$H305)-1)*2</f>
        <v>1.2543749999999996</v>
      </c>
      <c r="L305" s="35">
        <f>1+(($H300/$H305)-1)*2</f>
        <v>1.0362499999999999</v>
      </c>
      <c r="M305" s="35">
        <f>1+(($H299/$H305)-1)*2</f>
        <v>1.2640625000000001</v>
      </c>
      <c r="N305" s="35">
        <f>1+(($H298/$H305)-1)*2</f>
        <v>1.3778125000000001</v>
      </c>
      <c r="O305" s="35">
        <f>1+(($H297/$H305)-1)*2</f>
        <v>1.2875000000000001</v>
      </c>
      <c r="P305" s="35">
        <f>1+(($H296/$H305)-1)*2</f>
        <v>1.0931250000000001</v>
      </c>
      <c r="Q305" s="35">
        <f>1+(($H295/$H305)-1)*2</f>
        <v>1.1068750000000001</v>
      </c>
      <c r="R305" s="35">
        <f>1+(($H294/$H305)-1)*2</f>
        <v>0.84093749999999989</v>
      </c>
      <c r="S305" s="35">
        <f>1+(($H293/$H305)-1)*2</f>
        <v>1.0762499999999999</v>
      </c>
    </row>
    <row r="306" spans="1:19" ht="18" customHeight="1">
      <c r="A306" s="9">
        <v>36770</v>
      </c>
      <c r="B306" s="58">
        <v>1.0189999999999999</v>
      </c>
      <c r="C306" s="30" t="str">
        <f t="shared" si="16"/>
        <v/>
      </c>
      <c r="D306" s="41" t="str">
        <f t="shared" si="18"/>
        <v/>
      </c>
      <c r="E306" s="17">
        <v>613</v>
      </c>
      <c r="F306" s="27">
        <v>76.37</v>
      </c>
      <c r="G306" s="25">
        <v>40</v>
      </c>
      <c r="H306" s="28">
        <f t="shared" si="21"/>
        <v>411.94239171476374</v>
      </c>
      <c r="I306" s="29">
        <f t="shared" si="19"/>
        <v>318.92616381850308</v>
      </c>
      <c r="J306" s="29">
        <f t="shared" si="20"/>
        <v>564.54081020791398</v>
      </c>
    </row>
    <row r="307" spans="1:19" ht="18" customHeight="1">
      <c r="A307" s="9">
        <v>36739</v>
      </c>
      <c r="B307" s="58">
        <v>1.1459999999999999</v>
      </c>
      <c r="C307" s="30" t="str">
        <f t="shared" si="16"/>
        <v/>
      </c>
      <c r="D307" s="41" t="str">
        <f t="shared" si="18"/>
        <v/>
      </c>
      <c r="E307" s="17">
        <v>689</v>
      </c>
      <c r="F307" s="27">
        <v>86.54</v>
      </c>
      <c r="G307" s="25">
        <v>20</v>
      </c>
      <c r="H307" s="28">
        <f t="shared" si="21"/>
        <v>466.79971951022202</v>
      </c>
      <c r="I307" s="29">
        <f t="shared" si="19"/>
        <v>358.46676487919842</v>
      </c>
      <c r="J307" s="29">
        <f t="shared" si="20"/>
        <v>639.71928395172029</v>
      </c>
    </row>
    <row r="308" spans="1:19" ht="18" customHeight="1">
      <c r="A308" s="9">
        <v>36708</v>
      </c>
      <c r="B308" s="58">
        <v>1.1739999999999999</v>
      </c>
      <c r="C308" s="30" t="str">
        <f t="shared" si="16"/>
        <v/>
      </c>
      <c r="D308" s="41" t="str">
        <f t="shared" si="18"/>
        <v/>
      </c>
      <c r="E308" s="17">
        <v>706</v>
      </c>
      <c r="F308" s="27">
        <v>89.35</v>
      </c>
      <c r="G308" s="25">
        <v>40</v>
      </c>
      <c r="H308" s="28">
        <f t="shared" si="21"/>
        <v>481.95695560709885</v>
      </c>
      <c r="I308" s="29">
        <f t="shared" si="19"/>
        <v>367.31137301119611</v>
      </c>
      <c r="J308" s="29">
        <f t="shared" si="20"/>
        <v>660.49131062036292</v>
      </c>
    </row>
    <row r="309" spans="1:19" ht="18" customHeight="1">
      <c r="A309" s="9">
        <v>36678</v>
      </c>
      <c r="B309" s="58">
        <v>1.365</v>
      </c>
      <c r="C309" s="30" t="str">
        <f t="shared" si="16"/>
        <v/>
      </c>
      <c r="D309" s="41" t="str">
        <f t="shared" si="18"/>
        <v/>
      </c>
      <c r="E309" s="17">
        <v>821</v>
      </c>
      <c r="F309" s="27">
        <v>104.43</v>
      </c>
      <c r="G309" s="25">
        <v>20</v>
      </c>
      <c r="H309" s="28">
        <f t="shared" si="21"/>
        <v>563.29899131560535</v>
      </c>
      <c r="I309" s="29">
        <f t="shared" si="19"/>
        <v>427.14254566882715</v>
      </c>
      <c r="J309" s="29">
        <f t="shared" si="20"/>
        <v>771.96538968197547</v>
      </c>
    </row>
    <row r="310" spans="1:19" ht="18" customHeight="1">
      <c r="A310" s="9">
        <v>36647</v>
      </c>
      <c r="B310" s="58">
        <v>1.2170000000000001</v>
      </c>
      <c r="C310" s="30" t="str">
        <f t="shared" si="16"/>
        <v/>
      </c>
      <c r="D310" s="41" t="str">
        <f t="shared" si="18"/>
        <v/>
      </c>
      <c r="E310" s="17">
        <v>732</v>
      </c>
      <c r="F310" s="27">
        <v>92.74</v>
      </c>
      <c r="G310" s="25">
        <v>30</v>
      </c>
      <c r="H310" s="28">
        <f t="shared" si="21"/>
        <v>500.24273153891829</v>
      </c>
      <c r="I310" s="29">
        <f t="shared" si="19"/>
        <v>380.83842074248656</v>
      </c>
      <c r="J310" s="29">
        <f t="shared" si="20"/>
        <v>685.55080186829844</v>
      </c>
    </row>
    <row r="311" spans="1:19" ht="18" customHeight="1">
      <c r="A311" s="9">
        <v>36617</v>
      </c>
      <c r="B311" s="58">
        <v>1.2050000000000001</v>
      </c>
      <c r="C311" s="30" t="str">
        <f t="shared" si="16"/>
        <v/>
      </c>
      <c r="D311" s="41" t="str">
        <f t="shared" si="18"/>
        <v/>
      </c>
      <c r="E311" s="17">
        <v>725</v>
      </c>
      <c r="F311" s="27">
        <v>91.21</v>
      </c>
      <c r="G311" s="25">
        <v>40</v>
      </c>
      <c r="H311" s="28">
        <f t="shared" si="21"/>
        <v>491.98985921570778</v>
      </c>
      <c r="I311" s="29">
        <f t="shared" si="19"/>
        <v>377.19652327636993</v>
      </c>
      <c r="J311" s="29">
        <f t="shared" si="20"/>
        <v>674.24076599533646</v>
      </c>
    </row>
    <row r="312" spans="1:19" ht="18" customHeight="1">
      <c r="A312" s="9">
        <v>36586</v>
      </c>
      <c r="B312" s="58">
        <v>1.4319999999999999</v>
      </c>
      <c r="C312" s="30" t="str">
        <f t="shared" si="16"/>
        <v/>
      </c>
      <c r="D312" s="41" t="str">
        <f t="shared" si="18"/>
        <v/>
      </c>
      <c r="E312" s="17">
        <v>861</v>
      </c>
      <c r="F312" s="27">
        <v>108.03</v>
      </c>
      <c r="G312" s="25">
        <v>30</v>
      </c>
      <c r="H312" s="28">
        <f t="shared" si="21"/>
        <v>582.7175144290419</v>
      </c>
      <c r="I312" s="29">
        <f t="shared" si="19"/>
        <v>447.95338833235104</v>
      </c>
      <c r="J312" s="29">
        <f t="shared" si="20"/>
        <v>798.57723879482728</v>
      </c>
    </row>
    <row r="313" spans="1:19" ht="18" customHeight="1">
      <c r="A313" s="9">
        <v>36557</v>
      </c>
      <c r="B313" s="58">
        <v>1.377</v>
      </c>
      <c r="C313" s="30" t="str">
        <f t="shared" si="16"/>
        <v/>
      </c>
      <c r="D313" s="41" t="str">
        <f t="shared" si="18"/>
        <v/>
      </c>
      <c r="E313" s="17">
        <v>828</v>
      </c>
      <c r="F313" s="27">
        <v>103.17</v>
      </c>
      <c r="G313" s="25">
        <v>40</v>
      </c>
      <c r="H313" s="28">
        <f t="shared" si="21"/>
        <v>556.50250822590249</v>
      </c>
      <c r="I313" s="29">
        <f t="shared" si="19"/>
        <v>430.78444313494384</v>
      </c>
      <c r="J313" s="29">
        <f t="shared" si="20"/>
        <v>762.65124249247731</v>
      </c>
      <c r="S313" s="33"/>
    </row>
    <row r="314" spans="1:19" ht="18" customHeight="1">
      <c r="A314" s="9">
        <v>36526</v>
      </c>
      <c r="B314" s="58">
        <v>1.57</v>
      </c>
      <c r="C314" s="30" t="str">
        <f t="shared" si="16"/>
        <v/>
      </c>
      <c r="D314" s="41" t="str">
        <f t="shared" si="18"/>
        <v/>
      </c>
      <c r="E314" s="17">
        <v>944</v>
      </c>
      <c r="F314" s="27">
        <v>119.08</v>
      </c>
      <c r="G314" s="25">
        <v>40</v>
      </c>
      <c r="H314" s="28">
        <f t="shared" si="21"/>
        <v>642.32159231889568</v>
      </c>
      <c r="I314" s="29">
        <f t="shared" si="19"/>
        <v>491.13588685916301</v>
      </c>
      <c r="J314" s="29">
        <f t="shared" si="20"/>
        <v>880.26083121066392</v>
      </c>
      <c r="R314" s="33"/>
      <c r="S314" s="33"/>
    </row>
    <row r="315" spans="1:19" ht="18" customHeight="1">
      <c r="A315" s="9">
        <v>36495</v>
      </c>
      <c r="B315" s="60">
        <v>1.7090000000000001</v>
      </c>
      <c r="C315" s="30" t="str">
        <f t="shared" si="16"/>
        <v/>
      </c>
      <c r="D315" s="41" t="str">
        <f t="shared" si="18"/>
        <v/>
      </c>
      <c r="E315" s="20">
        <v>1028</v>
      </c>
      <c r="F315" s="27">
        <v>130.02000000000001</v>
      </c>
      <c r="G315" s="26">
        <v>20</v>
      </c>
      <c r="H315" s="28">
        <f t="shared" si="21"/>
        <v>701.33232644695011</v>
      </c>
      <c r="I315" s="29">
        <f t="shared" si="19"/>
        <v>534.8386564525631</v>
      </c>
      <c r="J315" s="29">
        <f t="shared" si="20"/>
        <v>961.1312837924969</v>
      </c>
      <c r="Q315" s="33"/>
      <c r="R315" s="33"/>
      <c r="S315" s="33"/>
    </row>
    <row r="316" spans="1:19" ht="18" customHeight="1">
      <c r="A316" s="9">
        <v>36465</v>
      </c>
      <c r="B316" s="60">
        <v>1.6579999999999999</v>
      </c>
      <c r="C316" s="30" t="str">
        <f t="shared" si="16"/>
        <v/>
      </c>
      <c r="D316" s="41" t="str">
        <f t="shared" si="18"/>
        <v/>
      </c>
      <c r="E316" s="20">
        <v>997</v>
      </c>
      <c r="F316" s="27">
        <v>123.59</v>
      </c>
      <c r="G316" s="26">
        <v>20</v>
      </c>
      <c r="H316" s="28">
        <f t="shared" si="21"/>
        <v>666.6486865526731</v>
      </c>
      <c r="I316" s="29">
        <f t="shared" si="19"/>
        <v>518.71025338833215</v>
      </c>
      <c r="J316" s="29">
        <f t="shared" si="20"/>
        <v>913.59956440481994</v>
      </c>
      <c r="P316" s="33"/>
      <c r="Q316" s="33"/>
      <c r="R316" s="33"/>
      <c r="S316" s="33"/>
    </row>
    <row r="317" spans="1:19" ht="18" customHeight="1">
      <c r="A317" s="9">
        <v>36434</v>
      </c>
      <c r="B317" s="60">
        <v>1.387</v>
      </c>
      <c r="C317" s="30" t="str">
        <f t="shared" si="16"/>
        <v/>
      </c>
      <c r="D317" s="41" t="str">
        <f t="shared" si="18"/>
        <v/>
      </c>
      <c r="E317" s="20">
        <v>834</v>
      </c>
      <c r="F317" s="27">
        <v>100.19</v>
      </c>
      <c r="G317" s="26">
        <v>20</v>
      </c>
      <c r="H317" s="28">
        <f t="shared" si="21"/>
        <v>540.42828631533553</v>
      </c>
      <c r="I317" s="29">
        <f t="shared" si="19"/>
        <v>433.90606953447241</v>
      </c>
      <c r="J317" s="29">
        <f t="shared" si="20"/>
        <v>740.62254517128326</v>
      </c>
      <c r="O317" s="33"/>
      <c r="P317" s="33"/>
      <c r="Q317" s="33"/>
      <c r="R317" s="33"/>
      <c r="S317" s="33"/>
    </row>
    <row r="318" spans="1:19" ht="18" customHeight="1">
      <c r="A318" s="9">
        <v>36404</v>
      </c>
      <c r="B318" s="60">
        <v>1.39</v>
      </c>
      <c r="C318" s="30" t="str">
        <f t="shared" si="16"/>
        <v/>
      </c>
      <c r="D318" s="41" t="str">
        <f t="shared" si="18"/>
        <v/>
      </c>
      <c r="E318" s="20">
        <v>836</v>
      </c>
      <c r="F318" s="27">
        <v>100.71</v>
      </c>
      <c r="G318" s="26">
        <v>20</v>
      </c>
      <c r="H318" s="28">
        <f t="shared" si="21"/>
        <v>543.23318409838748</v>
      </c>
      <c r="I318" s="29">
        <f t="shared" si="19"/>
        <v>434.9466116676486</v>
      </c>
      <c r="J318" s="29">
        <f t="shared" si="20"/>
        <v>744.46647893202851</v>
      </c>
      <c r="N318" s="33"/>
      <c r="O318" s="33"/>
      <c r="P318" s="33"/>
      <c r="Q318" s="33"/>
      <c r="R318" s="33"/>
      <c r="S318" s="33"/>
    </row>
    <row r="319" spans="1:19" ht="18" customHeight="1">
      <c r="A319" s="9">
        <v>36373</v>
      </c>
      <c r="B319" s="60">
        <v>1.56</v>
      </c>
      <c r="C319" s="30" t="str">
        <f t="shared" si="16"/>
        <v/>
      </c>
      <c r="D319" s="41" t="str">
        <f t="shared" si="18"/>
        <v/>
      </c>
      <c r="E319" s="20">
        <v>938</v>
      </c>
      <c r="F319" s="27">
        <v>112.79</v>
      </c>
      <c r="G319" s="26">
        <v>20</v>
      </c>
      <c r="H319" s="28">
        <f t="shared" si="21"/>
        <v>608.39311721236356</v>
      </c>
      <c r="I319" s="29">
        <f t="shared" si="19"/>
        <v>488.01426045963439</v>
      </c>
      <c r="J319" s="29">
        <f t="shared" si="20"/>
        <v>833.76401706626461</v>
      </c>
      <c r="M319" s="33"/>
      <c r="N319" s="33"/>
      <c r="O319" s="33"/>
      <c r="P319" s="33"/>
      <c r="Q319" s="33"/>
      <c r="R319" s="33"/>
      <c r="S319" s="33"/>
    </row>
    <row r="320" spans="1:19" ht="18" customHeight="1">
      <c r="A320" s="9">
        <v>36342</v>
      </c>
      <c r="B320" s="60">
        <v>1.613</v>
      </c>
      <c r="C320" s="30" t="str">
        <f t="shared" si="16"/>
        <v/>
      </c>
      <c r="D320" s="41" t="str">
        <f t="shared" si="18"/>
        <v/>
      </c>
      <c r="E320" s="20">
        <v>970</v>
      </c>
      <c r="F320" s="27">
        <v>116.14</v>
      </c>
      <c r="G320" s="26">
        <v>20</v>
      </c>
      <c r="H320" s="28">
        <f t="shared" si="21"/>
        <v>626.46313177625586</v>
      </c>
      <c r="I320" s="29">
        <f t="shared" si="19"/>
        <v>504.66293459045346</v>
      </c>
      <c r="J320" s="29">
        <f t="shared" si="20"/>
        <v>858.52782110183489</v>
      </c>
      <c r="L320" s="33"/>
      <c r="M320" s="33"/>
      <c r="N320" s="33"/>
      <c r="O320" s="33"/>
      <c r="P320" s="33"/>
      <c r="Q320" s="33"/>
      <c r="R320" s="32"/>
      <c r="S320" s="32"/>
    </row>
    <row r="321" spans="1:19" ht="18" customHeight="1">
      <c r="A321" s="9">
        <v>36312</v>
      </c>
      <c r="B321" s="60">
        <v>1.468</v>
      </c>
      <c r="C321" s="30" t="str">
        <f t="shared" si="16"/>
        <v/>
      </c>
      <c r="D321" s="41" t="str">
        <f t="shared" si="18"/>
        <v/>
      </c>
      <c r="E321" s="20">
        <v>883</v>
      </c>
      <c r="F321" s="27">
        <v>105.47</v>
      </c>
      <c r="G321" s="26">
        <v>20</v>
      </c>
      <c r="H321" s="28">
        <f t="shared" si="21"/>
        <v>568.90878688170926</v>
      </c>
      <c r="I321" s="29">
        <f t="shared" si="19"/>
        <v>459.39935179728906</v>
      </c>
      <c r="J321" s="29">
        <f t="shared" si="20"/>
        <v>779.65325720346596</v>
      </c>
      <c r="K321" s="33"/>
      <c r="L321" s="33"/>
      <c r="M321" s="33"/>
      <c r="N321" s="33"/>
      <c r="O321" s="33"/>
      <c r="P321" s="33"/>
      <c r="Q321" s="33"/>
      <c r="R321" s="32"/>
      <c r="S321" s="32"/>
    </row>
    <row r="322" spans="1:19" ht="18" customHeight="1">
      <c r="A322" s="9">
        <v>36281</v>
      </c>
      <c r="B322" s="60">
        <v>1.224</v>
      </c>
      <c r="C322" s="30" t="str">
        <f t="shared" si="16"/>
        <v/>
      </c>
      <c r="D322" s="41" t="str">
        <f t="shared" si="18"/>
        <v/>
      </c>
      <c r="E322" s="20">
        <v>736</v>
      </c>
      <c r="F322" s="27">
        <v>85.68</v>
      </c>
      <c r="G322" s="26">
        <v>20</v>
      </c>
      <c r="H322" s="28">
        <f t="shared" si="21"/>
        <v>462.16085009979003</v>
      </c>
      <c r="I322" s="29">
        <f t="shared" si="19"/>
        <v>382.91950500883888</v>
      </c>
      <c r="J322" s="29">
        <f t="shared" si="20"/>
        <v>633.36200888587246</v>
      </c>
      <c r="K322" s="33"/>
      <c r="L322" s="33"/>
      <c r="M322" s="33"/>
      <c r="N322" s="33"/>
      <c r="O322" s="33"/>
      <c r="P322" s="33"/>
      <c r="Q322" s="33"/>
      <c r="R322" s="32"/>
      <c r="S322" s="32"/>
    </row>
    <row r="323" spans="1:19" ht="18" customHeight="1">
      <c r="A323" s="9">
        <v>36251</v>
      </c>
      <c r="B323" s="60">
        <v>1.252</v>
      </c>
      <c r="C323" s="30" t="str">
        <f t="shared" si="16"/>
        <v/>
      </c>
      <c r="D323" s="41" t="str">
        <f t="shared" si="18"/>
        <v/>
      </c>
      <c r="E323" s="20">
        <v>753</v>
      </c>
      <c r="F323" s="27">
        <v>87.15</v>
      </c>
      <c r="G323" s="26">
        <v>20</v>
      </c>
      <c r="H323" s="28">
        <f t="shared" si="21"/>
        <v>470.09008037110993</v>
      </c>
      <c r="I323" s="29">
        <f t="shared" si="19"/>
        <v>391.76411314083651</v>
      </c>
      <c r="J323" s="29">
        <f t="shared" si="20"/>
        <v>644.22851394028692</v>
      </c>
      <c r="K323" s="33"/>
      <c r="L323" s="33"/>
      <c r="M323" s="33"/>
      <c r="N323" s="33"/>
      <c r="O323" s="33"/>
      <c r="P323" s="33"/>
      <c r="Q323" s="33"/>
      <c r="R323" s="32"/>
      <c r="S323" s="32"/>
    </row>
    <row r="324" spans="1:19" ht="18" customHeight="1">
      <c r="A324" s="9">
        <v>36220</v>
      </c>
      <c r="B324" s="60">
        <v>1.0289999999999999</v>
      </c>
      <c r="C324" s="30" t="str">
        <f t="shared" ref="C324:C326" si="22">IF(B324&lt;=C$1, "Risk", "")</f>
        <v/>
      </c>
      <c r="D324" s="41" t="str">
        <f t="shared" si="18"/>
        <v/>
      </c>
      <c r="E324" s="20">
        <v>619</v>
      </c>
      <c r="F324" s="27">
        <v>71.84</v>
      </c>
      <c r="G324" s="26">
        <v>20</v>
      </c>
      <c r="H324" s="28">
        <f t="shared" si="21"/>
        <v>387.50741679702281</v>
      </c>
      <c r="I324" s="29">
        <f t="shared" si="19"/>
        <v>322.04779021803165</v>
      </c>
      <c r="J324" s="29">
        <f t="shared" si="20"/>
        <v>531.05423340757557</v>
      </c>
      <c r="K324" s="33"/>
      <c r="L324" s="33"/>
      <c r="M324" s="33"/>
      <c r="N324" s="33"/>
      <c r="O324" s="33"/>
      <c r="P324" s="33"/>
      <c r="Q324" s="33"/>
      <c r="R324" s="32"/>
      <c r="S324" s="32"/>
    </row>
    <row r="325" spans="1:19" ht="18" customHeight="1">
      <c r="A325" s="9">
        <v>36192</v>
      </c>
      <c r="B325" s="60">
        <v>0.86499999999999999</v>
      </c>
      <c r="C325" s="30" t="str">
        <f t="shared" si="22"/>
        <v>Risk</v>
      </c>
      <c r="D325" s="41" t="str">
        <f t="shared" ref="D325:D326" si="23">IF(B325&lt;=D$1, "Risk", "")</f>
        <v>Risk</v>
      </c>
      <c r="E325" s="20">
        <v>520</v>
      </c>
      <c r="F325" s="27">
        <v>60.28</v>
      </c>
      <c r="G325" s="26">
        <v>20</v>
      </c>
      <c r="H325" s="28">
        <f t="shared" si="21"/>
        <v>325.15238146609875</v>
      </c>
      <c r="I325" s="29">
        <f t="shared" si="19"/>
        <v>270.54095462581012</v>
      </c>
      <c r="J325" s="29">
        <f t="shared" si="20"/>
        <v>445.60062903408482</v>
      </c>
      <c r="K325" s="35">
        <f>1+(($H321/$H325)-1)*2</f>
        <v>2.4993364299933645</v>
      </c>
      <c r="L325" s="35">
        <f>1+(($H320/$H325)-1)*2</f>
        <v>2.8533510285335097</v>
      </c>
      <c r="M325" s="35">
        <f>1+(($H319/$H325)-1)*2</f>
        <v>2.7422030524220302</v>
      </c>
      <c r="N325" s="35">
        <f>1+(($H318/$H325)-1)*2</f>
        <v>2.3414067684140671</v>
      </c>
      <c r="O325" s="35">
        <f>1+(($H317/$H325)-1)*2</f>
        <v>2.3241539482415385</v>
      </c>
      <c r="P325" s="35">
        <f>1+(($H316/$H325)-1)*2</f>
        <v>3.1005308560053075</v>
      </c>
      <c r="Q325" s="35">
        <f>1+(($H315/$H325)-1)*2</f>
        <v>3.3138686131386859</v>
      </c>
      <c r="R325" s="35">
        <f>1+(($H314/$H325)-1)*2</f>
        <v>2.9508958195089576</v>
      </c>
      <c r="S325" s="35">
        <f>1+(($H313/$H325)-1)*2</f>
        <v>2.4230258792302584</v>
      </c>
    </row>
    <row r="326" spans="1:19" ht="18" customHeight="1">
      <c r="A326" s="9">
        <v>36161</v>
      </c>
      <c r="B326" s="60">
        <v>0.94899999999999995</v>
      </c>
      <c r="C326" s="30" t="str">
        <f t="shared" si="22"/>
        <v>Risk</v>
      </c>
      <c r="D326" s="41" t="str">
        <f t="shared" si="23"/>
        <v/>
      </c>
      <c r="E326" s="20">
        <v>571</v>
      </c>
      <c r="F326" s="27">
        <v>65.72</v>
      </c>
      <c r="G326" s="26">
        <v>20</v>
      </c>
      <c r="H326" s="28">
        <f t="shared" si="21"/>
        <v>354.4959275041806</v>
      </c>
      <c r="I326" s="29">
        <f t="shared" si="19"/>
        <v>297.07477902180307</v>
      </c>
      <c r="J326" s="29">
        <f t="shared" si="20"/>
        <v>485.81408991572744</v>
      </c>
      <c r="K326" s="34">
        <f>$H325/$H326</f>
        <v>0.91722458916615957</v>
      </c>
      <c r="L326" s="34">
        <f t="shared" ref="L326" si="24">$H325/$H326</f>
        <v>0.91722458916615957</v>
      </c>
      <c r="M326" s="34">
        <f t="shared" ref="M326" si="25">$H325/$H326</f>
        <v>0.91722458916615957</v>
      </c>
      <c r="N326" s="34">
        <f t="shared" ref="N326" si="26">$H325/$H326</f>
        <v>0.91722458916615957</v>
      </c>
      <c r="O326" s="34">
        <f t="shared" ref="O326" si="27">$H325/$H326</f>
        <v>0.91722458916615957</v>
      </c>
      <c r="P326" s="34">
        <f t="shared" ref="P326" si="28">$H325/$H326</f>
        <v>0.91722458916615957</v>
      </c>
      <c r="Q326" s="34">
        <f t="shared" ref="Q326" si="29">$H325/$H326</f>
        <v>0.91722458916615957</v>
      </c>
      <c r="R326" s="34">
        <f t="shared" ref="R326" si="30">$H325/$H326</f>
        <v>0.91722458916615957</v>
      </c>
      <c r="S326" s="34">
        <f t="shared" ref="S326" si="31">$H325/$H326</f>
        <v>0.91722458916615957</v>
      </c>
    </row>
  </sheetData>
  <phoneticPr fontId="1" type="noConversion"/>
  <conditionalFormatting sqref="C1:D1048576">
    <cfRule type="containsText" dxfId="58" priority="1" operator="containsText" text="Risk">
      <formula>NOT(ISERROR(SEARCH("Risk",C1)))</formula>
    </cfRule>
  </conditionalFormatting>
  <conditionalFormatting sqref="K4:S326">
    <cfRule type="cellIs" dxfId="57" priority="2" operator="lessThan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85DE-B83B-425C-B03D-7F1CCA69830C}">
  <dimension ref="A1:V326"/>
  <sheetViews>
    <sheetView zoomScale="85" zoomScaleNormal="85" workbookViewId="0">
      <pane ySplit="1" topLeftCell="A270" activePane="bottomLeft" state="frozen"/>
      <selection pane="bottomLeft" activeCell="R305" sqref="R305"/>
    </sheetView>
  </sheetViews>
  <sheetFormatPr defaultColWidth="21" defaultRowHeight="16.5"/>
  <cols>
    <col min="1" max="1" width="11.625" style="2" customWidth="1"/>
    <col min="2" max="2" width="9.875" style="61" customWidth="1"/>
    <col min="3" max="5" width="7.75" style="31" customWidth="1"/>
    <col min="6" max="6" width="9.125" style="6" customWidth="1"/>
    <col min="7" max="7" width="11.625" style="6" hidden="1" customWidth="1"/>
    <col min="8" max="9" width="11.625" style="6" customWidth="1"/>
    <col min="10" max="11" width="11.625" style="2" hidden="1" customWidth="1"/>
    <col min="12" max="20" width="8.75" style="2" customWidth="1"/>
    <col min="21" max="21" width="21" style="76"/>
    <col min="22" max="16384" width="21" style="2"/>
  </cols>
  <sheetData>
    <row r="1" spans="1:22" ht="18" customHeight="1">
      <c r="A1" s="10" t="s">
        <v>3</v>
      </c>
      <c r="B1" s="55" t="s">
        <v>2</v>
      </c>
      <c r="C1" s="46">
        <v>0.95</v>
      </c>
      <c r="D1" s="46">
        <v>0.9</v>
      </c>
      <c r="E1" s="46">
        <v>0.85</v>
      </c>
      <c r="F1" s="47" t="s">
        <v>0</v>
      </c>
      <c r="G1" s="47" t="s">
        <v>1</v>
      </c>
      <c r="H1" s="47" t="s">
        <v>4</v>
      </c>
      <c r="I1" s="48" t="s">
        <v>5</v>
      </c>
      <c r="J1" s="49" t="s">
        <v>6</v>
      </c>
      <c r="K1" s="49" t="s">
        <v>7</v>
      </c>
      <c r="L1" s="49" t="s">
        <v>9</v>
      </c>
      <c r="M1" s="49" t="s">
        <v>10</v>
      </c>
      <c r="N1" s="49" t="s">
        <v>8</v>
      </c>
      <c r="O1" s="49" t="s">
        <v>11</v>
      </c>
      <c r="P1" s="49" t="s">
        <v>12</v>
      </c>
      <c r="Q1" s="49" t="s">
        <v>13</v>
      </c>
      <c r="R1" s="54" t="s">
        <v>14</v>
      </c>
      <c r="S1" s="49" t="s">
        <v>15</v>
      </c>
      <c r="T1" s="49" t="s">
        <v>16</v>
      </c>
      <c r="U1" s="74" t="s">
        <v>17</v>
      </c>
    </row>
    <row r="2" spans="1:22" ht="18" customHeight="1">
      <c r="A2" s="10"/>
      <c r="B2" s="55"/>
      <c r="C2" s="46" t="s">
        <v>21</v>
      </c>
      <c r="D2" s="46" t="s">
        <v>20</v>
      </c>
      <c r="E2" s="46" t="s">
        <v>19</v>
      </c>
      <c r="F2" s="47"/>
      <c r="G2" s="47"/>
      <c r="H2" s="47"/>
      <c r="I2" s="48"/>
      <c r="J2" s="49"/>
      <c r="K2" s="49"/>
      <c r="L2" s="50">
        <f>PRODUCT(L4:L326)</f>
        <v>77.016917082387735</v>
      </c>
      <c r="M2" s="50">
        <f t="shared" ref="M2:T2" si="0">PRODUCT(M4:M326)</f>
        <v>155.50490413551157</v>
      </c>
      <c r="N2" s="50">
        <f t="shared" si="0"/>
        <v>489.16265926157382</v>
      </c>
      <c r="O2" s="50">
        <f t="shared" si="0"/>
        <v>147.34456543602585</v>
      </c>
      <c r="P2" s="50">
        <f t="shared" si="0"/>
        <v>340.95063467749691</v>
      </c>
      <c r="Q2" s="50">
        <f t="shared" si="0"/>
        <v>520.28840279788562</v>
      </c>
      <c r="R2" s="51">
        <f t="shared" si="0"/>
        <v>284.7590845849669</v>
      </c>
      <c r="S2" s="50">
        <f t="shared" si="0"/>
        <v>148.48032366810293</v>
      </c>
      <c r="T2" s="50">
        <f t="shared" si="0"/>
        <v>184.01308758431489</v>
      </c>
      <c r="U2" s="78">
        <f>R2^(1/27)-1</f>
        <v>0.23283960410322879</v>
      </c>
    </row>
    <row r="3" spans="1:22" ht="18" customHeight="1">
      <c r="A3" s="10"/>
      <c r="B3" s="62"/>
      <c r="C3" s="63"/>
      <c r="D3" s="63"/>
      <c r="E3" s="63"/>
      <c r="F3" s="64"/>
      <c r="G3" s="64"/>
      <c r="H3" s="64"/>
      <c r="I3" s="65"/>
      <c r="J3" s="66"/>
      <c r="K3" s="66"/>
      <c r="L3" s="67">
        <f>COUNTIF(L4:L326, "&lt;1")</f>
        <v>12</v>
      </c>
      <c r="M3" s="67">
        <f t="shared" ref="M3:T3" si="1">COUNTIF(M4:M326, "&lt;1")</f>
        <v>10</v>
      </c>
      <c r="N3" s="67">
        <f t="shared" si="1"/>
        <v>10</v>
      </c>
      <c r="O3" s="67">
        <f t="shared" si="1"/>
        <v>11</v>
      </c>
      <c r="P3" s="67">
        <f t="shared" si="1"/>
        <v>10</v>
      </c>
      <c r="Q3" s="67">
        <f t="shared" si="1"/>
        <v>8</v>
      </c>
      <c r="R3" s="67">
        <f t="shared" si="1"/>
        <v>10</v>
      </c>
      <c r="S3" s="67">
        <f t="shared" si="1"/>
        <v>6</v>
      </c>
      <c r="T3" s="67">
        <f t="shared" si="1"/>
        <v>5</v>
      </c>
      <c r="U3" s="75" t="s">
        <v>18</v>
      </c>
      <c r="V3" s="2" t="s">
        <v>22</v>
      </c>
    </row>
    <row r="4" spans="1:22" ht="18" customHeight="1">
      <c r="A4" s="9">
        <v>45962</v>
      </c>
      <c r="B4" s="56">
        <v>1.29</v>
      </c>
      <c r="C4" s="41" t="str">
        <f t="shared" ref="C4:C67" si="2">IF(B4&lt;=C$1, "Risk", "")</f>
        <v/>
      </c>
      <c r="D4" s="41" t="str">
        <f>IF(B4&lt;=D$1, "Risk", "")</f>
        <v/>
      </c>
      <c r="E4" s="41" t="str">
        <f>IF(B4&lt;=E$1, "Risk", "")</f>
        <v/>
      </c>
      <c r="F4" s="42">
        <v>3853.26</v>
      </c>
      <c r="G4" s="42">
        <v>540.36</v>
      </c>
      <c r="H4" s="42">
        <v>41.88</v>
      </c>
      <c r="I4" s="42">
        <v>2666.12</v>
      </c>
      <c r="J4" s="43">
        <v>863.95</v>
      </c>
      <c r="K4" s="43">
        <v>1517.92</v>
      </c>
      <c r="S4" s="32"/>
      <c r="T4" s="32"/>
      <c r="V4" s="2" t="s">
        <v>23</v>
      </c>
    </row>
    <row r="5" spans="1:22" ht="18" customHeight="1">
      <c r="A5" s="9">
        <v>45931</v>
      </c>
      <c r="B5" s="3">
        <v>1.38</v>
      </c>
      <c r="C5" s="30" t="str">
        <f t="shared" si="2"/>
        <v/>
      </c>
      <c r="D5" s="41" t="str">
        <f t="shared" ref="D5:D68" si="3">IF(B5&lt;=D$1, "Risk", "")</f>
        <v/>
      </c>
      <c r="E5" s="41" t="str">
        <f t="shared" ref="E5:E68" si="4">IF(B5&lt;=E$1, "Risk", "")</f>
        <v/>
      </c>
      <c r="F5" s="16">
        <v>4107.5</v>
      </c>
      <c r="G5" s="16">
        <v>579.46</v>
      </c>
      <c r="H5" s="16">
        <v>30.4</v>
      </c>
      <c r="I5" s="16">
        <v>2862.4</v>
      </c>
      <c r="J5" s="14">
        <v>900.42</v>
      </c>
      <c r="K5" s="14">
        <v>1549.34</v>
      </c>
      <c r="R5" s="32"/>
      <c r="S5" s="32"/>
      <c r="T5" s="32"/>
      <c r="V5" s="2" t="s">
        <v>24</v>
      </c>
    </row>
    <row r="6" spans="1:22" ht="18" customHeight="1">
      <c r="A6" s="9">
        <v>45901</v>
      </c>
      <c r="B6" s="3">
        <v>1.146595</v>
      </c>
      <c r="C6" s="30" t="str">
        <f t="shared" si="2"/>
        <v/>
      </c>
      <c r="D6" s="41" t="str">
        <f t="shared" si="3"/>
        <v/>
      </c>
      <c r="E6" s="41" t="str">
        <f t="shared" si="4"/>
        <v/>
      </c>
      <c r="F6" s="16">
        <v>3424.6</v>
      </c>
      <c r="G6" s="16">
        <v>474.03</v>
      </c>
      <c r="H6" s="16">
        <v>20.62</v>
      </c>
      <c r="I6" s="16">
        <v>2343.75</v>
      </c>
      <c r="J6" s="14">
        <v>841.99</v>
      </c>
      <c r="K6" s="14">
        <v>1407.18</v>
      </c>
      <c r="Q6" s="32"/>
      <c r="R6" s="32"/>
      <c r="S6" s="32"/>
      <c r="T6" s="32"/>
    </row>
    <row r="7" spans="1:22" ht="18" customHeight="1">
      <c r="A7" s="9">
        <v>45870</v>
      </c>
      <c r="B7" s="3">
        <v>1.072565</v>
      </c>
      <c r="C7" s="30" t="str">
        <f t="shared" si="2"/>
        <v/>
      </c>
      <c r="D7" s="41" t="str">
        <f t="shared" si="3"/>
        <v/>
      </c>
      <c r="E7" s="41" t="str">
        <f t="shared" si="4"/>
        <v/>
      </c>
      <c r="F7" s="16">
        <v>3186.01</v>
      </c>
      <c r="G7" s="16">
        <v>430.12</v>
      </c>
      <c r="H7" s="16">
        <v>19.52</v>
      </c>
      <c r="I7" s="16">
        <v>2127.69</v>
      </c>
      <c r="J7" s="14">
        <v>796.91</v>
      </c>
      <c r="K7" s="14">
        <v>1336.98</v>
      </c>
      <c r="P7" s="32"/>
      <c r="Q7" s="32"/>
      <c r="R7" s="32"/>
      <c r="S7" s="32"/>
      <c r="T7" s="32"/>
    </row>
    <row r="8" spans="1:22" ht="18" customHeight="1">
      <c r="A8" s="9">
        <v>45839</v>
      </c>
      <c r="B8" s="3">
        <v>1.091499</v>
      </c>
      <c r="C8" s="30" t="str">
        <f t="shared" si="2"/>
        <v/>
      </c>
      <c r="D8" s="41" t="str">
        <f t="shared" si="3"/>
        <v/>
      </c>
      <c r="E8" s="41" t="str">
        <f t="shared" si="4"/>
        <v/>
      </c>
      <c r="F8" s="16">
        <v>3245.44</v>
      </c>
      <c r="G8" s="16">
        <v>438.6</v>
      </c>
      <c r="H8" s="16">
        <v>21.85</v>
      </c>
      <c r="I8" s="16">
        <v>2163.7600000000002</v>
      </c>
      <c r="J8" s="14">
        <v>805.24</v>
      </c>
      <c r="K8" s="14">
        <v>1352.23</v>
      </c>
      <c r="O8" s="32"/>
      <c r="P8" s="32"/>
      <c r="Q8" s="32"/>
      <c r="R8" s="32"/>
      <c r="S8" s="32"/>
      <c r="T8" s="32"/>
    </row>
    <row r="9" spans="1:22" ht="18" customHeight="1">
      <c r="A9" s="9">
        <v>45809</v>
      </c>
      <c r="B9" s="11">
        <v>1.032691</v>
      </c>
      <c r="C9" s="30" t="str">
        <f t="shared" si="2"/>
        <v/>
      </c>
      <c r="D9" s="41" t="str">
        <f t="shared" si="3"/>
        <v/>
      </c>
      <c r="E9" s="41" t="str">
        <f t="shared" si="4"/>
        <v/>
      </c>
      <c r="F9" s="16">
        <v>3071.7</v>
      </c>
      <c r="G9" s="16">
        <v>414.6</v>
      </c>
      <c r="H9" s="16">
        <v>23.99</v>
      </c>
      <c r="I9" s="16">
        <v>2056.29</v>
      </c>
      <c r="J9" s="13">
        <v>781.5</v>
      </c>
      <c r="K9" s="14">
        <v>1267.1300000000001</v>
      </c>
      <c r="N9" s="32"/>
      <c r="O9" s="32"/>
      <c r="P9" s="32"/>
      <c r="Q9" s="32"/>
      <c r="R9" s="32"/>
      <c r="S9" s="32"/>
      <c r="T9" s="32"/>
    </row>
    <row r="10" spans="1:22" ht="18" customHeight="1">
      <c r="A10" s="9">
        <v>45778</v>
      </c>
      <c r="B10" s="11">
        <v>0.91562399999999999</v>
      </c>
      <c r="C10" s="30" t="str">
        <f t="shared" si="2"/>
        <v>Risk</v>
      </c>
      <c r="D10" s="41" t="str">
        <f t="shared" si="3"/>
        <v/>
      </c>
      <c r="E10" s="41" t="str">
        <f t="shared" si="4"/>
        <v/>
      </c>
      <c r="F10" s="16">
        <v>2697.67</v>
      </c>
      <c r="G10" s="16">
        <v>359.62</v>
      </c>
      <c r="H10" s="16">
        <v>22.55</v>
      </c>
      <c r="I10" s="16">
        <v>1782.88</v>
      </c>
      <c r="J10" s="14">
        <v>734.35</v>
      </c>
      <c r="K10" s="14">
        <v>1194.26</v>
      </c>
      <c r="M10" s="32"/>
      <c r="N10" s="32"/>
      <c r="O10" s="32"/>
      <c r="P10" s="32"/>
      <c r="Q10" s="32"/>
      <c r="R10" s="32"/>
      <c r="S10" s="32"/>
      <c r="T10" s="32"/>
    </row>
    <row r="11" spans="1:22" ht="18" customHeight="1">
      <c r="A11" s="9">
        <v>45748</v>
      </c>
      <c r="B11" s="11">
        <v>0.89342200000000005</v>
      </c>
      <c r="C11" s="30" t="str">
        <f t="shared" si="2"/>
        <v>Risk</v>
      </c>
      <c r="D11" s="41" t="str">
        <f t="shared" si="3"/>
        <v>Risk</v>
      </c>
      <c r="E11" s="41" t="str">
        <f t="shared" si="4"/>
        <v/>
      </c>
      <c r="F11" s="16">
        <v>2556.61</v>
      </c>
      <c r="G11" s="16">
        <v>338.74</v>
      </c>
      <c r="H11" s="16">
        <v>20.74</v>
      </c>
      <c r="I11" s="16">
        <v>1677.67</v>
      </c>
      <c r="J11" s="14">
        <v>717.24</v>
      </c>
      <c r="K11" s="14">
        <v>1169.69</v>
      </c>
      <c r="L11" s="32"/>
      <c r="M11" s="32"/>
      <c r="N11" s="32"/>
      <c r="O11" s="33"/>
      <c r="P11" s="33"/>
      <c r="Q11" s="33"/>
      <c r="R11" s="33"/>
      <c r="S11" s="32"/>
      <c r="T11" s="32"/>
    </row>
    <row r="12" spans="1:22" ht="18" customHeight="1">
      <c r="A12" s="9">
        <v>45717</v>
      </c>
      <c r="B12" s="11">
        <v>0.86726999999999999</v>
      </c>
      <c r="C12" s="30" t="str">
        <f t="shared" si="2"/>
        <v>Risk</v>
      </c>
      <c r="D12" s="41" t="str">
        <f t="shared" si="3"/>
        <v>Risk</v>
      </c>
      <c r="E12" s="41" t="str">
        <f t="shared" si="4"/>
        <v/>
      </c>
      <c r="F12" s="16">
        <v>2481.12</v>
      </c>
      <c r="G12" s="16">
        <v>332.4</v>
      </c>
      <c r="H12" s="16">
        <v>25.35</v>
      </c>
      <c r="I12" s="16">
        <v>1652.67</v>
      </c>
      <c r="J12" s="14">
        <v>672.85</v>
      </c>
      <c r="K12" s="14">
        <v>1112.8900000000001</v>
      </c>
      <c r="L12" s="32"/>
      <c r="M12" s="32"/>
      <c r="N12" s="32"/>
      <c r="O12" s="33"/>
      <c r="P12" s="33"/>
      <c r="Q12" s="33"/>
      <c r="R12" s="33"/>
      <c r="S12" s="32"/>
      <c r="T12" s="32"/>
    </row>
    <row r="13" spans="1:22" ht="18" customHeight="1">
      <c r="A13" s="9">
        <v>45689</v>
      </c>
      <c r="B13" s="11">
        <v>0.88822400000000001</v>
      </c>
      <c r="C13" s="30" t="str">
        <f t="shared" si="2"/>
        <v>Risk</v>
      </c>
      <c r="D13" s="41" t="str">
        <f t="shared" si="3"/>
        <v>Risk</v>
      </c>
      <c r="E13" s="41" t="str">
        <f t="shared" si="4"/>
        <v/>
      </c>
      <c r="F13" s="16">
        <v>2532.7800000000002</v>
      </c>
      <c r="G13" s="16">
        <v>334.27</v>
      </c>
      <c r="H13" s="16">
        <v>22.86</v>
      </c>
      <c r="I13" s="16">
        <v>1648.2</v>
      </c>
      <c r="J13" s="14">
        <v>743.96</v>
      </c>
      <c r="K13" s="14">
        <v>1262.71</v>
      </c>
      <c r="L13" s="32"/>
      <c r="M13" s="36"/>
      <c r="N13" s="33"/>
      <c r="O13" s="33"/>
      <c r="P13" s="33"/>
      <c r="Q13" s="33"/>
      <c r="R13" s="33"/>
      <c r="S13" s="32"/>
      <c r="T13" s="32"/>
    </row>
    <row r="14" spans="1:22" ht="18" customHeight="1">
      <c r="A14" s="9">
        <v>45658</v>
      </c>
      <c r="B14" s="11">
        <v>0.88211099999999998</v>
      </c>
      <c r="C14" s="30" t="str">
        <f t="shared" si="2"/>
        <v>Risk</v>
      </c>
      <c r="D14" s="41" t="str">
        <f t="shared" si="3"/>
        <v>Risk</v>
      </c>
      <c r="E14" s="41" t="str">
        <f t="shared" si="4"/>
        <v/>
      </c>
      <c r="F14" s="16">
        <v>2517.37</v>
      </c>
      <c r="G14" s="16">
        <v>333.36</v>
      </c>
      <c r="H14" s="16">
        <v>18.79</v>
      </c>
      <c r="I14" s="16">
        <v>1642.77</v>
      </c>
      <c r="J14" s="14">
        <v>728.29</v>
      </c>
      <c r="K14" s="14">
        <v>1233.1600000000001</v>
      </c>
      <c r="L14" s="33"/>
      <c r="M14" s="33"/>
      <c r="N14" s="33"/>
      <c r="O14" s="33"/>
      <c r="P14" s="33"/>
      <c r="Q14" s="33"/>
      <c r="R14" s="33"/>
      <c r="S14" s="32"/>
      <c r="T14" s="32"/>
    </row>
    <row r="15" spans="1:22" ht="18" customHeight="1">
      <c r="A15" s="9">
        <v>45627</v>
      </c>
      <c r="B15" s="3">
        <v>0.84027300000000005</v>
      </c>
      <c r="C15" s="30" t="str">
        <f t="shared" si="2"/>
        <v>Risk</v>
      </c>
      <c r="D15" s="41" t="str">
        <f t="shared" si="3"/>
        <v>Risk</v>
      </c>
      <c r="E15" s="41" t="str">
        <f t="shared" si="4"/>
        <v>Risk</v>
      </c>
      <c r="F15" s="16">
        <v>2399.4899999999998</v>
      </c>
      <c r="G15" s="16">
        <v>317.82</v>
      </c>
      <c r="H15" s="16">
        <v>21.14</v>
      </c>
      <c r="I15" s="16">
        <v>1575.57</v>
      </c>
      <c r="J15" s="14">
        <v>678.19</v>
      </c>
      <c r="K15" s="13">
        <v>1129.8</v>
      </c>
      <c r="L15" s="73">
        <f>1+(($I11/$I15)-1)*3</f>
        <v>1.1944058340790957</v>
      </c>
      <c r="M15" s="73">
        <f>1+(($I10/$I15)-1)*3</f>
        <v>1.3947333346027153</v>
      </c>
      <c r="N15" s="73">
        <f>1+(($I9/$I15)-1)*3</f>
        <v>1.9153258820617303</v>
      </c>
      <c r="O15" s="73">
        <f>1+(($I8/$I15)-1)*3</f>
        <v>2.1199565871398933</v>
      </c>
      <c r="P15" s="73">
        <f>1+(($I7/$I15)-1)*3</f>
        <v>2.0512766808202749</v>
      </c>
      <c r="Q15" s="73">
        <f>1+(($I6/$I15)-1)*3</f>
        <v>2.4626706525257527</v>
      </c>
      <c r="R15" s="73">
        <f>1+(($I5/$I15)-1)*3</f>
        <v>3.4502180163369447</v>
      </c>
      <c r="S15" s="73">
        <f>1+(($I4/$I15)-1)*3</f>
        <v>3.0764866048477697</v>
      </c>
      <c r="T15" s="73">
        <f>1+(($I4/$I15)-1)*3</f>
        <v>3.0764866048477697</v>
      </c>
      <c r="V15" s="77"/>
    </row>
    <row r="16" spans="1:22" ht="18" customHeight="1">
      <c r="A16" s="9">
        <v>45597</v>
      </c>
      <c r="B16" s="3">
        <v>0.86388699999999996</v>
      </c>
      <c r="C16" s="30" t="str">
        <f t="shared" si="2"/>
        <v>Risk</v>
      </c>
      <c r="D16" s="41" t="str">
        <f t="shared" si="3"/>
        <v>Risk</v>
      </c>
      <c r="E16" s="41" t="str">
        <f t="shared" si="4"/>
        <v/>
      </c>
      <c r="F16" s="16">
        <v>2455.91</v>
      </c>
      <c r="G16" s="16">
        <v>325.45</v>
      </c>
      <c r="H16" s="16">
        <v>19.34</v>
      </c>
      <c r="I16" s="16">
        <v>1612.46</v>
      </c>
      <c r="J16" s="14">
        <v>678.19</v>
      </c>
      <c r="K16" s="14">
        <v>1133.83</v>
      </c>
      <c r="L16" s="33"/>
      <c r="M16" s="33"/>
      <c r="N16" s="33"/>
      <c r="O16" s="33"/>
      <c r="P16" s="33"/>
      <c r="Q16" s="33"/>
      <c r="R16" s="33"/>
      <c r="S16" s="32"/>
      <c r="T16" s="35">
        <f>1+(($I15/$I16)-1)*2</f>
        <v>0.9542438262034405</v>
      </c>
    </row>
    <row r="17" spans="1:20" ht="18" customHeight="1">
      <c r="A17" s="9">
        <v>45566</v>
      </c>
      <c r="B17" s="3">
        <v>0.89510699999999999</v>
      </c>
      <c r="C17" s="30" t="str">
        <f t="shared" si="2"/>
        <v>Risk</v>
      </c>
      <c r="D17" s="41" t="str">
        <f t="shared" si="3"/>
        <v>Risk</v>
      </c>
      <c r="E17" s="41" t="str">
        <f t="shared" si="4"/>
        <v/>
      </c>
      <c r="F17" s="16">
        <v>2556.15</v>
      </c>
      <c r="G17" s="16">
        <v>339.32</v>
      </c>
      <c r="H17" s="16">
        <v>22.65</v>
      </c>
      <c r="I17" s="16">
        <v>1685.1</v>
      </c>
      <c r="J17" s="14">
        <v>743.06</v>
      </c>
      <c r="K17" s="14">
        <v>1273.29</v>
      </c>
      <c r="L17" s="35">
        <f>1+(($I15/$I17)-1)*2</f>
        <v>0.87000178030977393</v>
      </c>
      <c r="M17" s="35">
        <f t="shared" ref="M17:S17" si="5">1+(($I15/$I17)-1)*2</f>
        <v>0.87000178030977393</v>
      </c>
      <c r="N17" s="35">
        <f t="shared" si="5"/>
        <v>0.87000178030977393</v>
      </c>
      <c r="O17" s="35">
        <f t="shared" si="5"/>
        <v>0.87000178030977393</v>
      </c>
      <c r="P17" s="35">
        <f t="shared" si="5"/>
        <v>0.87000178030977393</v>
      </c>
      <c r="Q17" s="35">
        <f t="shared" si="5"/>
        <v>0.87000178030977393</v>
      </c>
      <c r="R17" s="35">
        <f t="shared" si="5"/>
        <v>0.87000178030977393</v>
      </c>
      <c r="S17" s="35">
        <f t="shared" si="5"/>
        <v>0.87000178030977393</v>
      </c>
      <c r="T17" s="32"/>
    </row>
    <row r="18" spans="1:20" ht="18" customHeight="1">
      <c r="A18" s="9">
        <v>45536</v>
      </c>
      <c r="B18" s="3">
        <v>0.90802499999999997</v>
      </c>
      <c r="C18" s="30" t="str">
        <f t="shared" si="2"/>
        <v>Risk</v>
      </c>
      <c r="D18" s="41" t="str">
        <f t="shared" si="3"/>
        <v/>
      </c>
      <c r="E18" s="41" t="str">
        <f t="shared" si="4"/>
        <v/>
      </c>
      <c r="F18" s="16">
        <v>2593.27</v>
      </c>
      <c r="G18" s="16">
        <v>344.76</v>
      </c>
      <c r="H18" s="16">
        <v>25.44</v>
      </c>
      <c r="I18" s="16">
        <v>1719.2</v>
      </c>
      <c r="J18" s="14">
        <v>763.88</v>
      </c>
      <c r="K18" s="14">
        <v>1288.3399999999999</v>
      </c>
      <c r="L18" s="34">
        <f t="shared" ref="L18:R18" si="6">$I17/$I18</f>
        <v>0.98016519311307582</v>
      </c>
      <c r="M18" s="34">
        <f t="shared" si="6"/>
        <v>0.98016519311307582</v>
      </c>
      <c r="N18" s="34">
        <f t="shared" si="6"/>
        <v>0.98016519311307582</v>
      </c>
      <c r="O18" s="34">
        <f t="shared" si="6"/>
        <v>0.98016519311307582</v>
      </c>
      <c r="P18" s="34">
        <f t="shared" si="6"/>
        <v>0.98016519311307582</v>
      </c>
      <c r="Q18" s="34">
        <f t="shared" si="6"/>
        <v>0.98016519311307582</v>
      </c>
      <c r="R18" s="34">
        <f t="shared" si="6"/>
        <v>0.98016519311307582</v>
      </c>
      <c r="S18" s="33"/>
      <c r="T18" s="32"/>
    </row>
    <row r="19" spans="1:20" ht="18" customHeight="1">
      <c r="A19" s="9">
        <v>45505</v>
      </c>
      <c r="B19" s="3">
        <v>0.95820899999999998</v>
      </c>
      <c r="C19" s="30" t="str">
        <f t="shared" si="2"/>
        <v/>
      </c>
      <c r="D19" s="41" t="str">
        <f t="shared" si="3"/>
        <v/>
      </c>
      <c r="E19" s="41" t="str">
        <f t="shared" si="4"/>
        <v/>
      </c>
      <c r="F19" s="16">
        <v>2674.31</v>
      </c>
      <c r="G19" s="16">
        <v>361.55</v>
      </c>
      <c r="H19" s="16">
        <v>18.809999999999999</v>
      </c>
      <c r="I19" s="16">
        <v>1802.36</v>
      </c>
      <c r="J19" s="14">
        <v>767.66</v>
      </c>
      <c r="K19" s="14">
        <v>1294.69</v>
      </c>
      <c r="R19" s="33"/>
      <c r="S19" s="33"/>
      <c r="T19" s="32"/>
    </row>
    <row r="20" spans="1:20" ht="18" customHeight="1">
      <c r="A20" s="9">
        <v>45474</v>
      </c>
      <c r="B20" s="3">
        <v>0.99315799999999999</v>
      </c>
      <c r="C20" s="30" t="str">
        <f t="shared" si="2"/>
        <v/>
      </c>
      <c r="D20" s="41" t="str">
        <f t="shared" si="3"/>
        <v/>
      </c>
      <c r="E20" s="41" t="str">
        <f t="shared" si="4"/>
        <v/>
      </c>
      <c r="F20" s="16">
        <v>2770.69</v>
      </c>
      <c r="G20" s="16">
        <v>380.49</v>
      </c>
      <c r="H20" s="16">
        <v>17.510000000000002</v>
      </c>
      <c r="I20" s="16">
        <v>1897.75</v>
      </c>
      <c r="J20" s="14">
        <v>803.15</v>
      </c>
      <c r="K20" s="14">
        <v>1338.75</v>
      </c>
      <c r="Q20" s="33"/>
      <c r="R20" s="33"/>
      <c r="S20" s="33"/>
      <c r="T20" s="32"/>
    </row>
    <row r="21" spans="1:20" ht="18" customHeight="1">
      <c r="A21" s="9">
        <v>45444</v>
      </c>
      <c r="B21" s="3">
        <v>1.001382</v>
      </c>
      <c r="C21" s="30" t="str">
        <f t="shared" si="2"/>
        <v/>
      </c>
      <c r="D21" s="41" t="str">
        <f t="shared" si="3"/>
        <v/>
      </c>
      <c r="E21" s="41" t="str">
        <f t="shared" si="4"/>
        <v/>
      </c>
      <c r="F21" s="16">
        <v>2797.82</v>
      </c>
      <c r="G21" s="16">
        <v>384.02</v>
      </c>
      <c r="H21" s="16">
        <v>16.100000000000001</v>
      </c>
      <c r="I21" s="16">
        <v>1919.36</v>
      </c>
      <c r="J21" s="14">
        <v>840.44</v>
      </c>
      <c r="K21" s="14">
        <v>1361.54</v>
      </c>
      <c r="P21" s="33"/>
      <c r="Q21" s="33"/>
      <c r="R21" s="33"/>
      <c r="S21" s="32"/>
      <c r="T21" s="32"/>
    </row>
    <row r="22" spans="1:20" ht="18" customHeight="1">
      <c r="A22" s="9">
        <v>45413</v>
      </c>
      <c r="B22" s="3">
        <v>0.95718300000000001</v>
      </c>
      <c r="C22" s="30" t="str">
        <f t="shared" si="2"/>
        <v/>
      </c>
      <c r="D22" s="41" t="str">
        <f t="shared" si="3"/>
        <v/>
      </c>
      <c r="E22" s="41" t="str">
        <f t="shared" si="4"/>
        <v/>
      </c>
      <c r="F22" s="16">
        <v>2636.52</v>
      </c>
      <c r="G22" s="16">
        <v>358.21</v>
      </c>
      <c r="H22" s="16">
        <v>16.899999999999999</v>
      </c>
      <c r="I22" s="16">
        <v>1799.7</v>
      </c>
      <c r="J22" s="14">
        <v>839.98</v>
      </c>
      <c r="K22" s="14">
        <v>1338.55</v>
      </c>
      <c r="O22" s="33"/>
      <c r="P22" s="33"/>
      <c r="Q22" s="33"/>
      <c r="R22" s="33"/>
      <c r="S22" s="32"/>
      <c r="T22" s="32"/>
    </row>
    <row r="23" spans="1:20" ht="18" customHeight="1">
      <c r="A23" s="9">
        <v>45383</v>
      </c>
      <c r="B23" s="57">
        <v>0.98</v>
      </c>
      <c r="C23" s="30" t="str">
        <f t="shared" si="2"/>
        <v/>
      </c>
      <c r="D23" s="41" t="str">
        <f t="shared" si="3"/>
        <v/>
      </c>
      <c r="E23" s="41" t="str">
        <f t="shared" si="4"/>
        <v/>
      </c>
      <c r="F23" s="16">
        <v>2692.06</v>
      </c>
      <c r="G23" s="16">
        <v>365.13</v>
      </c>
      <c r="H23" s="16">
        <v>18.14</v>
      </c>
      <c r="I23" s="16">
        <v>1836.69</v>
      </c>
      <c r="J23" s="14">
        <v>868.93</v>
      </c>
      <c r="K23" s="14">
        <v>1442.22</v>
      </c>
      <c r="N23" s="33"/>
      <c r="O23" s="33"/>
      <c r="P23" s="33"/>
      <c r="Q23" s="33"/>
      <c r="R23" s="33"/>
      <c r="S23" s="32"/>
      <c r="T23" s="32"/>
    </row>
    <row r="24" spans="1:20" ht="18" customHeight="1">
      <c r="A24" s="9">
        <v>45352</v>
      </c>
      <c r="B24" s="57">
        <v>1</v>
      </c>
      <c r="C24" s="30" t="str">
        <f t="shared" si="2"/>
        <v/>
      </c>
      <c r="D24" s="41" t="str">
        <f t="shared" si="3"/>
        <v/>
      </c>
      <c r="E24" s="41" t="str">
        <f t="shared" si="4"/>
        <v/>
      </c>
      <c r="F24" s="16">
        <v>2746.63</v>
      </c>
      <c r="G24" s="16">
        <v>374.63</v>
      </c>
      <c r="H24" s="16">
        <v>16.84</v>
      </c>
      <c r="I24" s="16">
        <v>1884.17</v>
      </c>
      <c r="J24" s="13">
        <v>905.5</v>
      </c>
      <c r="K24" s="14">
        <v>1520.44</v>
      </c>
      <c r="M24" s="33"/>
      <c r="N24" s="33"/>
      <c r="O24" s="33"/>
      <c r="P24" s="33"/>
      <c r="Q24" s="33"/>
      <c r="R24" s="33"/>
      <c r="S24" s="32"/>
      <c r="T24" s="32"/>
    </row>
    <row r="25" spans="1:20" ht="18" customHeight="1">
      <c r="A25" s="9">
        <v>45323</v>
      </c>
      <c r="B25" s="57">
        <v>0.96</v>
      </c>
      <c r="C25" s="30" t="str">
        <f t="shared" si="2"/>
        <v/>
      </c>
      <c r="D25" s="41" t="str">
        <f t="shared" si="3"/>
        <v/>
      </c>
      <c r="E25" s="41" t="str">
        <f t="shared" si="4"/>
        <v/>
      </c>
      <c r="F25" s="16">
        <v>2642.36</v>
      </c>
      <c r="G25" s="16">
        <v>355.57</v>
      </c>
      <c r="H25" s="16">
        <v>16.77</v>
      </c>
      <c r="I25" s="16">
        <v>1785.57</v>
      </c>
      <c r="J25" s="14">
        <v>862.96</v>
      </c>
      <c r="K25" s="14">
        <v>1402.26</v>
      </c>
      <c r="L25" s="33"/>
      <c r="M25" s="33"/>
      <c r="N25" s="33"/>
      <c r="O25" s="33"/>
      <c r="P25" s="33"/>
      <c r="Q25" s="33"/>
      <c r="R25" s="33"/>
      <c r="S25" s="32"/>
      <c r="T25" s="32"/>
    </row>
    <row r="26" spans="1:20" ht="18" customHeight="1">
      <c r="A26" s="9">
        <v>45292</v>
      </c>
      <c r="B26" s="57">
        <v>0.91</v>
      </c>
      <c r="C26" s="30" t="str">
        <f t="shared" si="2"/>
        <v>Risk</v>
      </c>
      <c r="D26" s="41" t="str">
        <f t="shared" si="3"/>
        <v/>
      </c>
      <c r="E26" s="41" t="str">
        <f t="shared" si="4"/>
        <v/>
      </c>
      <c r="F26" s="16">
        <v>2497.09</v>
      </c>
      <c r="G26" s="16">
        <v>336.24</v>
      </c>
      <c r="H26" s="16">
        <v>17.02</v>
      </c>
      <c r="I26" s="16">
        <v>1691.46</v>
      </c>
      <c r="J26" s="14">
        <v>799.24</v>
      </c>
      <c r="K26" s="14">
        <v>1241.75</v>
      </c>
      <c r="L26" s="33"/>
      <c r="M26" s="33"/>
      <c r="N26" s="33"/>
      <c r="O26" s="33"/>
      <c r="P26" s="33"/>
      <c r="Q26" s="33"/>
      <c r="R26" s="33"/>
      <c r="S26" s="32"/>
      <c r="T26" s="32"/>
    </row>
    <row r="27" spans="1:20" ht="18" customHeight="1">
      <c r="A27" s="9">
        <v>45261</v>
      </c>
      <c r="B27" s="57">
        <v>0.96</v>
      </c>
      <c r="C27" s="30" t="str">
        <f t="shared" si="2"/>
        <v/>
      </c>
      <c r="D27" s="41" t="str">
        <f t="shared" si="3"/>
        <v/>
      </c>
      <c r="E27" s="41" t="str">
        <f t="shared" si="4"/>
        <v/>
      </c>
      <c r="F27" s="16">
        <v>2655.28</v>
      </c>
      <c r="G27" s="16">
        <v>357.99</v>
      </c>
      <c r="H27" s="16">
        <v>17.78</v>
      </c>
      <c r="I27" s="16">
        <v>1820.45</v>
      </c>
      <c r="J27" s="14">
        <v>866.57</v>
      </c>
      <c r="K27" s="14">
        <v>1393.46</v>
      </c>
      <c r="L27" s="33"/>
      <c r="M27" s="33"/>
      <c r="N27" s="33"/>
      <c r="O27" s="33"/>
      <c r="P27" s="33"/>
      <c r="Q27" s="33"/>
      <c r="R27" s="33"/>
      <c r="S27" s="32"/>
      <c r="T27" s="32"/>
    </row>
    <row r="28" spans="1:20" ht="18" customHeight="1">
      <c r="A28" s="9">
        <v>45231</v>
      </c>
      <c r="B28" s="57">
        <v>0.92</v>
      </c>
      <c r="C28" s="30" t="str">
        <f t="shared" si="2"/>
        <v>Risk</v>
      </c>
      <c r="D28" s="41" t="str">
        <f t="shared" si="3"/>
        <v/>
      </c>
      <c r="E28" s="41" t="str">
        <f t="shared" si="4"/>
        <v/>
      </c>
      <c r="F28" s="16">
        <v>2535.29</v>
      </c>
      <c r="G28" s="16">
        <v>338.43</v>
      </c>
      <c r="H28" s="16">
        <v>14.46</v>
      </c>
      <c r="I28" s="16">
        <v>1698.8</v>
      </c>
      <c r="J28" s="14">
        <v>831.68</v>
      </c>
      <c r="K28" s="14">
        <v>1323.92</v>
      </c>
      <c r="L28" s="33"/>
      <c r="M28" s="33"/>
      <c r="N28" s="33"/>
      <c r="O28" s="33"/>
      <c r="P28" s="33"/>
      <c r="Q28" s="33"/>
      <c r="R28" s="33"/>
      <c r="S28" s="32"/>
      <c r="T28" s="32"/>
    </row>
    <row r="29" spans="1:20" ht="18" customHeight="1">
      <c r="A29" s="9">
        <v>45200</v>
      </c>
      <c r="B29" s="3">
        <v>0.82694800000000002</v>
      </c>
      <c r="C29" s="30" t="str">
        <f t="shared" si="2"/>
        <v>Risk</v>
      </c>
      <c r="D29" s="41" t="str">
        <f t="shared" si="3"/>
        <v>Risk</v>
      </c>
      <c r="E29" s="41" t="str">
        <f t="shared" si="4"/>
        <v>Risk</v>
      </c>
      <c r="F29" s="16">
        <v>2277.9899999999998</v>
      </c>
      <c r="G29" s="16">
        <v>305.56</v>
      </c>
      <c r="H29" s="16">
        <v>19.89</v>
      </c>
      <c r="I29" s="16">
        <v>1538.26</v>
      </c>
      <c r="J29" s="13">
        <v>736.1</v>
      </c>
      <c r="K29" s="14">
        <v>1147.92</v>
      </c>
      <c r="L29" s="73">
        <f>1+(($I25/$I29)-1)*3</f>
        <v>1.4823176836165539</v>
      </c>
      <c r="M29" s="73">
        <f>1+(($I24/$I29)-1)*3</f>
        <v>1.6746128742865318</v>
      </c>
      <c r="N29" s="73">
        <f>1+(($I23/$I29)-1)*3</f>
        <v>1.5820147439314549</v>
      </c>
      <c r="O29" s="73">
        <f>1+(($I22/$I29)-1)*3</f>
        <v>1.5098747935979615</v>
      </c>
      <c r="P29" s="73">
        <f>1+(($I21/$I29)-1)*3</f>
        <v>1.7432423647497823</v>
      </c>
      <c r="Q29" s="73">
        <f>1+(($I20/$I29)-1)*3</f>
        <v>1.7010973437520318</v>
      </c>
      <c r="R29" s="73">
        <f>1+(($I19/$I29)-1)*3</f>
        <v>1.5150624731839872</v>
      </c>
      <c r="S29" s="73">
        <f>1+(($I18/$I29)-1)*3</f>
        <v>1.3528792271787606</v>
      </c>
      <c r="T29" s="73">
        <f>1+(($I17/$I29)-1)*3</f>
        <v>1.2863755151924903</v>
      </c>
    </row>
    <row r="30" spans="1:20" ht="18" customHeight="1">
      <c r="A30" s="9">
        <v>45170</v>
      </c>
      <c r="B30" s="3">
        <v>0.89318699999999995</v>
      </c>
      <c r="C30" s="30" t="str">
        <f t="shared" si="2"/>
        <v>Risk</v>
      </c>
      <c r="D30" s="41" t="str">
        <f t="shared" si="3"/>
        <v>Risk</v>
      </c>
      <c r="E30" s="41" t="str">
        <f t="shared" si="4"/>
        <v/>
      </c>
      <c r="F30" s="16">
        <v>2465.0700000000002</v>
      </c>
      <c r="G30" s="16">
        <v>326.70999999999998</v>
      </c>
      <c r="H30" s="16">
        <v>15.08</v>
      </c>
      <c r="I30" s="16">
        <v>1647.96</v>
      </c>
      <c r="J30" s="14">
        <v>841.02</v>
      </c>
      <c r="K30" s="14">
        <v>1321.64</v>
      </c>
      <c r="L30" s="35">
        <f>1+(($I29/$I30)-1)*2</f>
        <v>0.86686570062380142</v>
      </c>
      <c r="M30" s="35">
        <f t="shared" ref="M30:S30" si="7">1+(($I29/$I30)-1)*2</f>
        <v>0.86686570062380142</v>
      </c>
      <c r="N30" s="35">
        <f t="shared" si="7"/>
        <v>0.86686570062380142</v>
      </c>
      <c r="O30" s="35">
        <f t="shared" si="7"/>
        <v>0.86686570062380142</v>
      </c>
      <c r="P30" s="35">
        <f t="shared" si="7"/>
        <v>0.86686570062380142</v>
      </c>
      <c r="Q30" s="35">
        <f t="shared" si="7"/>
        <v>0.86686570062380142</v>
      </c>
      <c r="R30" s="35">
        <f t="shared" si="7"/>
        <v>0.86686570062380142</v>
      </c>
      <c r="S30" s="35">
        <f t="shared" si="7"/>
        <v>0.86686570062380142</v>
      </c>
      <c r="T30" s="33"/>
    </row>
    <row r="31" spans="1:20" ht="18" customHeight="1">
      <c r="A31" s="9">
        <v>45139</v>
      </c>
      <c r="B31" s="3">
        <v>0.93718599999999996</v>
      </c>
      <c r="C31" s="30" t="str">
        <f t="shared" si="2"/>
        <v>Risk</v>
      </c>
      <c r="D31" s="41" t="str">
        <f t="shared" si="3"/>
        <v/>
      </c>
      <c r="E31" s="41" t="str">
        <f t="shared" si="4"/>
        <v/>
      </c>
      <c r="F31" s="16">
        <v>2556.27</v>
      </c>
      <c r="G31" s="16">
        <v>334.75</v>
      </c>
      <c r="H31" s="16">
        <v>12.78</v>
      </c>
      <c r="I31" s="16">
        <v>1686.41</v>
      </c>
      <c r="J31" s="13">
        <v>928.4</v>
      </c>
      <c r="K31" s="14">
        <v>1483.08</v>
      </c>
      <c r="L31" s="34">
        <f t="shared" ref="L31" si="8">$I30/$I31</f>
        <v>0.97720008776039036</v>
      </c>
      <c r="M31" s="33"/>
      <c r="N31" s="32"/>
      <c r="O31" s="32"/>
      <c r="P31" s="32"/>
      <c r="Q31" s="34">
        <f>$I30/$I31</f>
        <v>0.97720008776039036</v>
      </c>
      <c r="R31" s="34">
        <f>$I30/$I31</f>
        <v>0.97720008776039036</v>
      </c>
      <c r="S31" s="33"/>
      <c r="T31" s="33"/>
    </row>
    <row r="32" spans="1:20" ht="18" customHeight="1">
      <c r="A32" s="9">
        <v>45108</v>
      </c>
      <c r="B32" s="3">
        <v>0.96419200000000005</v>
      </c>
      <c r="C32" s="30" t="str">
        <f t="shared" si="2"/>
        <v/>
      </c>
      <c r="D32" s="41" t="str">
        <f t="shared" si="3"/>
        <v/>
      </c>
      <c r="E32" s="41" t="str">
        <f t="shared" si="4"/>
        <v/>
      </c>
      <c r="F32" s="16">
        <v>2632.58</v>
      </c>
      <c r="G32" s="16">
        <v>345.62</v>
      </c>
      <c r="H32" s="16">
        <v>14.21</v>
      </c>
      <c r="I32" s="16">
        <v>1748.34</v>
      </c>
      <c r="J32" s="14">
        <v>935.97</v>
      </c>
      <c r="K32" s="14">
        <v>1551.24</v>
      </c>
      <c r="M32" s="33"/>
      <c r="N32" s="32"/>
      <c r="O32" s="32"/>
      <c r="P32" s="32"/>
      <c r="R32" s="33"/>
      <c r="S32" s="33"/>
      <c r="T32" s="33"/>
    </row>
    <row r="33" spans="1:20" ht="18" customHeight="1">
      <c r="A33" s="9">
        <v>45078</v>
      </c>
      <c r="B33" s="3">
        <v>0.938608</v>
      </c>
      <c r="C33" s="30" t="str">
        <f t="shared" si="2"/>
        <v>Risk</v>
      </c>
      <c r="D33" s="41" t="str">
        <f t="shared" si="3"/>
        <v/>
      </c>
      <c r="E33" s="41" t="str">
        <f t="shared" si="4"/>
        <v/>
      </c>
      <c r="F33" s="16">
        <v>2564.2800000000002</v>
      </c>
      <c r="G33" s="16">
        <v>337.95</v>
      </c>
      <c r="H33" s="16">
        <v>12.59</v>
      </c>
      <c r="I33" s="16">
        <v>1714.36</v>
      </c>
      <c r="J33" s="14">
        <v>868.24</v>
      </c>
      <c r="K33" s="14">
        <v>1322.36</v>
      </c>
      <c r="L33" s="32"/>
      <c r="M33" s="33"/>
      <c r="N33" s="32"/>
      <c r="O33" s="69">
        <f>$I30/$I33</f>
        <v>0.96126834503838177</v>
      </c>
      <c r="P33" s="69">
        <f>$I30/$I33</f>
        <v>0.96126834503838177</v>
      </c>
      <c r="Q33" s="33"/>
      <c r="R33" s="33"/>
      <c r="S33" s="33"/>
      <c r="T33" s="33"/>
    </row>
    <row r="34" spans="1:20" ht="18" customHeight="1">
      <c r="A34" s="9">
        <v>45047</v>
      </c>
      <c r="B34" s="3">
        <v>0.98162400000000005</v>
      </c>
      <c r="C34" s="30" t="str">
        <f t="shared" si="2"/>
        <v/>
      </c>
      <c r="D34" s="41" t="str">
        <f t="shared" si="3"/>
        <v/>
      </c>
      <c r="E34" s="41" t="str">
        <f t="shared" si="4"/>
        <v/>
      </c>
      <c r="F34" s="16">
        <v>2577.12</v>
      </c>
      <c r="G34" s="16">
        <v>339.12</v>
      </c>
      <c r="H34" s="16">
        <v>14.8</v>
      </c>
      <c r="I34" s="16">
        <v>1714.7</v>
      </c>
      <c r="J34" s="14">
        <v>856.94</v>
      </c>
      <c r="K34" s="14">
        <v>1308.6500000000001</v>
      </c>
      <c r="L34" s="32"/>
      <c r="M34" s="33"/>
      <c r="N34" s="32"/>
      <c r="P34" s="33"/>
      <c r="Q34" s="33"/>
      <c r="R34" s="33"/>
      <c r="S34" s="33"/>
      <c r="T34" s="33"/>
    </row>
    <row r="35" spans="1:20" ht="18" customHeight="1">
      <c r="A35" s="9">
        <v>45017</v>
      </c>
      <c r="B35" s="3">
        <v>0.94302699999999995</v>
      </c>
      <c r="C35" s="30" t="str">
        <f t="shared" si="2"/>
        <v>Risk</v>
      </c>
      <c r="D35" s="41" t="str">
        <f t="shared" si="3"/>
        <v/>
      </c>
      <c r="E35" s="41" t="str">
        <f t="shared" si="4"/>
        <v/>
      </c>
      <c r="F35" s="16">
        <v>2501.5300000000002</v>
      </c>
      <c r="G35" s="16">
        <v>326.45999999999998</v>
      </c>
      <c r="H35" s="16">
        <v>14.51</v>
      </c>
      <c r="I35" s="16">
        <v>1650.97</v>
      </c>
      <c r="J35" s="14">
        <v>842.83</v>
      </c>
      <c r="K35" s="14">
        <v>1299.28</v>
      </c>
      <c r="L35" s="32"/>
      <c r="M35" s="33"/>
      <c r="N35" s="34">
        <f>$I30/$I35</f>
        <v>0.99817682937909225</v>
      </c>
      <c r="O35" s="33"/>
      <c r="P35" s="33"/>
      <c r="Q35" s="33"/>
      <c r="R35" s="33"/>
      <c r="S35" s="33"/>
      <c r="T35" s="32"/>
    </row>
    <row r="36" spans="1:20" ht="18" customHeight="1">
      <c r="A36" s="9">
        <v>44986</v>
      </c>
      <c r="B36" s="11">
        <v>0.93132300000000001</v>
      </c>
      <c r="C36" s="30" t="str">
        <f t="shared" si="2"/>
        <v>Risk</v>
      </c>
      <c r="D36" s="41" t="str">
        <f t="shared" si="3"/>
        <v/>
      </c>
      <c r="E36" s="41" t="str">
        <f t="shared" si="4"/>
        <v/>
      </c>
      <c r="F36" s="16">
        <v>2476.86</v>
      </c>
      <c r="G36" s="16">
        <v>322.02999999999997</v>
      </c>
      <c r="H36" s="16">
        <v>15.57</v>
      </c>
      <c r="I36" s="16">
        <v>1637.31</v>
      </c>
      <c r="J36" s="14">
        <v>847.52</v>
      </c>
      <c r="K36" s="14">
        <v>1260.21</v>
      </c>
      <c r="L36" s="32"/>
      <c r="M36" s="34">
        <f>$I31/$I36</f>
        <v>1.0299882123727333</v>
      </c>
      <c r="N36" s="33"/>
      <c r="O36" s="33"/>
      <c r="P36" s="33"/>
      <c r="Q36" s="33"/>
      <c r="R36" s="33"/>
      <c r="S36" s="32"/>
      <c r="T36" s="32"/>
    </row>
    <row r="37" spans="1:20" ht="18" customHeight="1">
      <c r="A37" s="9">
        <v>44958</v>
      </c>
      <c r="B37" s="11">
        <v>0.90686500000000003</v>
      </c>
      <c r="C37" s="30" t="str">
        <f t="shared" si="2"/>
        <v>Risk</v>
      </c>
      <c r="D37" s="41" t="str">
        <f t="shared" si="3"/>
        <v/>
      </c>
      <c r="E37" s="41" t="str">
        <f t="shared" si="4"/>
        <v/>
      </c>
      <c r="F37" s="16">
        <v>2412.85</v>
      </c>
      <c r="G37" s="16">
        <v>314.8</v>
      </c>
      <c r="H37" s="16">
        <v>18.53</v>
      </c>
      <c r="I37" s="16">
        <v>1605.25</v>
      </c>
      <c r="J37" s="13">
        <v>791.6</v>
      </c>
      <c r="K37" s="14">
        <v>1143.05</v>
      </c>
      <c r="L37" s="34">
        <f>$I33/$I37</f>
        <v>1.0679707210714842</v>
      </c>
      <c r="M37" s="33"/>
      <c r="N37" s="33"/>
      <c r="O37" s="33"/>
      <c r="P37" s="33"/>
      <c r="Q37" s="33"/>
      <c r="R37" s="33"/>
      <c r="S37" s="32"/>
      <c r="T37" s="32"/>
    </row>
    <row r="38" spans="1:20" ht="18" customHeight="1">
      <c r="A38" s="9">
        <v>44927</v>
      </c>
      <c r="B38" s="11">
        <v>0.91425400000000001</v>
      </c>
      <c r="C38" s="30" t="str">
        <f t="shared" si="2"/>
        <v>Risk</v>
      </c>
      <c r="D38" s="41" t="str">
        <f t="shared" si="3"/>
        <v/>
      </c>
      <c r="E38" s="41" t="str">
        <f t="shared" si="4"/>
        <v/>
      </c>
      <c r="F38" s="16">
        <v>2425.08</v>
      </c>
      <c r="G38" s="16">
        <v>317.26</v>
      </c>
      <c r="H38" s="16">
        <v>17.75</v>
      </c>
      <c r="I38" s="16">
        <v>1619.74</v>
      </c>
      <c r="J38" s="14">
        <v>740.49</v>
      </c>
      <c r="K38" s="13">
        <v>1021.6</v>
      </c>
      <c r="L38" s="33"/>
      <c r="M38" s="33"/>
      <c r="N38" s="33"/>
      <c r="O38" s="33"/>
      <c r="P38" s="33"/>
      <c r="Q38" s="33"/>
      <c r="R38" s="33"/>
      <c r="S38" s="32"/>
      <c r="T38" s="32"/>
    </row>
    <row r="39" spans="1:20" ht="18" customHeight="1">
      <c r="A39" s="9">
        <v>44896</v>
      </c>
      <c r="B39" s="11">
        <v>0.84129799999999999</v>
      </c>
      <c r="C39" s="30" t="str">
        <f t="shared" si="2"/>
        <v>Risk</v>
      </c>
      <c r="D39" s="41" t="str">
        <f t="shared" si="3"/>
        <v>Risk</v>
      </c>
      <c r="E39" s="41" t="str">
        <f t="shared" si="4"/>
        <v>Risk</v>
      </c>
      <c r="F39" s="16">
        <v>2236.4</v>
      </c>
      <c r="G39" s="16">
        <v>291.10000000000002</v>
      </c>
      <c r="H39" s="16">
        <v>18.399999999999999</v>
      </c>
      <c r="I39" s="16">
        <v>1488.59</v>
      </c>
      <c r="J39" s="14">
        <v>679.29</v>
      </c>
      <c r="K39" s="14">
        <v>957.78</v>
      </c>
      <c r="L39" s="33"/>
      <c r="M39" s="33"/>
      <c r="N39" s="33"/>
      <c r="O39" s="33"/>
      <c r="P39" s="33"/>
      <c r="Q39" s="33"/>
      <c r="R39" s="33"/>
      <c r="S39" s="32"/>
      <c r="T39" s="32"/>
    </row>
    <row r="40" spans="1:20" ht="18" customHeight="1">
      <c r="A40" s="9">
        <v>44866</v>
      </c>
      <c r="B40" s="11">
        <v>0.95905799999999997</v>
      </c>
      <c r="C40" s="30" t="str">
        <f t="shared" si="2"/>
        <v/>
      </c>
      <c r="D40" s="41" t="str">
        <f t="shared" si="3"/>
        <v/>
      </c>
      <c r="E40" s="41" t="str">
        <f t="shared" si="4"/>
        <v/>
      </c>
      <c r="F40" s="16">
        <v>2472.5300000000002</v>
      </c>
      <c r="G40" s="16">
        <v>321</v>
      </c>
      <c r="H40" s="16">
        <v>17.78</v>
      </c>
      <c r="I40" s="16">
        <v>1616.28</v>
      </c>
      <c r="J40" s="14">
        <v>729.54</v>
      </c>
      <c r="K40" s="14">
        <v>1038.42</v>
      </c>
      <c r="L40" s="33"/>
      <c r="M40" s="33"/>
      <c r="N40" s="33"/>
      <c r="O40" s="33"/>
      <c r="P40" s="33"/>
      <c r="Q40" s="33"/>
      <c r="R40" s="33"/>
      <c r="S40" s="32"/>
      <c r="T40" s="32"/>
    </row>
    <row r="41" spans="1:20" ht="18" customHeight="1">
      <c r="A41" s="9">
        <v>44835</v>
      </c>
      <c r="B41" s="11">
        <v>0.88847299999999996</v>
      </c>
      <c r="C41" s="30" t="str">
        <f t="shared" si="2"/>
        <v>Risk</v>
      </c>
      <c r="D41" s="41" t="str">
        <f t="shared" si="3"/>
        <v>Risk</v>
      </c>
      <c r="E41" s="41" t="str">
        <f t="shared" si="4"/>
        <v/>
      </c>
      <c r="F41" s="16">
        <v>2293.61</v>
      </c>
      <c r="G41" s="16">
        <v>299.58</v>
      </c>
      <c r="H41" s="16">
        <v>21.97</v>
      </c>
      <c r="I41" s="16">
        <v>1520.46</v>
      </c>
      <c r="J41" s="14">
        <v>695.33</v>
      </c>
      <c r="K41" s="14">
        <v>1006.82</v>
      </c>
      <c r="L41" s="33"/>
      <c r="M41" s="33"/>
      <c r="N41" s="33"/>
      <c r="O41" s="33"/>
      <c r="P41" s="33"/>
      <c r="Q41" s="33"/>
      <c r="R41" s="33"/>
      <c r="S41" s="32"/>
      <c r="T41" s="32"/>
    </row>
    <row r="42" spans="1:20" ht="18" customHeight="1">
      <c r="A42" s="9">
        <v>44805</v>
      </c>
      <c r="B42" s="3">
        <v>0.83385600000000004</v>
      </c>
      <c r="C42" s="30" t="str">
        <f t="shared" si="2"/>
        <v>Risk</v>
      </c>
      <c r="D42" s="41" t="str">
        <f t="shared" si="3"/>
        <v>Risk</v>
      </c>
      <c r="E42" s="41" t="str">
        <f t="shared" si="4"/>
        <v>Risk</v>
      </c>
      <c r="F42" s="16">
        <v>2155.4899999999998</v>
      </c>
      <c r="G42" s="16">
        <v>281.36</v>
      </c>
      <c r="H42" s="16">
        <v>27.19</v>
      </c>
      <c r="I42" s="16">
        <v>1428.18</v>
      </c>
      <c r="J42" s="14">
        <v>672.65</v>
      </c>
      <c r="K42" s="14">
        <v>956.48</v>
      </c>
      <c r="L42" s="73">
        <f>1+(($I38/$I42)-1)*3</f>
        <v>1.4023862538335505</v>
      </c>
      <c r="M42" s="73">
        <f>1+(($I37/$I42)-1)*3</f>
        <v>1.3719489140024368</v>
      </c>
      <c r="N42" s="73">
        <f>1+(($I36/$I42)-1)*3</f>
        <v>1.4392933663823884</v>
      </c>
      <c r="O42" s="73">
        <f>1+(($I35/$I42)-1)*3</f>
        <v>1.467987228500609</v>
      </c>
      <c r="P42" s="73">
        <f>1+(($I34/$I42)-1)*3</f>
        <v>1.601856908793009</v>
      </c>
      <c r="Q42" s="73">
        <f>1+(($I33/$I42)-1)*3</f>
        <v>1.60114271310339</v>
      </c>
      <c r="R42" s="73">
        <f>1+(($I32/$I42)-1)*3</f>
        <v>1.6725202705541318</v>
      </c>
      <c r="S42" s="73">
        <f>1+(($I31/$I42)-1)*3</f>
        <v>1.5424316262655966</v>
      </c>
      <c r="T42" s="73">
        <f>1+(($I30/$I42)-1)*3</f>
        <v>1.4616644960719236</v>
      </c>
    </row>
    <row r="43" spans="1:20" ht="18" customHeight="1">
      <c r="A43" s="9">
        <v>44774</v>
      </c>
      <c r="B43" s="3">
        <v>0.97728800000000005</v>
      </c>
      <c r="C43" s="30" t="str">
        <f t="shared" si="2"/>
        <v/>
      </c>
      <c r="D43" s="41" t="str">
        <f t="shared" si="3"/>
        <v/>
      </c>
      <c r="E43" s="41" t="str">
        <f t="shared" si="4"/>
        <v/>
      </c>
      <c r="F43" s="16">
        <v>2472.0500000000002</v>
      </c>
      <c r="G43" s="16">
        <v>322.95999999999998</v>
      </c>
      <c r="H43" s="16">
        <v>17.309999999999999</v>
      </c>
      <c r="I43" s="16">
        <v>1625.97</v>
      </c>
      <c r="J43" s="14">
        <v>807.04</v>
      </c>
      <c r="K43" s="14">
        <v>1155.03</v>
      </c>
      <c r="L43" s="33"/>
      <c r="M43" s="33"/>
      <c r="N43" s="33"/>
      <c r="O43" s="33"/>
      <c r="P43" s="32"/>
      <c r="Q43" s="32"/>
      <c r="R43" s="32"/>
      <c r="S43" s="32"/>
      <c r="T43" s="32"/>
    </row>
    <row r="44" spans="1:20" ht="18" customHeight="1">
      <c r="A44" s="9">
        <v>44743</v>
      </c>
      <c r="B44" s="3">
        <v>0.96806300000000001</v>
      </c>
      <c r="C44" s="30" t="str">
        <f t="shared" si="2"/>
        <v/>
      </c>
      <c r="D44" s="41" t="str">
        <f t="shared" si="3"/>
        <v/>
      </c>
      <c r="E44" s="41" t="str">
        <f t="shared" si="4"/>
        <v/>
      </c>
      <c r="F44" s="16">
        <v>2451.5</v>
      </c>
      <c r="G44" s="16">
        <v>323.31</v>
      </c>
      <c r="H44" s="16">
        <v>17.79</v>
      </c>
      <c r="I44" s="16">
        <v>1638.38</v>
      </c>
      <c r="J44" s="14">
        <v>803.62</v>
      </c>
      <c r="K44" s="13">
        <v>1151.8</v>
      </c>
      <c r="L44" s="33"/>
      <c r="M44" s="33"/>
      <c r="N44" s="33"/>
      <c r="O44" s="33"/>
      <c r="P44" s="32"/>
      <c r="Q44" s="32"/>
      <c r="R44" s="32"/>
      <c r="S44" s="32"/>
      <c r="T44" s="32"/>
    </row>
    <row r="45" spans="1:20" ht="18" customHeight="1">
      <c r="A45" s="9">
        <v>44713</v>
      </c>
      <c r="B45" s="3">
        <v>0.92029099999999997</v>
      </c>
      <c r="C45" s="30" t="str">
        <f t="shared" si="2"/>
        <v>Risk</v>
      </c>
      <c r="D45" s="41" t="str">
        <f t="shared" si="3"/>
        <v/>
      </c>
      <c r="E45" s="41" t="str">
        <f t="shared" si="4"/>
        <v/>
      </c>
      <c r="F45" s="16">
        <v>2332.64</v>
      </c>
      <c r="G45" s="16">
        <v>307.2</v>
      </c>
      <c r="H45" s="16">
        <v>23.9</v>
      </c>
      <c r="I45" s="16">
        <v>1557.34</v>
      </c>
      <c r="J45" s="14">
        <v>745.44</v>
      </c>
      <c r="K45" s="14">
        <v>1056.42</v>
      </c>
      <c r="L45" s="34">
        <f>$I42/$I45</f>
        <v>0.91706371119986652</v>
      </c>
      <c r="M45" s="34">
        <f t="shared" ref="M45:T45" si="9">$I42/$I45</f>
        <v>0.91706371119986652</v>
      </c>
      <c r="N45" s="34">
        <f t="shared" si="9"/>
        <v>0.91706371119986652</v>
      </c>
      <c r="O45" s="34">
        <f t="shared" si="9"/>
        <v>0.91706371119986652</v>
      </c>
      <c r="P45" s="34">
        <f t="shared" si="9"/>
        <v>0.91706371119986652</v>
      </c>
      <c r="Q45" s="34">
        <f t="shared" si="9"/>
        <v>0.91706371119986652</v>
      </c>
      <c r="R45" s="34">
        <f t="shared" si="9"/>
        <v>0.91706371119986652</v>
      </c>
      <c r="S45" s="34">
        <f t="shared" si="9"/>
        <v>0.91706371119986652</v>
      </c>
      <c r="T45" s="34">
        <f t="shared" si="9"/>
        <v>0.91706371119986652</v>
      </c>
    </row>
    <row r="46" spans="1:20" ht="18" customHeight="1">
      <c r="A46" s="9">
        <v>44682</v>
      </c>
      <c r="B46" s="3">
        <v>1.075215</v>
      </c>
      <c r="C46" s="30" t="str">
        <f t="shared" si="2"/>
        <v/>
      </c>
      <c r="D46" s="41" t="str">
        <f t="shared" si="3"/>
        <v/>
      </c>
      <c r="E46" s="41" t="str">
        <f t="shared" si="4"/>
        <v/>
      </c>
      <c r="F46" s="16">
        <v>2685.9</v>
      </c>
      <c r="G46" s="16">
        <v>354.54</v>
      </c>
      <c r="H46" s="16">
        <v>17.260000000000002</v>
      </c>
      <c r="I46" s="16">
        <v>1793.38</v>
      </c>
      <c r="J46" s="14">
        <v>893.36</v>
      </c>
      <c r="K46" s="14">
        <v>1269.22</v>
      </c>
    </row>
    <row r="47" spans="1:20" ht="18" customHeight="1">
      <c r="A47" s="9">
        <v>44652</v>
      </c>
      <c r="B47" s="3">
        <v>1.097928</v>
      </c>
      <c r="C47" s="30" t="str">
        <f t="shared" si="2"/>
        <v/>
      </c>
      <c r="D47" s="41" t="str">
        <f t="shared" si="3"/>
        <v/>
      </c>
      <c r="E47" s="41" t="str">
        <f t="shared" si="4"/>
        <v/>
      </c>
      <c r="F47" s="16">
        <v>2695.05</v>
      </c>
      <c r="G47" s="16">
        <v>355.08</v>
      </c>
      <c r="H47" s="16">
        <v>18.920000000000002</v>
      </c>
      <c r="I47" s="16">
        <v>1800.72</v>
      </c>
      <c r="J47" s="14">
        <v>904.75</v>
      </c>
      <c r="K47" s="14">
        <v>1261.29</v>
      </c>
    </row>
    <row r="48" spans="1:20" ht="18" customHeight="1">
      <c r="A48" s="9">
        <v>44621</v>
      </c>
      <c r="B48" s="3">
        <v>1.1232880000000001</v>
      </c>
      <c r="C48" s="30" t="str">
        <f t="shared" si="2"/>
        <v/>
      </c>
      <c r="D48" s="41" t="str">
        <f t="shared" si="3"/>
        <v/>
      </c>
      <c r="E48" s="41" t="str">
        <f t="shared" si="4"/>
        <v/>
      </c>
      <c r="F48" s="16">
        <v>2757.65</v>
      </c>
      <c r="G48" s="16">
        <v>365.61</v>
      </c>
      <c r="H48" s="16">
        <v>17.14</v>
      </c>
      <c r="I48" s="16">
        <v>1851.87</v>
      </c>
      <c r="J48" s="14">
        <v>944.53</v>
      </c>
      <c r="K48" s="14">
        <v>1332.65</v>
      </c>
    </row>
    <row r="49" spans="1:20" ht="18" customHeight="1">
      <c r="A49" s="9">
        <v>44593</v>
      </c>
      <c r="B49" s="3">
        <v>1.0990470000000001</v>
      </c>
      <c r="C49" s="30" t="str">
        <f t="shared" si="2"/>
        <v/>
      </c>
      <c r="D49" s="41" t="str">
        <f t="shared" si="3"/>
        <v/>
      </c>
      <c r="E49" s="41" t="str">
        <f t="shared" si="4"/>
        <v/>
      </c>
      <c r="F49" s="16">
        <v>2699.18</v>
      </c>
      <c r="G49" s="16">
        <v>361.54</v>
      </c>
      <c r="H49" s="16">
        <v>24.41</v>
      </c>
      <c r="I49" s="16">
        <v>1828.27</v>
      </c>
      <c r="J49" s="14">
        <v>881.07</v>
      </c>
      <c r="K49" s="14">
        <v>1257.1400000000001</v>
      </c>
    </row>
    <row r="50" spans="1:20" ht="18" customHeight="1">
      <c r="A50" s="9">
        <v>44562</v>
      </c>
      <c r="B50" s="3">
        <v>1.0827770000000001</v>
      </c>
      <c r="C50" s="30" t="str">
        <f t="shared" si="2"/>
        <v/>
      </c>
      <c r="D50" s="41" t="str">
        <f t="shared" si="3"/>
        <v/>
      </c>
      <c r="E50" s="41" t="str">
        <f t="shared" si="4"/>
        <v/>
      </c>
      <c r="F50" s="16">
        <v>2663.34</v>
      </c>
      <c r="G50" s="16">
        <v>357.98</v>
      </c>
      <c r="H50" s="16">
        <v>23.97</v>
      </c>
      <c r="I50" s="16">
        <v>1804.99</v>
      </c>
      <c r="J50" s="14">
        <v>872.87</v>
      </c>
      <c r="K50" s="13">
        <v>1244.9000000000001</v>
      </c>
    </row>
    <row r="51" spans="1:20" ht="18" customHeight="1">
      <c r="A51" s="9">
        <v>44531</v>
      </c>
      <c r="B51" s="3">
        <v>1.1415519999999999</v>
      </c>
      <c r="C51" s="30" t="str">
        <f t="shared" si="2"/>
        <v/>
      </c>
      <c r="D51" s="41" t="str">
        <f t="shared" si="3"/>
        <v/>
      </c>
      <c r="E51" s="41" t="str">
        <f t="shared" si="4"/>
        <v/>
      </c>
      <c r="F51" s="16">
        <v>2977.65</v>
      </c>
      <c r="G51" s="16">
        <v>394.19</v>
      </c>
      <c r="H51" s="16">
        <v>16.5</v>
      </c>
      <c r="I51" s="16">
        <v>1995.56</v>
      </c>
      <c r="J51" s="14">
        <v>1033.98</v>
      </c>
      <c r="K51" s="14">
        <v>1524.21</v>
      </c>
    </row>
    <row r="52" spans="1:20" ht="18" customHeight="1">
      <c r="A52" s="9">
        <v>44501</v>
      </c>
      <c r="B52" s="3">
        <v>1.1318319999999999</v>
      </c>
      <c r="C52" s="30" t="str">
        <f t="shared" si="2"/>
        <v/>
      </c>
      <c r="D52" s="41" t="str">
        <f t="shared" si="3"/>
        <v/>
      </c>
      <c r="E52" s="41" t="str">
        <f t="shared" si="4"/>
        <v/>
      </c>
      <c r="F52" s="16">
        <v>2839.01</v>
      </c>
      <c r="G52" s="16">
        <v>373.24</v>
      </c>
      <c r="H52" s="16">
        <v>23.23</v>
      </c>
      <c r="I52" s="16">
        <v>1873.74</v>
      </c>
      <c r="J52" s="14">
        <v>965.63</v>
      </c>
      <c r="K52" s="14">
        <v>1448.84</v>
      </c>
    </row>
    <row r="53" spans="1:20" ht="18" customHeight="1">
      <c r="A53" s="9">
        <v>44470</v>
      </c>
      <c r="B53" s="3">
        <v>1.1723330000000001</v>
      </c>
      <c r="C53" s="30" t="str">
        <f t="shared" si="2"/>
        <v/>
      </c>
      <c r="D53" s="41" t="str">
        <f t="shared" si="3"/>
        <v/>
      </c>
      <c r="E53" s="41" t="str">
        <f t="shared" si="4"/>
        <v/>
      </c>
      <c r="F53" s="16">
        <v>2970.68</v>
      </c>
      <c r="G53" s="16">
        <v>388.47</v>
      </c>
      <c r="H53" s="16">
        <v>18.55</v>
      </c>
      <c r="I53" s="16">
        <v>1948.02</v>
      </c>
      <c r="J53" s="14">
        <v>992.33</v>
      </c>
      <c r="K53" s="14">
        <v>1444.19</v>
      </c>
    </row>
    <row r="54" spans="1:20" ht="18" customHeight="1">
      <c r="A54" s="9">
        <v>44440</v>
      </c>
      <c r="B54" s="3">
        <v>1.2105570000000001</v>
      </c>
      <c r="C54" s="30" t="str">
        <f t="shared" si="2"/>
        <v/>
      </c>
      <c r="D54" s="41" t="str">
        <f t="shared" si="3"/>
        <v/>
      </c>
      <c r="E54" s="41" t="str">
        <f t="shared" si="4"/>
        <v/>
      </c>
      <c r="F54" s="16">
        <v>3068.82</v>
      </c>
      <c r="G54" s="16">
        <v>401.3</v>
      </c>
      <c r="H54" s="16">
        <v>17.350000000000001</v>
      </c>
      <c r="I54" s="16">
        <v>2015.02</v>
      </c>
      <c r="J54" s="14">
        <v>1003.27</v>
      </c>
      <c r="K54" s="14">
        <v>1475.06</v>
      </c>
      <c r="S54" s="32"/>
    </row>
    <row r="55" spans="1:20" ht="18" customHeight="1">
      <c r="A55" s="9">
        <v>44409</v>
      </c>
      <c r="B55" s="3">
        <v>1.300484</v>
      </c>
      <c r="C55" s="30" t="str">
        <f t="shared" si="2"/>
        <v/>
      </c>
      <c r="D55" s="41" t="str">
        <f t="shared" si="3"/>
        <v/>
      </c>
      <c r="E55" s="41" t="str">
        <f t="shared" si="4"/>
        <v/>
      </c>
      <c r="F55" s="16">
        <v>3199.27</v>
      </c>
      <c r="G55" s="16">
        <v>419.79</v>
      </c>
      <c r="H55" s="16">
        <v>14.76</v>
      </c>
      <c r="I55" s="16">
        <v>2103.6999999999998</v>
      </c>
      <c r="J55" s="14">
        <v>1038.33</v>
      </c>
      <c r="K55" s="14">
        <v>1512.05</v>
      </c>
      <c r="S55" s="32"/>
    </row>
    <row r="56" spans="1:20" ht="18" customHeight="1">
      <c r="A56" s="9">
        <v>44378</v>
      </c>
      <c r="B56" s="3">
        <v>1.2705679999999999</v>
      </c>
      <c r="C56" s="30" t="str">
        <f t="shared" si="2"/>
        <v/>
      </c>
      <c r="D56" s="41" t="str">
        <f t="shared" si="3"/>
        <v/>
      </c>
      <c r="E56" s="41" t="str">
        <f t="shared" si="4"/>
        <v/>
      </c>
      <c r="F56" s="16">
        <v>3202.32</v>
      </c>
      <c r="G56" s="16">
        <v>423.91</v>
      </c>
      <c r="H56" s="16">
        <v>17.3</v>
      </c>
      <c r="I56" s="16">
        <v>2128.27</v>
      </c>
      <c r="J56" s="14">
        <v>1031.1400000000001</v>
      </c>
      <c r="K56" s="14">
        <v>1452.86</v>
      </c>
      <c r="R56" s="32"/>
      <c r="S56" s="32"/>
    </row>
    <row r="57" spans="1:20" ht="18" customHeight="1">
      <c r="A57" s="9">
        <v>44348</v>
      </c>
      <c r="B57" s="3">
        <v>1.3026359999999999</v>
      </c>
      <c r="C57" s="30" t="str">
        <f t="shared" si="2"/>
        <v/>
      </c>
      <c r="D57" s="41" t="str">
        <f t="shared" si="3"/>
        <v/>
      </c>
      <c r="E57" s="41" t="str">
        <f t="shared" si="4"/>
        <v/>
      </c>
      <c r="F57" s="16">
        <v>3296.68</v>
      </c>
      <c r="G57" s="16">
        <v>438.84</v>
      </c>
      <c r="H57" s="16">
        <v>14.17</v>
      </c>
      <c r="I57" s="16">
        <v>2200.7399999999998</v>
      </c>
      <c r="J57" s="14">
        <v>1029.96</v>
      </c>
      <c r="K57" s="14">
        <v>1464.08</v>
      </c>
      <c r="R57" s="32"/>
      <c r="S57" s="32"/>
    </row>
    <row r="58" spans="1:20" ht="18" customHeight="1">
      <c r="A58" s="9">
        <v>44317</v>
      </c>
      <c r="B58" s="3">
        <v>1.2930200000000001</v>
      </c>
      <c r="C58" s="30" t="str">
        <f t="shared" si="2"/>
        <v/>
      </c>
      <c r="D58" s="41" t="str">
        <f t="shared" si="3"/>
        <v/>
      </c>
      <c r="E58" s="41" t="str">
        <f t="shared" si="4"/>
        <v/>
      </c>
      <c r="F58" s="16">
        <v>3203.92</v>
      </c>
      <c r="G58" s="16">
        <v>427.91</v>
      </c>
      <c r="H58" s="16">
        <v>17.04</v>
      </c>
      <c r="I58" s="16">
        <v>2141.91</v>
      </c>
      <c r="J58" s="14">
        <v>981.78</v>
      </c>
      <c r="K58" s="13">
        <v>1399.6</v>
      </c>
      <c r="R58" s="32"/>
      <c r="S58" s="32"/>
    </row>
    <row r="59" spans="1:20" ht="18" customHeight="1">
      <c r="A59" s="9">
        <v>44287</v>
      </c>
      <c r="B59" s="3">
        <v>1.281185</v>
      </c>
      <c r="C59" s="30" t="str">
        <f t="shared" si="2"/>
        <v/>
      </c>
      <c r="D59" s="41" t="str">
        <f t="shared" si="3"/>
        <v/>
      </c>
      <c r="E59" s="41" t="str">
        <f t="shared" si="4"/>
        <v/>
      </c>
      <c r="F59" s="16">
        <v>3147.86</v>
      </c>
      <c r="G59" s="16">
        <v>422.36</v>
      </c>
      <c r="H59" s="16">
        <v>18.84</v>
      </c>
      <c r="I59" s="16">
        <v>2113.87</v>
      </c>
      <c r="J59" s="14">
        <v>983.45</v>
      </c>
      <c r="K59" s="14">
        <v>1405.47</v>
      </c>
      <c r="N59" s="32"/>
      <c r="R59" s="32"/>
      <c r="S59" s="32"/>
    </row>
    <row r="60" spans="1:20" ht="18" customHeight="1">
      <c r="A60" s="9">
        <v>44256</v>
      </c>
      <c r="B60" s="3">
        <v>1.2439530000000001</v>
      </c>
      <c r="C60" s="30" t="str">
        <f t="shared" si="2"/>
        <v/>
      </c>
      <c r="D60" s="41" t="str">
        <f t="shared" si="3"/>
        <v/>
      </c>
      <c r="E60" s="41" t="str">
        <f t="shared" si="4"/>
        <v/>
      </c>
      <c r="F60" s="16">
        <v>3061.42</v>
      </c>
      <c r="G60" s="16">
        <v>415.04</v>
      </c>
      <c r="H60" s="16">
        <v>20.440000000000001</v>
      </c>
      <c r="I60" s="16">
        <v>2076.56</v>
      </c>
      <c r="J60" s="14">
        <v>956.17</v>
      </c>
      <c r="K60" s="13">
        <v>1423.2</v>
      </c>
      <c r="N60" s="32"/>
      <c r="Q60" s="32"/>
      <c r="R60" s="32"/>
      <c r="S60" s="32"/>
    </row>
    <row r="61" spans="1:20" ht="18" customHeight="1">
      <c r="A61" s="9">
        <v>44228</v>
      </c>
      <c r="B61" s="3">
        <v>1.216664</v>
      </c>
      <c r="C61" s="30" t="str">
        <f t="shared" si="2"/>
        <v/>
      </c>
      <c r="D61" s="41" t="str">
        <f t="shared" si="3"/>
        <v/>
      </c>
      <c r="E61" s="41" t="str">
        <f t="shared" si="4"/>
        <v/>
      </c>
      <c r="F61" s="16">
        <v>3012.95</v>
      </c>
      <c r="G61" s="16">
        <v>409.91</v>
      </c>
      <c r="H61" s="16">
        <v>31.34</v>
      </c>
      <c r="I61" s="16">
        <v>2049.71</v>
      </c>
      <c r="J61" s="14">
        <v>913.94</v>
      </c>
      <c r="K61" s="14">
        <v>1363.12</v>
      </c>
      <c r="M61" s="32"/>
      <c r="N61" s="32"/>
      <c r="Q61" s="32"/>
      <c r="R61" s="32"/>
      <c r="S61" s="32"/>
    </row>
    <row r="62" spans="1:20" ht="18" customHeight="1">
      <c r="A62" s="9">
        <v>44197</v>
      </c>
      <c r="B62" s="3">
        <v>1.200699</v>
      </c>
      <c r="C62" s="30" t="str">
        <f t="shared" si="2"/>
        <v/>
      </c>
      <c r="D62" s="41" t="str">
        <f t="shared" si="3"/>
        <v/>
      </c>
      <c r="E62" s="41" t="str">
        <f t="shared" si="4"/>
        <v/>
      </c>
      <c r="F62" s="16">
        <v>2976.21</v>
      </c>
      <c r="G62" s="16">
        <v>404.56</v>
      </c>
      <c r="H62" s="16">
        <v>35.729999999999997</v>
      </c>
      <c r="I62" s="16">
        <v>2022.21</v>
      </c>
      <c r="J62" s="14">
        <v>928.73</v>
      </c>
      <c r="K62" s="14">
        <v>1427.72</v>
      </c>
      <c r="M62" s="32"/>
      <c r="N62" s="32"/>
      <c r="P62" s="32"/>
      <c r="Q62" s="32"/>
      <c r="R62" s="32"/>
      <c r="S62" s="32"/>
    </row>
    <row r="63" spans="1:20" ht="18" customHeight="1">
      <c r="A63" s="9">
        <v>44166</v>
      </c>
      <c r="B63" s="3">
        <v>1.1567099999999999</v>
      </c>
      <c r="C63" s="30" t="str">
        <f t="shared" si="2"/>
        <v/>
      </c>
      <c r="D63" s="41" t="str">
        <f t="shared" si="3"/>
        <v/>
      </c>
      <c r="E63" s="41" t="str">
        <f t="shared" si="4"/>
        <v/>
      </c>
      <c r="F63" s="16">
        <v>2873.47</v>
      </c>
      <c r="G63" s="16">
        <v>389.29</v>
      </c>
      <c r="H63" s="16">
        <v>22.09</v>
      </c>
      <c r="I63" s="16">
        <v>1945.71</v>
      </c>
      <c r="J63" s="14">
        <v>968.42</v>
      </c>
      <c r="K63" s="14">
        <v>1532.52</v>
      </c>
      <c r="M63" s="32"/>
      <c r="N63" s="32"/>
      <c r="P63" s="32"/>
      <c r="Q63" s="32"/>
      <c r="R63" s="32"/>
      <c r="S63" s="32"/>
    </row>
    <row r="64" spans="1:20" ht="18" customHeight="1">
      <c r="A64" s="9">
        <v>44136</v>
      </c>
      <c r="B64" s="3">
        <v>1.0639050000000001</v>
      </c>
      <c r="C64" s="30" t="str">
        <f t="shared" si="2"/>
        <v/>
      </c>
      <c r="D64" s="41" t="str">
        <f t="shared" si="3"/>
        <v/>
      </c>
      <c r="E64" s="41" t="str">
        <f t="shared" si="4"/>
        <v/>
      </c>
      <c r="F64" s="16">
        <v>2591.34</v>
      </c>
      <c r="G64" s="16">
        <v>346.05</v>
      </c>
      <c r="H64" s="16">
        <v>20.77</v>
      </c>
      <c r="I64" s="16">
        <v>1713.2</v>
      </c>
      <c r="J64" s="14">
        <v>886.11</v>
      </c>
      <c r="K64" s="14">
        <v>1348.49</v>
      </c>
      <c r="L64" s="32"/>
      <c r="M64" s="32"/>
      <c r="N64" s="32"/>
      <c r="O64" s="32"/>
      <c r="P64" s="32"/>
      <c r="Q64" s="32"/>
      <c r="R64" s="32"/>
      <c r="S64" s="32"/>
      <c r="T64" s="32"/>
    </row>
    <row r="65" spans="1:20" ht="18" customHeight="1">
      <c r="A65" s="9">
        <v>44105</v>
      </c>
      <c r="B65" s="3">
        <v>0.92899500000000002</v>
      </c>
      <c r="C65" s="30" t="str">
        <f t="shared" si="2"/>
        <v>Risk</v>
      </c>
      <c r="D65" s="41" t="str">
        <f t="shared" si="3"/>
        <v/>
      </c>
      <c r="E65" s="41" t="str">
        <f t="shared" si="4"/>
        <v/>
      </c>
      <c r="F65" s="16">
        <v>2267.15</v>
      </c>
      <c r="G65" s="16">
        <v>301.60000000000002</v>
      </c>
      <c r="H65" s="16">
        <v>31.97</v>
      </c>
      <c r="I65" s="16">
        <v>1488.97</v>
      </c>
      <c r="J65" s="14">
        <v>792.65</v>
      </c>
      <c r="K65" s="14">
        <v>1203.73</v>
      </c>
      <c r="L65" s="32"/>
      <c r="M65" s="32"/>
      <c r="N65" s="34">
        <f>$I59/$I65</f>
        <v>1.4196860917278387</v>
      </c>
      <c r="O65" s="32"/>
      <c r="P65" s="32"/>
      <c r="Q65" s="32"/>
      <c r="R65" s="32"/>
      <c r="S65" s="34">
        <f>$I54/$I65</f>
        <v>1.3532979173522637</v>
      </c>
      <c r="T65" s="32"/>
    </row>
    <row r="66" spans="1:20" ht="18" customHeight="1">
      <c r="A66" s="9">
        <v>44075</v>
      </c>
      <c r="B66" s="12">
        <v>0.94691700000000001</v>
      </c>
      <c r="C66" s="30" t="str">
        <f t="shared" si="2"/>
        <v>Risk</v>
      </c>
      <c r="D66" s="41" t="str">
        <f t="shared" si="3"/>
        <v/>
      </c>
      <c r="E66" s="41" t="str">
        <f t="shared" si="4"/>
        <v/>
      </c>
      <c r="F66" s="16">
        <v>2327.89</v>
      </c>
      <c r="G66" s="16">
        <v>309.44</v>
      </c>
      <c r="H66" s="16">
        <v>24.15</v>
      </c>
      <c r="I66" s="16">
        <v>1529.18</v>
      </c>
      <c r="J66" s="14">
        <v>848.15</v>
      </c>
      <c r="K66" s="14">
        <v>1310.49</v>
      </c>
      <c r="L66" s="32"/>
      <c r="M66" s="34">
        <f>$I61/$I66</f>
        <v>1.3403981218692371</v>
      </c>
      <c r="N66" s="32"/>
      <c r="O66" s="32"/>
      <c r="P66" s="32"/>
      <c r="Q66" s="32"/>
      <c r="R66" s="34">
        <f>$I56/$I66</f>
        <v>1.3917720608430661</v>
      </c>
      <c r="S66" s="32"/>
      <c r="T66" s="32"/>
    </row>
    <row r="67" spans="1:20" ht="18" customHeight="1">
      <c r="A67" s="9">
        <v>44044</v>
      </c>
      <c r="B67" s="12">
        <v>0.96567000000000003</v>
      </c>
      <c r="C67" s="30" t="str">
        <f t="shared" si="2"/>
        <v/>
      </c>
      <c r="D67" s="41" t="str">
        <f t="shared" si="3"/>
        <v/>
      </c>
      <c r="E67" s="41" t="str">
        <f t="shared" si="4"/>
        <v/>
      </c>
      <c r="F67" s="16">
        <v>2326.17</v>
      </c>
      <c r="G67" s="16">
        <v>307.14</v>
      </c>
      <c r="H67" s="16">
        <v>27.77</v>
      </c>
      <c r="I67" s="16">
        <v>1510.89</v>
      </c>
      <c r="J67" s="14">
        <v>848.24</v>
      </c>
      <c r="K67" s="14">
        <v>1336.94</v>
      </c>
      <c r="L67" s="32"/>
      <c r="N67" s="32"/>
      <c r="O67" s="32"/>
      <c r="P67" s="32"/>
      <c r="Q67" s="32"/>
      <c r="S67" s="32"/>
      <c r="T67" s="32"/>
    </row>
    <row r="68" spans="1:20" ht="18" customHeight="1">
      <c r="A68" s="9">
        <v>44013</v>
      </c>
      <c r="B68" s="12">
        <v>0.93300700000000003</v>
      </c>
      <c r="C68" s="30" t="str">
        <f t="shared" ref="C68:C131" si="10">IF(B68&lt;=C$1, "Risk", "")</f>
        <v>Risk</v>
      </c>
      <c r="D68" s="41" t="str">
        <f t="shared" si="3"/>
        <v/>
      </c>
      <c r="E68" s="41" t="str">
        <f t="shared" si="4"/>
        <v/>
      </c>
      <c r="F68" s="16">
        <v>2249.37</v>
      </c>
      <c r="G68" s="16">
        <v>299.32</v>
      </c>
      <c r="H68" s="16">
        <v>23.57</v>
      </c>
      <c r="I68" s="16">
        <v>1474.68</v>
      </c>
      <c r="J68" s="13">
        <v>815.3</v>
      </c>
      <c r="K68" s="14">
        <v>1277.58</v>
      </c>
      <c r="L68" s="34">
        <f>$I64/$I68</f>
        <v>1.1617435647055632</v>
      </c>
      <c r="M68" s="32"/>
      <c r="N68" s="32"/>
      <c r="O68" s="32"/>
      <c r="P68" s="32"/>
      <c r="Q68" s="32"/>
      <c r="R68" s="32"/>
      <c r="S68" s="32"/>
      <c r="T68" s="32"/>
    </row>
    <row r="69" spans="1:20" ht="18" customHeight="1">
      <c r="A69" s="9">
        <v>43983</v>
      </c>
      <c r="B69" s="12">
        <v>0.86749100000000001</v>
      </c>
      <c r="C69" s="30" t="str">
        <f t="shared" si="10"/>
        <v>Risk</v>
      </c>
      <c r="D69" s="41" t="str">
        <f t="shared" ref="D69:D132" si="11">IF(B69&lt;=D$1, "Risk", "")</f>
        <v>Risk</v>
      </c>
      <c r="E69" s="41" t="str">
        <f t="shared" ref="E69:E132" si="12">IF(B69&lt;=E$1, "Risk", "")</f>
        <v/>
      </c>
      <c r="F69" s="16">
        <v>2108.33</v>
      </c>
      <c r="G69" s="16">
        <v>280.08999999999997</v>
      </c>
      <c r="H69" s="16">
        <v>31.07</v>
      </c>
      <c r="I69" s="16">
        <v>1383.3</v>
      </c>
      <c r="J69" s="14">
        <v>737.97</v>
      </c>
      <c r="K69" s="14">
        <v>1167.1400000000001</v>
      </c>
      <c r="L69" s="32"/>
      <c r="M69" s="32"/>
      <c r="N69" s="32"/>
      <c r="O69" s="32"/>
      <c r="P69" s="32"/>
      <c r="Q69" s="35">
        <f>1+(($I60/$I69)-1)*2</f>
        <v>2.002327766934143</v>
      </c>
      <c r="R69" s="32"/>
      <c r="S69" s="32"/>
      <c r="T69" s="32"/>
    </row>
    <row r="70" spans="1:20" ht="18" customHeight="1">
      <c r="A70" s="9">
        <v>43952</v>
      </c>
      <c r="B70" s="12">
        <v>0.83083600000000002</v>
      </c>
      <c r="C70" s="30" t="str">
        <f t="shared" si="10"/>
        <v>Risk</v>
      </c>
      <c r="D70" s="41" t="str">
        <f t="shared" si="11"/>
        <v>Risk</v>
      </c>
      <c r="E70" s="41" t="str">
        <f t="shared" si="12"/>
        <v>Risk</v>
      </c>
      <c r="F70" s="16">
        <v>2029.6</v>
      </c>
      <c r="G70" s="16">
        <v>268.32</v>
      </c>
      <c r="H70" s="16">
        <v>25.64</v>
      </c>
      <c r="I70" s="16">
        <v>1311.92</v>
      </c>
      <c r="J70" s="14">
        <v>713.68</v>
      </c>
      <c r="K70" s="14">
        <v>1093.3800000000001</v>
      </c>
      <c r="L70" s="32"/>
      <c r="M70" s="32"/>
      <c r="N70" s="32"/>
      <c r="O70" s="32"/>
      <c r="P70" s="73">
        <f>1+(($I62/$I70)-1)*3</f>
        <v>2.6242377583999024</v>
      </c>
      <c r="Q70" s="32"/>
      <c r="R70" s="32"/>
      <c r="S70" s="32"/>
      <c r="T70" s="32"/>
    </row>
    <row r="71" spans="1:20" ht="18" customHeight="1">
      <c r="A71" s="9">
        <v>43922</v>
      </c>
      <c r="B71" s="12">
        <v>0.79072900000000002</v>
      </c>
      <c r="C71" s="30" t="str">
        <f t="shared" si="10"/>
        <v>Risk</v>
      </c>
      <c r="D71" s="41" t="str">
        <f t="shared" si="11"/>
        <v>Risk</v>
      </c>
      <c r="E71" s="41" t="str">
        <f t="shared" si="12"/>
        <v>Risk</v>
      </c>
      <c r="F71" s="16">
        <v>1947.56</v>
      </c>
      <c r="G71" s="16">
        <v>258.14999999999998</v>
      </c>
      <c r="H71" s="16">
        <v>30.51</v>
      </c>
      <c r="I71" s="16">
        <v>1268.19</v>
      </c>
      <c r="J71" s="14">
        <v>645.17999999999995</v>
      </c>
      <c r="K71" s="13">
        <v>992.7</v>
      </c>
      <c r="L71" s="32"/>
      <c r="M71" s="32"/>
      <c r="N71" s="32"/>
      <c r="O71" s="73">
        <f>1+(($I64/$I71)-1)*3</f>
        <v>2.0527050363115937</v>
      </c>
      <c r="P71" s="32"/>
      <c r="Q71" s="32"/>
      <c r="R71" s="32"/>
      <c r="S71" s="32"/>
      <c r="T71" s="32"/>
    </row>
    <row r="72" spans="1:20" ht="18" customHeight="1">
      <c r="A72" s="9">
        <v>43891</v>
      </c>
      <c r="B72" s="11">
        <v>0.71247499999999997</v>
      </c>
      <c r="C72" s="30" t="str">
        <f t="shared" si="10"/>
        <v>Risk</v>
      </c>
      <c r="D72" s="41" t="str">
        <f t="shared" si="11"/>
        <v>Risk</v>
      </c>
      <c r="E72" s="41" t="str">
        <f t="shared" si="12"/>
        <v>Risk</v>
      </c>
      <c r="F72" s="16">
        <v>1754.64</v>
      </c>
      <c r="G72" s="16">
        <v>236.82</v>
      </c>
      <c r="H72" s="16">
        <v>48.55</v>
      </c>
      <c r="I72" s="16">
        <v>1159.5999999999999</v>
      </c>
      <c r="J72" s="14">
        <v>569.07000000000005</v>
      </c>
      <c r="K72" s="13">
        <v>916.5</v>
      </c>
      <c r="L72" s="32"/>
      <c r="M72" s="32"/>
      <c r="N72" s="73">
        <f>1+(($I66/$I72)-1)*3</f>
        <v>1.9561400482925149</v>
      </c>
      <c r="O72" s="32"/>
      <c r="P72" s="32"/>
      <c r="Q72" s="32"/>
      <c r="R72" s="32"/>
      <c r="S72" s="32"/>
      <c r="T72" s="32"/>
    </row>
    <row r="73" spans="1:20" ht="18" customHeight="1">
      <c r="A73" s="9">
        <v>43862</v>
      </c>
      <c r="B73" s="3">
        <v>0.806952</v>
      </c>
      <c r="C73" s="30" t="str">
        <f t="shared" si="10"/>
        <v>Risk</v>
      </c>
      <c r="D73" s="41" t="str">
        <f t="shared" si="11"/>
        <v>Risk</v>
      </c>
      <c r="E73" s="41" t="str">
        <f t="shared" si="12"/>
        <v>Risk</v>
      </c>
      <c r="F73" s="16">
        <v>1987.01</v>
      </c>
      <c r="G73" s="16">
        <v>268.02</v>
      </c>
      <c r="H73" s="16">
        <v>33.81</v>
      </c>
      <c r="I73" s="16">
        <v>1312.77</v>
      </c>
      <c r="J73" s="14">
        <v>610.73</v>
      </c>
      <c r="K73" s="14">
        <v>927.48</v>
      </c>
      <c r="L73" s="73">
        <f>1+(($I69/$I73)-1)*3</f>
        <v>1.1611782718983523</v>
      </c>
      <c r="M73" s="73">
        <f>1+(($I68/$I73)-1)*3</f>
        <v>1.3700038849151035</v>
      </c>
      <c r="N73" s="32"/>
      <c r="O73" s="32"/>
      <c r="P73" s="32"/>
      <c r="Q73" s="32"/>
      <c r="R73" s="32"/>
      <c r="S73" s="32"/>
      <c r="T73" s="32"/>
    </row>
    <row r="74" spans="1:20" ht="18" customHeight="1">
      <c r="A74" s="9">
        <v>43831</v>
      </c>
      <c r="B74" s="11">
        <v>0.85994499999999996</v>
      </c>
      <c r="C74" s="30" t="str">
        <f t="shared" si="10"/>
        <v>Risk</v>
      </c>
      <c r="D74" s="41" t="str">
        <f t="shared" si="11"/>
        <v>Risk</v>
      </c>
      <c r="E74" s="41" t="str">
        <f t="shared" si="12"/>
        <v/>
      </c>
      <c r="F74" s="16">
        <v>2119.0100000000002</v>
      </c>
      <c r="G74" s="16">
        <v>284.52999999999997</v>
      </c>
      <c r="H74" s="16">
        <v>19.29</v>
      </c>
      <c r="I74" s="16">
        <v>1397.56</v>
      </c>
      <c r="J74" s="14">
        <v>642.48</v>
      </c>
      <c r="K74" s="14">
        <v>958.52</v>
      </c>
      <c r="L74" s="35">
        <f>1+(($I73/$I74)-1)*2</f>
        <v>0.87865995019891807</v>
      </c>
      <c r="M74" s="32"/>
      <c r="N74" s="32"/>
      <c r="O74" s="32"/>
      <c r="P74" s="32"/>
      <c r="Q74" s="32"/>
      <c r="R74" s="32"/>
      <c r="S74" s="32"/>
      <c r="T74" s="32"/>
    </row>
    <row r="75" spans="1:20" ht="18" customHeight="1">
      <c r="A75" s="9">
        <v>43800</v>
      </c>
      <c r="B75" s="11">
        <v>0.89135299999999995</v>
      </c>
      <c r="C75" s="30" t="str">
        <f t="shared" si="10"/>
        <v>Risk</v>
      </c>
      <c r="D75" s="41" t="str">
        <f t="shared" si="11"/>
        <v>Risk</v>
      </c>
      <c r="E75" s="41" t="str">
        <f t="shared" si="12"/>
        <v/>
      </c>
      <c r="F75" s="16">
        <v>2197.67</v>
      </c>
      <c r="G75" s="16">
        <v>293.77</v>
      </c>
      <c r="H75" s="16">
        <v>14.69</v>
      </c>
      <c r="I75" s="16">
        <v>1446.82</v>
      </c>
      <c r="J75" s="14">
        <v>669.83</v>
      </c>
      <c r="K75" s="14">
        <v>1029.57</v>
      </c>
      <c r="L75" s="32"/>
      <c r="M75" s="32"/>
      <c r="N75" s="32"/>
      <c r="O75" s="32"/>
      <c r="P75" s="32"/>
      <c r="Q75" s="32"/>
      <c r="R75" s="32"/>
      <c r="S75" s="32"/>
      <c r="T75" s="32"/>
    </row>
    <row r="76" spans="1:20" ht="18" customHeight="1">
      <c r="A76" s="9">
        <v>43770</v>
      </c>
      <c r="B76" s="11">
        <v>0.86090999999999995</v>
      </c>
      <c r="C76" s="30" t="str">
        <f t="shared" si="10"/>
        <v>Risk</v>
      </c>
      <c r="D76" s="41" t="str">
        <f t="shared" si="11"/>
        <v>Risk</v>
      </c>
      <c r="E76" s="41" t="str">
        <f t="shared" si="12"/>
        <v/>
      </c>
      <c r="F76" s="16">
        <v>2087.96</v>
      </c>
      <c r="G76" s="16">
        <v>276.77999999999997</v>
      </c>
      <c r="H76" s="16">
        <v>13.96</v>
      </c>
      <c r="I76" s="16">
        <v>1347.44</v>
      </c>
      <c r="J76" s="14">
        <v>632.99</v>
      </c>
      <c r="K76" s="37">
        <v>946.89</v>
      </c>
      <c r="L76" s="32"/>
      <c r="M76" s="32"/>
      <c r="N76" s="32"/>
      <c r="O76" s="32"/>
      <c r="P76" s="32"/>
      <c r="Q76" s="32"/>
      <c r="R76" s="32"/>
      <c r="S76" s="32"/>
      <c r="T76" s="35">
        <f>1+(($I64/$I76)-1)*2</f>
        <v>1.5428961586415721</v>
      </c>
    </row>
    <row r="77" spans="1:20" ht="18" customHeight="1">
      <c r="A77" s="9">
        <v>43739</v>
      </c>
      <c r="B77" s="11">
        <v>0.85831400000000002</v>
      </c>
      <c r="C77" s="30" t="str">
        <f t="shared" si="10"/>
        <v>Risk</v>
      </c>
      <c r="D77" s="41" t="str">
        <f t="shared" si="11"/>
        <v>Risk</v>
      </c>
      <c r="E77" s="41" t="str">
        <f t="shared" si="12"/>
        <v/>
      </c>
      <c r="F77" s="16">
        <v>2083.48</v>
      </c>
      <c r="G77" s="16">
        <v>275.82</v>
      </c>
      <c r="H77" s="16">
        <v>13.59</v>
      </c>
      <c r="I77" s="16">
        <v>1342.34</v>
      </c>
      <c r="J77" s="14">
        <v>658.52</v>
      </c>
      <c r="K77" s="14">
        <v>1016.62</v>
      </c>
      <c r="L77" s="32"/>
      <c r="M77" s="32"/>
      <c r="N77" s="32"/>
      <c r="O77" s="32"/>
      <c r="P77" s="32"/>
      <c r="Q77" s="32"/>
      <c r="R77" s="32"/>
      <c r="S77" s="35">
        <f>1+(($I66/$I77)-1)*2</f>
        <v>1.2783795461656511</v>
      </c>
      <c r="T77" s="32"/>
    </row>
    <row r="78" spans="1:20" ht="18" customHeight="1">
      <c r="A78" s="9">
        <v>43709</v>
      </c>
      <c r="B78" s="11">
        <v>0.84934799999999999</v>
      </c>
      <c r="C78" s="30" t="str">
        <f t="shared" si="10"/>
        <v>Risk</v>
      </c>
      <c r="D78" s="41" t="str">
        <f t="shared" si="11"/>
        <v>Risk</v>
      </c>
      <c r="E78" s="41" t="str">
        <f t="shared" si="12"/>
        <v>Risk</v>
      </c>
      <c r="F78" s="16">
        <v>2063.0500000000002</v>
      </c>
      <c r="G78" s="16">
        <v>273.55</v>
      </c>
      <c r="H78" s="16">
        <v>15.15</v>
      </c>
      <c r="I78" s="16">
        <v>1330.93</v>
      </c>
      <c r="J78" s="14">
        <v>621.76</v>
      </c>
      <c r="K78" s="14">
        <v>894.36</v>
      </c>
      <c r="L78" s="32"/>
      <c r="M78" s="32"/>
      <c r="N78" s="32"/>
      <c r="O78" s="32"/>
      <c r="P78" s="32"/>
      <c r="Q78" s="32"/>
      <c r="R78" s="73">
        <f>1+(($I68/$I78)-1)*3</f>
        <v>1.3240215488417872</v>
      </c>
      <c r="S78" s="32"/>
      <c r="T78" s="32"/>
    </row>
    <row r="79" spans="1:20" ht="18" customHeight="1">
      <c r="A79" s="9">
        <v>43678</v>
      </c>
      <c r="B79" s="11">
        <v>0.826874</v>
      </c>
      <c r="C79" s="30" t="str">
        <f t="shared" si="10"/>
        <v>Risk</v>
      </c>
      <c r="D79" s="41" t="str">
        <f t="shared" si="11"/>
        <v>Risk</v>
      </c>
      <c r="E79" s="41" t="str">
        <f t="shared" si="12"/>
        <v>Risk</v>
      </c>
      <c r="F79" s="16">
        <v>1967.79</v>
      </c>
      <c r="G79" s="16">
        <v>259</v>
      </c>
      <c r="H79" s="16">
        <v>15.75</v>
      </c>
      <c r="I79" s="16">
        <v>1258.81</v>
      </c>
      <c r="J79" s="14">
        <v>610.54999999999995</v>
      </c>
      <c r="K79" s="14">
        <v>891.39</v>
      </c>
      <c r="L79" s="73">
        <f>1+(($I75/$I79)-1)*3</f>
        <v>1.4480660306162167</v>
      </c>
      <c r="M79" s="73">
        <f>1+(($I74/$I79)-1)*3</f>
        <v>1.3306694417743743</v>
      </c>
      <c r="N79" s="73">
        <f>1+(($I73/$I79)-1)*3</f>
        <v>1.1285976438064522</v>
      </c>
      <c r="O79" s="73">
        <f>1+(($I72/$I79)-1)*3</f>
        <v>0.76356241211938236</v>
      </c>
      <c r="P79" s="73">
        <f>1+(($I71/$I79)-1)*3</f>
        <v>1.0223544458655403</v>
      </c>
      <c r="Q79" s="73">
        <f>1+(($I70/$I79)-1)*3</f>
        <v>1.1265719211000869</v>
      </c>
      <c r="R79" s="32"/>
      <c r="S79" s="32"/>
      <c r="T79" s="32"/>
    </row>
    <row r="80" spans="1:20" ht="18" customHeight="1">
      <c r="A80" s="9">
        <v>43647</v>
      </c>
      <c r="B80" s="3">
        <v>0.85062599999999999</v>
      </c>
      <c r="C80" s="30" t="str">
        <f t="shared" si="10"/>
        <v>Risk</v>
      </c>
      <c r="D80" s="41" t="str">
        <f t="shared" si="11"/>
        <v>Risk</v>
      </c>
      <c r="E80" s="41" t="str">
        <f t="shared" si="12"/>
        <v/>
      </c>
      <c r="F80" s="16">
        <v>2024.55</v>
      </c>
      <c r="G80" s="16">
        <v>266.33999999999997</v>
      </c>
      <c r="H80" s="16">
        <v>15.29</v>
      </c>
      <c r="I80" s="16">
        <v>1296.21</v>
      </c>
      <c r="J80" s="14">
        <v>630.17999999999995</v>
      </c>
      <c r="K80" s="14">
        <v>939.73</v>
      </c>
      <c r="L80" s="32"/>
      <c r="M80" s="32"/>
      <c r="N80" s="32"/>
      <c r="O80" s="32"/>
      <c r="P80" s="35">
        <f>1+(($I79/$I80)-1)*2</f>
        <v>0.94229330123976807</v>
      </c>
      <c r="Q80" s="32"/>
      <c r="R80" s="32"/>
      <c r="S80" s="32"/>
      <c r="T80" s="32"/>
    </row>
    <row r="81" spans="1:20" ht="18" customHeight="1">
      <c r="A81" s="9">
        <v>43617</v>
      </c>
      <c r="B81" s="3">
        <v>0.89509099999999997</v>
      </c>
      <c r="C81" s="30" t="str">
        <f t="shared" si="10"/>
        <v>Risk</v>
      </c>
      <c r="D81" s="41" t="str">
        <f t="shared" si="11"/>
        <v>Risk</v>
      </c>
      <c r="E81" s="41" t="str">
        <f t="shared" si="12"/>
        <v/>
      </c>
      <c r="F81" s="16">
        <v>2130.62</v>
      </c>
      <c r="G81" s="16">
        <v>277.5</v>
      </c>
      <c r="H81" s="16">
        <v>14.43</v>
      </c>
      <c r="I81" s="16">
        <v>1352.31</v>
      </c>
      <c r="J81" s="14">
        <v>690.53</v>
      </c>
      <c r="K81" s="14">
        <v>1012.74</v>
      </c>
      <c r="L81" s="32"/>
      <c r="M81" s="32"/>
      <c r="N81" s="32"/>
      <c r="O81" s="35">
        <f>1+(($I79/$I81)-1)*2</f>
        <v>0.86171809718185921</v>
      </c>
      <c r="P81" s="32"/>
      <c r="Q81" s="32"/>
      <c r="R81" s="32"/>
      <c r="S81" s="32"/>
      <c r="T81" s="32"/>
    </row>
    <row r="82" spans="1:20" ht="18" customHeight="1">
      <c r="A82" s="9">
        <v>43586</v>
      </c>
      <c r="B82" s="3">
        <v>0.87327999999999995</v>
      </c>
      <c r="C82" s="30" t="str">
        <f t="shared" si="10"/>
        <v>Risk</v>
      </c>
      <c r="D82" s="41" t="str">
        <f t="shared" si="11"/>
        <v>Risk</v>
      </c>
      <c r="E82" s="41" t="str">
        <f t="shared" si="12"/>
        <v/>
      </c>
      <c r="F82" s="16">
        <v>2041.74</v>
      </c>
      <c r="G82" s="16">
        <v>263.89</v>
      </c>
      <c r="H82" s="16">
        <v>17.32</v>
      </c>
      <c r="I82" s="16">
        <v>1280.67</v>
      </c>
      <c r="J82" s="14">
        <v>696.47</v>
      </c>
      <c r="K82" s="14">
        <v>1075.28</v>
      </c>
      <c r="L82" s="35">
        <f>1+(($I79/$I82)-1)*2</f>
        <v>0.96586161930864289</v>
      </c>
      <c r="M82" s="35">
        <f>1+(($I79/$I82)-1)*2</f>
        <v>0.96586161930864289</v>
      </c>
      <c r="N82" s="35">
        <f>1+(($I79/$I82)-1)*2</f>
        <v>0.96586161930864289</v>
      </c>
      <c r="O82" s="32"/>
      <c r="P82" s="32"/>
      <c r="Q82" s="32"/>
      <c r="R82" s="32"/>
      <c r="S82" s="32"/>
      <c r="T82" s="32"/>
    </row>
    <row r="83" spans="1:20" ht="18" customHeight="1">
      <c r="A83" s="9">
        <v>43556</v>
      </c>
      <c r="B83" s="3">
        <v>0.947048</v>
      </c>
      <c r="C83" s="30" t="str">
        <f t="shared" si="10"/>
        <v>Risk</v>
      </c>
      <c r="D83" s="41" t="str">
        <f t="shared" si="11"/>
        <v/>
      </c>
      <c r="E83" s="41" t="str">
        <f t="shared" si="12"/>
        <v/>
      </c>
      <c r="F83" s="16">
        <v>2203.59</v>
      </c>
      <c r="G83" s="16">
        <v>284.92</v>
      </c>
      <c r="H83" s="16">
        <v>13.28</v>
      </c>
      <c r="I83" s="16">
        <v>1387.11</v>
      </c>
      <c r="J83" s="14">
        <v>754.74</v>
      </c>
      <c r="K83" s="14">
        <v>1207.56</v>
      </c>
      <c r="L83" s="32"/>
      <c r="M83" s="34">
        <f>$I82/$I83</f>
        <v>0.92326491770659869</v>
      </c>
      <c r="N83" s="32"/>
      <c r="O83" s="32"/>
      <c r="P83" s="32"/>
      <c r="Q83" s="32"/>
      <c r="R83" s="32"/>
      <c r="S83" s="32"/>
      <c r="T83" s="32"/>
    </row>
    <row r="84" spans="1:20" ht="18" customHeight="1">
      <c r="A84" s="9">
        <v>43525</v>
      </c>
      <c r="B84" s="3">
        <v>0.91991199999999995</v>
      </c>
      <c r="C84" s="30" t="str">
        <f t="shared" si="10"/>
        <v>Risk</v>
      </c>
      <c r="D84" s="41" t="str">
        <f t="shared" si="11"/>
        <v/>
      </c>
      <c r="E84" s="41" t="str">
        <f t="shared" si="12"/>
        <v/>
      </c>
      <c r="F84" s="16">
        <v>2140.67</v>
      </c>
      <c r="G84" s="16">
        <v>276.48</v>
      </c>
      <c r="H84" s="16">
        <v>14.29</v>
      </c>
      <c r="I84" s="16">
        <v>1347.26</v>
      </c>
      <c r="J84" s="14">
        <v>729.31</v>
      </c>
      <c r="K84" s="13">
        <v>1193.9000000000001</v>
      </c>
      <c r="L84" s="34">
        <f>$I82/$I84</f>
        <v>0.9505737571070173</v>
      </c>
      <c r="M84" s="32"/>
      <c r="N84" s="32"/>
      <c r="O84" s="32"/>
      <c r="P84" s="32"/>
      <c r="Q84" s="32"/>
      <c r="R84" s="32"/>
      <c r="S84" s="32"/>
      <c r="T84" s="32"/>
    </row>
    <row r="85" spans="1:20" ht="18" customHeight="1">
      <c r="A85" s="9">
        <v>43497</v>
      </c>
      <c r="B85" s="3">
        <v>0.94048799999999999</v>
      </c>
      <c r="C85" s="30" t="str">
        <f t="shared" si="10"/>
        <v>Risk</v>
      </c>
      <c r="D85" s="41" t="str">
        <f t="shared" si="11"/>
        <v/>
      </c>
      <c r="E85" s="41" t="str">
        <f t="shared" si="12"/>
        <v/>
      </c>
      <c r="F85" s="16">
        <v>2195.44</v>
      </c>
      <c r="G85" s="16">
        <v>283.8</v>
      </c>
      <c r="H85" s="16">
        <v>15.49</v>
      </c>
      <c r="I85" s="16">
        <v>1383.39</v>
      </c>
      <c r="J85" s="14">
        <v>731.25</v>
      </c>
      <c r="K85" s="14">
        <v>1235.26</v>
      </c>
      <c r="L85" s="32"/>
      <c r="M85" s="32"/>
      <c r="N85" s="32"/>
      <c r="O85" s="32"/>
      <c r="P85" s="32"/>
      <c r="Q85" s="32"/>
      <c r="R85" s="32"/>
      <c r="S85" s="32"/>
      <c r="T85" s="32"/>
    </row>
    <row r="86" spans="1:20" ht="18" customHeight="1">
      <c r="A86" s="9">
        <v>43466</v>
      </c>
      <c r="B86" s="3">
        <v>0.93744499999999997</v>
      </c>
      <c r="C86" s="30" t="str">
        <f t="shared" si="10"/>
        <v>Risk</v>
      </c>
      <c r="D86" s="41" t="str">
        <f t="shared" si="11"/>
        <v/>
      </c>
      <c r="E86" s="41" t="str">
        <f t="shared" si="12"/>
        <v/>
      </c>
      <c r="F86" s="16">
        <v>2204.85</v>
      </c>
      <c r="G86" s="16">
        <v>285.89</v>
      </c>
      <c r="H86" s="16">
        <v>15.51</v>
      </c>
      <c r="I86" s="16">
        <v>1398.5</v>
      </c>
      <c r="J86" s="14">
        <v>716.86</v>
      </c>
      <c r="K86" s="14">
        <v>1191.47</v>
      </c>
      <c r="L86" s="32"/>
      <c r="M86" s="32"/>
      <c r="N86" s="32"/>
      <c r="O86" s="32"/>
      <c r="P86" s="32"/>
      <c r="Q86" s="32"/>
      <c r="R86" s="32"/>
      <c r="S86" s="32"/>
      <c r="T86" s="32"/>
    </row>
    <row r="87" spans="1:20" ht="18" customHeight="1">
      <c r="A87" s="9">
        <v>43435</v>
      </c>
      <c r="B87" s="3">
        <v>0.867363</v>
      </c>
      <c r="C87" s="30" t="str">
        <f t="shared" si="10"/>
        <v>Risk</v>
      </c>
      <c r="D87" s="41" t="str">
        <f t="shared" si="11"/>
        <v>Risk</v>
      </c>
      <c r="E87" s="41" t="str">
        <f t="shared" si="12"/>
        <v/>
      </c>
      <c r="F87" s="16">
        <v>2041.04</v>
      </c>
      <c r="G87" s="16">
        <v>261.98</v>
      </c>
      <c r="H87" s="16">
        <v>18.989999999999998</v>
      </c>
      <c r="I87" s="16">
        <v>1276.9000000000001</v>
      </c>
      <c r="J87" s="14">
        <v>675.65</v>
      </c>
      <c r="K87" s="14">
        <v>1166.25</v>
      </c>
      <c r="L87" s="32"/>
      <c r="M87" s="32"/>
      <c r="N87" s="32"/>
      <c r="O87" s="32"/>
      <c r="P87" s="32"/>
      <c r="Q87" s="32"/>
      <c r="R87" s="32"/>
      <c r="S87" s="32"/>
      <c r="T87" s="32"/>
    </row>
    <row r="88" spans="1:20" ht="18" customHeight="1">
      <c r="A88" s="9">
        <v>43405</v>
      </c>
      <c r="B88" s="3">
        <v>0.92381400000000002</v>
      </c>
      <c r="C88" s="30" t="str">
        <f t="shared" si="10"/>
        <v>Risk</v>
      </c>
      <c r="D88" s="41" t="str">
        <f t="shared" si="11"/>
        <v/>
      </c>
      <c r="E88" s="41" t="str">
        <f t="shared" si="12"/>
        <v/>
      </c>
      <c r="F88" s="16">
        <v>2096.86</v>
      </c>
      <c r="G88" s="16">
        <v>271.35000000000002</v>
      </c>
      <c r="H88" s="16">
        <v>18.57</v>
      </c>
      <c r="I88" s="16">
        <v>1309.6300000000001</v>
      </c>
      <c r="J88" s="14">
        <v>695.76</v>
      </c>
      <c r="K88" s="14">
        <v>1186.6300000000001</v>
      </c>
      <c r="L88" s="32"/>
      <c r="M88" s="32"/>
      <c r="N88" s="32"/>
      <c r="O88" s="32"/>
      <c r="P88" s="32"/>
      <c r="Q88" s="32"/>
      <c r="R88" s="32"/>
      <c r="S88" s="32"/>
      <c r="T88" s="32"/>
    </row>
    <row r="89" spans="1:20" ht="18" customHeight="1">
      <c r="A89" s="9">
        <v>43374</v>
      </c>
      <c r="B89" s="3">
        <v>0.89380899999999996</v>
      </c>
      <c r="C89" s="30" t="str">
        <f t="shared" si="10"/>
        <v>Risk</v>
      </c>
      <c r="D89" s="41" t="str">
        <f t="shared" si="11"/>
        <v>Risk</v>
      </c>
      <c r="E89" s="41" t="str">
        <f t="shared" si="12"/>
        <v/>
      </c>
      <c r="F89" s="16">
        <v>2029.69</v>
      </c>
      <c r="G89" s="16">
        <v>264.01</v>
      </c>
      <c r="H89" s="16">
        <v>20.49</v>
      </c>
      <c r="I89" s="16">
        <v>1273.47</v>
      </c>
      <c r="J89" s="14">
        <v>648.66999999999996</v>
      </c>
      <c r="K89" s="14">
        <v>1124.49</v>
      </c>
      <c r="L89" s="35">
        <f>1+(($I85/$I89)-1)*2</f>
        <v>1.1726306862352471</v>
      </c>
      <c r="M89" s="35">
        <f>1+(($I84/$I89)-1)*2</f>
        <v>1.1158880853102153</v>
      </c>
      <c r="N89" s="35">
        <f>1+(($I83/$I89)-1)*2</f>
        <v>1.1784729911187539</v>
      </c>
      <c r="O89" s="35">
        <f>1+(($I82/$I89)-1)*2</f>
        <v>1.0113076868713047</v>
      </c>
      <c r="P89" s="35">
        <f>1+(($I81/$I89)-1)*2</f>
        <v>1.123819171240783</v>
      </c>
      <c r="Q89" s="35">
        <f>1+(($I80/$I89)-1)*2</f>
        <v>1.0357134443685365</v>
      </c>
      <c r="R89" s="35">
        <f>1+(($I79/$I89)-1)*2</f>
        <v>0.97697629312037182</v>
      </c>
      <c r="S89" s="35">
        <f>1+(($I78/$I89)-1)*2</f>
        <v>1.0902416232812708</v>
      </c>
      <c r="T89" s="35">
        <f>1+(($I77/$I89)-1)*2</f>
        <v>1.1081611659481574</v>
      </c>
    </row>
    <row r="90" spans="1:20" ht="18" customHeight="1">
      <c r="A90" s="9">
        <v>43344</v>
      </c>
      <c r="B90" s="3">
        <v>1.030465</v>
      </c>
      <c r="C90" s="30" t="str">
        <f t="shared" si="10"/>
        <v/>
      </c>
      <c r="D90" s="41" t="str">
        <f t="shared" si="11"/>
        <v/>
      </c>
      <c r="E90" s="41" t="str">
        <f t="shared" si="12"/>
        <v/>
      </c>
      <c r="F90" s="16">
        <v>2343.0700000000002</v>
      </c>
      <c r="G90" s="16">
        <v>300.51</v>
      </c>
      <c r="H90" s="16">
        <v>11.24</v>
      </c>
      <c r="I90" s="16">
        <v>1454.29</v>
      </c>
      <c r="J90" s="14">
        <v>822.27</v>
      </c>
      <c r="K90" s="14">
        <v>1411.73</v>
      </c>
    </row>
    <row r="91" spans="1:20" ht="18" customHeight="1">
      <c r="A91" s="9">
        <v>43313</v>
      </c>
      <c r="B91" s="3">
        <v>1.0442990000000001</v>
      </c>
      <c r="C91" s="30" t="str">
        <f t="shared" si="10"/>
        <v/>
      </c>
      <c r="D91" s="41" t="str">
        <f t="shared" si="11"/>
        <v/>
      </c>
      <c r="E91" s="41" t="str">
        <f t="shared" si="12"/>
        <v/>
      </c>
      <c r="F91" s="16">
        <v>2322.88</v>
      </c>
      <c r="G91" s="16">
        <v>300.07</v>
      </c>
      <c r="H91" s="16">
        <v>11.64</v>
      </c>
      <c r="I91" s="16">
        <v>1445.99</v>
      </c>
      <c r="J91" s="14">
        <v>816.97</v>
      </c>
      <c r="K91" s="14">
        <v>1376.46</v>
      </c>
    </row>
    <row r="92" spans="1:20" ht="18" customHeight="1">
      <c r="A92" s="9">
        <v>43282</v>
      </c>
      <c r="B92" s="3">
        <v>1.0321480000000001</v>
      </c>
      <c r="C92" s="30" t="str">
        <f t="shared" si="10"/>
        <v/>
      </c>
      <c r="D92" s="41" t="str">
        <f t="shared" si="11"/>
        <v/>
      </c>
      <c r="E92" s="41" t="str">
        <f t="shared" si="12"/>
        <v/>
      </c>
      <c r="F92" s="16">
        <v>2295.2600000000002</v>
      </c>
      <c r="G92" s="16">
        <v>297.45</v>
      </c>
      <c r="H92" s="16">
        <v>13.05</v>
      </c>
      <c r="I92" s="16">
        <v>1438.27</v>
      </c>
      <c r="J92" s="14">
        <v>775.52</v>
      </c>
      <c r="K92" s="14">
        <v>1265.58</v>
      </c>
    </row>
    <row r="93" spans="1:20" ht="18" customHeight="1">
      <c r="A93" s="9">
        <v>43252</v>
      </c>
      <c r="B93" s="3">
        <v>1.0479160000000001</v>
      </c>
      <c r="C93" s="30" t="str">
        <f t="shared" si="10"/>
        <v/>
      </c>
      <c r="D93" s="41" t="str">
        <f t="shared" si="11"/>
        <v/>
      </c>
      <c r="E93" s="41" t="str">
        <f t="shared" si="12"/>
        <v/>
      </c>
      <c r="F93" s="16">
        <v>2326.13</v>
      </c>
      <c r="G93" s="16">
        <v>299.66000000000003</v>
      </c>
      <c r="H93" s="16">
        <v>16.04</v>
      </c>
      <c r="I93" s="16">
        <v>1448.16</v>
      </c>
      <c r="J93" s="14">
        <v>818.22</v>
      </c>
      <c r="K93" s="14">
        <v>1391.83</v>
      </c>
    </row>
    <row r="94" spans="1:20" ht="18" customHeight="1">
      <c r="A94" s="9">
        <v>43221</v>
      </c>
      <c r="B94" s="3">
        <v>1.1065240000000001</v>
      </c>
      <c r="C94" s="30" t="str">
        <f t="shared" si="10"/>
        <v/>
      </c>
      <c r="D94" s="41" t="str">
        <f t="shared" si="11"/>
        <v/>
      </c>
      <c r="E94" s="41" t="str">
        <f t="shared" si="12"/>
        <v/>
      </c>
      <c r="F94" s="16">
        <v>2423.0100000000002</v>
      </c>
      <c r="G94" s="16">
        <v>310.92</v>
      </c>
      <c r="H94" s="16">
        <v>14.55</v>
      </c>
      <c r="I94" s="16">
        <v>1498.26</v>
      </c>
      <c r="J94" s="14">
        <v>879.66</v>
      </c>
      <c r="K94" s="13">
        <v>1491.9</v>
      </c>
    </row>
    <row r="95" spans="1:20" ht="18" customHeight="1">
      <c r="A95" s="9">
        <v>43191</v>
      </c>
      <c r="B95" s="3">
        <v>1.1569799999999999</v>
      </c>
      <c r="C95" s="30" t="str">
        <f t="shared" si="10"/>
        <v/>
      </c>
      <c r="D95" s="41" t="str">
        <f t="shared" si="11"/>
        <v/>
      </c>
      <c r="E95" s="41" t="str">
        <f t="shared" si="12"/>
        <v/>
      </c>
      <c r="F95" s="16">
        <v>2515.38</v>
      </c>
      <c r="G95" s="16">
        <v>323.56</v>
      </c>
      <c r="H95" s="16">
        <v>13.59</v>
      </c>
      <c r="I95" s="16">
        <v>1558.62</v>
      </c>
      <c r="J95" s="14">
        <v>875.95</v>
      </c>
      <c r="K95" s="14">
        <v>1495.09</v>
      </c>
    </row>
    <row r="96" spans="1:20" ht="18" customHeight="1">
      <c r="A96" s="9">
        <v>43160</v>
      </c>
      <c r="B96" s="3">
        <v>1.1228480000000001</v>
      </c>
      <c r="C96" s="30" t="str">
        <f t="shared" si="10"/>
        <v/>
      </c>
      <c r="D96" s="41" t="str">
        <f t="shared" si="11"/>
        <v/>
      </c>
      <c r="E96" s="41" t="str">
        <f t="shared" si="12"/>
        <v/>
      </c>
      <c r="F96" s="16">
        <v>2445.85</v>
      </c>
      <c r="G96" s="16">
        <v>314.61</v>
      </c>
      <c r="H96" s="16">
        <v>17.54</v>
      </c>
      <c r="I96" s="16">
        <v>1524.33</v>
      </c>
      <c r="J96" s="14">
        <v>871.09</v>
      </c>
      <c r="K96" s="14">
        <v>1551.48</v>
      </c>
    </row>
    <row r="97" spans="1:11" ht="18" customHeight="1">
      <c r="A97" s="9">
        <v>43132</v>
      </c>
      <c r="B97" s="3">
        <v>1.113524</v>
      </c>
      <c r="C97" s="30" t="str">
        <f t="shared" si="10"/>
        <v/>
      </c>
      <c r="D97" s="41" t="str">
        <f t="shared" si="11"/>
        <v/>
      </c>
      <c r="E97" s="41" t="str">
        <f t="shared" si="12"/>
        <v/>
      </c>
      <c r="F97" s="16">
        <v>2427.36</v>
      </c>
      <c r="G97" s="16">
        <v>312.86</v>
      </c>
      <c r="H97" s="16">
        <v>15.55</v>
      </c>
      <c r="I97" s="16">
        <v>1515.9</v>
      </c>
      <c r="J97" s="14">
        <v>857.06</v>
      </c>
      <c r="K97" s="13">
        <v>1535.3</v>
      </c>
    </row>
    <row r="98" spans="1:11" ht="18" customHeight="1">
      <c r="A98" s="9">
        <v>43101</v>
      </c>
      <c r="B98" s="3">
        <v>1.152892</v>
      </c>
      <c r="C98" s="30" t="str">
        <f t="shared" si="10"/>
        <v/>
      </c>
      <c r="D98" s="41" t="str">
        <f t="shared" si="11"/>
        <v/>
      </c>
      <c r="E98" s="41" t="str">
        <f t="shared" si="12"/>
        <v/>
      </c>
      <c r="F98" s="16">
        <v>2566.46</v>
      </c>
      <c r="G98" s="16">
        <v>333.38</v>
      </c>
      <c r="H98" s="16">
        <v>14.54</v>
      </c>
      <c r="I98" s="16">
        <v>1622.47</v>
      </c>
      <c r="J98" s="14">
        <v>913.57</v>
      </c>
      <c r="K98" s="14">
        <v>1664.36</v>
      </c>
    </row>
    <row r="99" spans="1:11" ht="18" customHeight="1">
      <c r="A99" s="9">
        <v>43070</v>
      </c>
      <c r="B99" s="3">
        <v>1.1098110000000001</v>
      </c>
      <c r="C99" s="30" t="str">
        <f t="shared" si="10"/>
        <v/>
      </c>
      <c r="D99" s="41" t="str">
        <f t="shared" si="11"/>
        <v/>
      </c>
      <c r="E99" s="41" t="str">
        <f t="shared" si="12"/>
        <v/>
      </c>
      <c r="F99" s="16">
        <v>2467.4899999999998</v>
      </c>
      <c r="G99" s="16">
        <v>324.74</v>
      </c>
      <c r="H99" s="16">
        <v>12.06</v>
      </c>
      <c r="I99" s="16">
        <v>1579.84</v>
      </c>
      <c r="J99" s="14">
        <v>798.42</v>
      </c>
      <c r="K99" s="13">
        <v>1413.8</v>
      </c>
    </row>
    <row r="100" spans="1:11" ht="18" customHeight="1">
      <c r="A100" s="9">
        <v>43040</v>
      </c>
      <c r="B100" s="3">
        <v>1.1375059999999999</v>
      </c>
      <c r="C100" s="30" t="str">
        <f t="shared" si="10"/>
        <v/>
      </c>
      <c r="D100" s="41" t="str">
        <f t="shared" si="11"/>
        <v/>
      </c>
      <c r="E100" s="41" t="str">
        <f t="shared" si="12"/>
        <v/>
      </c>
      <c r="F100" s="16">
        <v>2476.37</v>
      </c>
      <c r="G100" s="16">
        <v>325.25</v>
      </c>
      <c r="H100" s="16">
        <v>13.2</v>
      </c>
      <c r="I100" s="16">
        <v>1565.29</v>
      </c>
      <c r="J100" s="14">
        <v>771.42</v>
      </c>
      <c r="K100" s="14">
        <v>1348.84</v>
      </c>
    </row>
    <row r="101" spans="1:11" ht="18" customHeight="1">
      <c r="A101" s="9">
        <v>43009</v>
      </c>
      <c r="B101" s="3">
        <v>1.1598539999999999</v>
      </c>
      <c r="C101" s="30" t="str">
        <f t="shared" si="10"/>
        <v/>
      </c>
      <c r="D101" s="41" t="str">
        <f t="shared" si="11"/>
        <v/>
      </c>
      <c r="E101" s="41" t="str">
        <f t="shared" si="12"/>
        <v/>
      </c>
      <c r="F101" s="16">
        <v>2523.4299999999998</v>
      </c>
      <c r="G101" s="16">
        <v>333.57</v>
      </c>
      <c r="H101" s="16">
        <v>12.06</v>
      </c>
      <c r="I101" s="16">
        <v>1607.59</v>
      </c>
      <c r="J101" s="13">
        <v>694.2</v>
      </c>
      <c r="K101" s="14">
        <v>1196.8599999999999</v>
      </c>
    </row>
    <row r="102" spans="1:11" ht="18" customHeight="1">
      <c r="A102" s="9">
        <v>42979</v>
      </c>
      <c r="B102" s="3">
        <v>1.1000099999999999</v>
      </c>
      <c r="C102" s="30" t="str">
        <f t="shared" si="10"/>
        <v/>
      </c>
      <c r="D102" s="41" t="str">
        <f t="shared" si="11"/>
        <v/>
      </c>
      <c r="E102" s="41" t="str">
        <f t="shared" si="12"/>
        <v/>
      </c>
      <c r="F102" s="16">
        <v>2394.4699999999998</v>
      </c>
      <c r="G102" s="16">
        <v>316.27</v>
      </c>
      <c r="H102" s="16">
        <v>13.41</v>
      </c>
      <c r="I102" s="16">
        <v>1527.07</v>
      </c>
      <c r="J102" s="14">
        <v>652.82000000000005</v>
      </c>
      <c r="K102" s="14">
        <v>1074.79</v>
      </c>
    </row>
    <row r="103" spans="1:11" ht="18" customHeight="1">
      <c r="A103" s="9">
        <v>42948</v>
      </c>
      <c r="B103" s="3">
        <v>1.1288959999999999</v>
      </c>
      <c r="C103" s="30" t="str">
        <f t="shared" si="10"/>
        <v/>
      </c>
      <c r="D103" s="41" t="str">
        <f t="shared" si="11"/>
        <v/>
      </c>
      <c r="E103" s="41" t="str">
        <f t="shared" si="12"/>
        <v/>
      </c>
      <c r="F103" s="16">
        <v>2363.19</v>
      </c>
      <c r="G103" s="16">
        <v>308.27999999999997</v>
      </c>
      <c r="H103" s="16">
        <v>13.64</v>
      </c>
      <c r="I103" s="16">
        <v>1485.29</v>
      </c>
      <c r="J103" s="14">
        <v>657.83</v>
      </c>
      <c r="K103" s="14">
        <v>1034.49</v>
      </c>
    </row>
    <row r="104" spans="1:11" ht="18" customHeight="1">
      <c r="A104" s="9">
        <v>42917</v>
      </c>
      <c r="B104" s="3">
        <v>1.1488400000000001</v>
      </c>
      <c r="C104" s="30" t="str">
        <f t="shared" si="10"/>
        <v/>
      </c>
      <c r="D104" s="41" t="str">
        <f t="shared" si="11"/>
        <v/>
      </c>
      <c r="E104" s="41" t="str">
        <f t="shared" si="12"/>
        <v/>
      </c>
      <c r="F104" s="16">
        <v>2402.71</v>
      </c>
      <c r="G104" s="16">
        <v>314.60000000000002</v>
      </c>
      <c r="H104" s="16">
        <v>12.79</v>
      </c>
      <c r="I104" s="16">
        <v>1518.56</v>
      </c>
      <c r="J104" s="14">
        <v>650.47</v>
      </c>
      <c r="K104" s="14">
        <v>1008.63</v>
      </c>
    </row>
    <row r="105" spans="1:11" ht="18" customHeight="1">
      <c r="A105" s="9">
        <v>42887</v>
      </c>
      <c r="B105" s="3">
        <v>1.144647</v>
      </c>
      <c r="C105" s="30" t="str">
        <f t="shared" si="10"/>
        <v/>
      </c>
      <c r="D105" s="41" t="str">
        <f t="shared" si="11"/>
        <v/>
      </c>
      <c r="E105" s="41" t="str">
        <f t="shared" si="12"/>
        <v/>
      </c>
      <c r="F105" s="16">
        <v>2391.79</v>
      </c>
      <c r="G105" s="16">
        <v>311.76</v>
      </c>
      <c r="H105" s="16">
        <v>12</v>
      </c>
      <c r="I105" s="16">
        <v>1508.92</v>
      </c>
      <c r="J105" s="14">
        <v>669.04</v>
      </c>
      <c r="K105" s="14">
        <v>1031.51</v>
      </c>
    </row>
    <row r="106" spans="1:11" ht="18" customHeight="1">
      <c r="A106" s="9">
        <v>42856</v>
      </c>
      <c r="B106" s="3">
        <v>1.1169709999999999</v>
      </c>
      <c r="C106" s="30" t="str">
        <f t="shared" si="10"/>
        <v/>
      </c>
      <c r="D106" s="41" t="str">
        <f t="shared" si="11"/>
        <v/>
      </c>
      <c r="E106" s="41" t="str">
        <f t="shared" si="12"/>
        <v/>
      </c>
      <c r="F106" s="16">
        <v>2347.38</v>
      </c>
      <c r="G106" s="16">
        <v>304.67</v>
      </c>
      <c r="H106" s="16">
        <v>13.18</v>
      </c>
      <c r="I106" s="16">
        <v>1475.69</v>
      </c>
      <c r="J106" s="14">
        <v>652.04</v>
      </c>
      <c r="K106" s="14">
        <v>988.04</v>
      </c>
    </row>
    <row r="107" spans="1:11" ht="18" customHeight="1">
      <c r="A107" s="9">
        <v>42826</v>
      </c>
      <c r="B107" s="3">
        <v>1.0832040000000001</v>
      </c>
      <c r="C107" s="30" t="str">
        <f t="shared" si="10"/>
        <v/>
      </c>
      <c r="D107" s="41" t="str">
        <f t="shared" si="11"/>
        <v/>
      </c>
      <c r="E107" s="41" t="str">
        <f t="shared" si="12"/>
        <v/>
      </c>
      <c r="F107" s="16">
        <v>2205.44</v>
      </c>
      <c r="G107" s="16">
        <v>287.20999999999998</v>
      </c>
      <c r="H107" s="16">
        <v>12.27</v>
      </c>
      <c r="I107" s="16">
        <v>1392.27</v>
      </c>
      <c r="J107" s="14">
        <v>628.24</v>
      </c>
      <c r="K107" s="14">
        <v>940.33</v>
      </c>
    </row>
    <row r="108" spans="1:11" ht="18" customHeight="1">
      <c r="A108" s="9">
        <v>42795</v>
      </c>
      <c r="B108" s="3">
        <v>1.062262</v>
      </c>
      <c r="C108" s="30" t="str">
        <f t="shared" si="10"/>
        <v/>
      </c>
      <c r="D108" s="41" t="str">
        <f t="shared" si="11"/>
        <v/>
      </c>
      <c r="E108" s="41" t="str">
        <f t="shared" si="12"/>
        <v/>
      </c>
      <c r="F108" s="16">
        <v>2160.23</v>
      </c>
      <c r="G108" s="16">
        <v>280.64</v>
      </c>
      <c r="H108" s="16">
        <v>11.06</v>
      </c>
      <c r="I108" s="16">
        <v>1362.28</v>
      </c>
      <c r="J108" s="14">
        <v>619.28</v>
      </c>
      <c r="K108" s="14">
        <v>921.26</v>
      </c>
    </row>
    <row r="109" spans="1:11" ht="18" customHeight="1">
      <c r="A109" s="9">
        <v>42767</v>
      </c>
      <c r="B109" s="3">
        <v>1.0296369999999999</v>
      </c>
      <c r="C109" s="30" t="str">
        <f t="shared" si="10"/>
        <v/>
      </c>
      <c r="D109" s="41" t="str">
        <f t="shared" si="11"/>
        <v/>
      </c>
      <c r="E109" s="41" t="str">
        <f t="shared" si="12"/>
        <v/>
      </c>
      <c r="F109" s="16">
        <v>2091.64</v>
      </c>
      <c r="G109" s="16">
        <v>270.06</v>
      </c>
      <c r="H109" s="16">
        <v>10.64</v>
      </c>
      <c r="I109" s="16">
        <v>1307.68</v>
      </c>
      <c r="J109" s="13">
        <v>612.20000000000005</v>
      </c>
      <c r="K109" s="14">
        <v>916.75</v>
      </c>
    </row>
    <row r="110" spans="1:11" ht="18" customHeight="1">
      <c r="A110" s="9">
        <v>42736</v>
      </c>
      <c r="B110" s="3">
        <v>1.0175460000000001</v>
      </c>
      <c r="C110" s="30" t="str">
        <f t="shared" si="10"/>
        <v/>
      </c>
      <c r="D110" s="41" t="str">
        <f t="shared" si="11"/>
        <v/>
      </c>
      <c r="E110" s="41" t="str">
        <f t="shared" si="12"/>
        <v/>
      </c>
      <c r="F110" s="16">
        <v>2067.5700000000002</v>
      </c>
      <c r="G110" s="16">
        <v>268.08999999999997</v>
      </c>
      <c r="H110" s="16">
        <v>12.53</v>
      </c>
      <c r="I110" s="16">
        <v>1305.02</v>
      </c>
      <c r="J110" s="14">
        <v>616.13</v>
      </c>
      <c r="K110" s="14">
        <v>904.84</v>
      </c>
    </row>
    <row r="111" spans="1:11" ht="18" customHeight="1">
      <c r="A111" s="9">
        <v>42705</v>
      </c>
      <c r="B111" s="3">
        <v>0.99650899999999998</v>
      </c>
      <c r="C111" s="30" t="str">
        <f t="shared" si="10"/>
        <v/>
      </c>
      <c r="D111" s="41" t="str">
        <f t="shared" si="11"/>
        <v/>
      </c>
      <c r="E111" s="41" t="str">
        <f t="shared" si="12"/>
        <v/>
      </c>
      <c r="F111" s="16">
        <v>2026.46</v>
      </c>
      <c r="G111" s="16">
        <v>260.01</v>
      </c>
      <c r="H111" s="16">
        <v>11.51</v>
      </c>
      <c r="I111" s="16">
        <v>1260.6600000000001</v>
      </c>
      <c r="J111" s="14">
        <v>631.44000000000005</v>
      </c>
      <c r="K111" s="14">
        <v>936.09</v>
      </c>
    </row>
    <row r="112" spans="1:11" ht="18" customHeight="1">
      <c r="A112" s="9">
        <v>42675</v>
      </c>
      <c r="B112" s="3">
        <v>0.98469499999999999</v>
      </c>
      <c r="C112" s="30" t="str">
        <f t="shared" si="10"/>
        <v/>
      </c>
      <c r="D112" s="41" t="str">
        <f t="shared" si="11"/>
        <v/>
      </c>
      <c r="E112" s="41" t="str">
        <f t="shared" si="12"/>
        <v/>
      </c>
      <c r="F112" s="16">
        <v>1983.48</v>
      </c>
      <c r="G112" s="16">
        <v>254.26</v>
      </c>
      <c r="H112" s="16">
        <v>12.8</v>
      </c>
      <c r="I112" s="16">
        <v>1218.23</v>
      </c>
      <c r="J112" s="14">
        <v>596.11</v>
      </c>
      <c r="K112" s="14">
        <v>892.08</v>
      </c>
    </row>
    <row r="113" spans="1:11" ht="18" customHeight="1">
      <c r="A113" s="9">
        <v>42644</v>
      </c>
      <c r="B113" s="3">
        <v>0.99016099999999996</v>
      </c>
      <c r="C113" s="30" t="str">
        <f t="shared" si="10"/>
        <v/>
      </c>
      <c r="D113" s="41" t="str">
        <f t="shared" si="11"/>
        <v/>
      </c>
      <c r="E113" s="41" t="str">
        <f t="shared" si="12"/>
        <v/>
      </c>
      <c r="F113" s="16">
        <v>2008.19</v>
      </c>
      <c r="G113" s="16">
        <v>255.93</v>
      </c>
      <c r="H113" s="16">
        <v>14.61</v>
      </c>
      <c r="I113" s="16">
        <v>1229.5</v>
      </c>
      <c r="J113" s="14">
        <v>624.67999999999995</v>
      </c>
      <c r="K113" s="14">
        <v>939.76</v>
      </c>
    </row>
    <row r="114" spans="1:11" ht="18" customHeight="1">
      <c r="A114" s="9">
        <v>42614</v>
      </c>
      <c r="B114" s="3">
        <v>1.081105</v>
      </c>
      <c r="C114" s="30" t="str">
        <f t="shared" si="10"/>
        <v/>
      </c>
      <c r="D114" s="41" t="str">
        <f t="shared" si="11"/>
        <v/>
      </c>
      <c r="E114" s="41" t="str">
        <f t="shared" si="12"/>
        <v/>
      </c>
      <c r="F114" s="16">
        <v>2043.63</v>
      </c>
      <c r="G114" s="16">
        <v>257.49</v>
      </c>
      <c r="H114" s="16">
        <v>14.11</v>
      </c>
      <c r="I114" s="16">
        <v>1237.6400000000001</v>
      </c>
      <c r="J114" s="14">
        <v>681.21</v>
      </c>
      <c r="K114" s="14">
        <v>1010.18</v>
      </c>
    </row>
    <row r="115" spans="1:11" ht="18" customHeight="1">
      <c r="A115" s="9">
        <v>42583</v>
      </c>
      <c r="B115" s="3">
        <v>1.076362</v>
      </c>
      <c r="C115" s="30" t="str">
        <f t="shared" si="10"/>
        <v/>
      </c>
      <c r="D115" s="41" t="str">
        <f t="shared" si="11"/>
        <v/>
      </c>
      <c r="E115" s="41" t="str">
        <f t="shared" si="12"/>
        <v/>
      </c>
      <c r="F115" s="16">
        <v>2034.65</v>
      </c>
      <c r="G115" s="16">
        <v>256.87</v>
      </c>
      <c r="H115" s="16">
        <v>11.56</v>
      </c>
      <c r="I115" s="16">
        <v>1234.47</v>
      </c>
      <c r="J115" s="14">
        <v>663.69</v>
      </c>
      <c r="K115" s="13">
        <v>997.9</v>
      </c>
    </row>
    <row r="116" spans="1:11" ht="18" customHeight="1">
      <c r="A116" s="9">
        <v>42552</v>
      </c>
      <c r="B116" s="3">
        <v>1.0668260000000001</v>
      </c>
      <c r="C116" s="30" t="str">
        <f t="shared" si="10"/>
        <v/>
      </c>
      <c r="D116" s="41" t="str">
        <f t="shared" si="11"/>
        <v/>
      </c>
      <c r="E116" s="41" t="str">
        <f t="shared" si="12"/>
        <v/>
      </c>
      <c r="F116" s="16">
        <v>2016.19</v>
      </c>
      <c r="G116" s="16">
        <v>251.48</v>
      </c>
      <c r="H116" s="16">
        <v>12.6</v>
      </c>
      <c r="I116" s="16">
        <v>1214.74</v>
      </c>
      <c r="J116" s="14">
        <v>706.24</v>
      </c>
      <c r="K116" s="15">
        <v>1058</v>
      </c>
    </row>
    <row r="117" spans="1:11" ht="18" customHeight="1">
      <c r="A117" s="9">
        <v>42522</v>
      </c>
      <c r="B117" s="3">
        <v>1.0395460000000001</v>
      </c>
      <c r="C117" s="30" t="str">
        <f t="shared" si="10"/>
        <v/>
      </c>
      <c r="D117" s="41" t="str">
        <f t="shared" si="11"/>
        <v/>
      </c>
      <c r="E117" s="41" t="str">
        <f t="shared" si="12"/>
        <v/>
      </c>
      <c r="F117" s="16">
        <v>1970.35</v>
      </c>
      <c r="G117" s="16">
        <v>244.14</v>
      </c>
      <c r="H117" s="16">
        <v>13.9</v>
      </c>
      <c r="I117" s="16">
        <v>1175.52</v>
      </c>
      <c r="J117" s="14">
        <v>675.09</v>
      </c>
      <c r="K117" s="14">
        <v>1032.75</v>
      </c>
    </row>
    <row r="118" spans="1:11" ht="18" customHeight="1">
      <c r="A118" s="9">
        <v>42491</v>
      </c>
      <c r="B118" s="3">
        <v>1.0459909999999999</v>
      </c>
      <c r="C118" s="30" t="str">
        <f t="shared" si="10"/>
        <v/>
      </c>
      <c r="D118" s="41" t="str">
        <f t="shared" si="11"/>
        <v/>
      </c>
      <c r="E118" s="41" t="str">
        <f t="shared" si="12"/>
        <v/>
      </c>
      <c r="F118" s="16">
        <v>1983.4</v>
      </c>
      <c r="G118" s="16">
        <v>243.63</v>
      </c>
      <c r="H118" s="16">
        <v>11.81</v>
      </c>
      <c r="I118" s="16">
        <v>1175.94</v>
      </c>
      <c r="J118" s="14">
        <v>698.45</v>
      </c>
      <c r="K118" s="14">
        <v>1068.73</v>
      </c>
    </row>
    <row r="119" spans="1:11" ht="18" customHeight="1">
      <c r="A119" s="9">
        <v>42461</v>
      </c>
      <c r="B119" s="3">
        <v>1.123364</v>
      </c>
      <c r="C119" s="30" t="str">
        <f t="shared" si="10"/>
        <v/>
      </c>
      <c r="D119" s="41" t="str">
        <f t="shared" si="11"/>
        <v/>
      </c>
      <c r="E119" s="41" t="str">
        <f t="shared" si="12"/>
        <v/>
      </c>
      <c r="F119" s="16">
        <v>1994.15</v>
      </c>
      <c r="G119" s="16">
        <v>245.2</v>
      </c>
      <c r="H119" s="16">
        <v>12.42</v>
      </c>
      <c r="I119" s="16">
        <v>1185.6099999999999</v>
      </c>
      <c r="J119" s="14">
        <v>699.77</v>
      </c>
      <c r="K119" s="14">
        <v>1065.27</v>
      </c>
    </row>
    <row r="120" spans="1:11" ht="18" customHeight="1">
      <c r="A120" s="9">
        <v>42430</v>
      </c>
      <c r="B120" s="3">
        <v>1.1237200000000001</v>
      </c>
      <c r="C120" s="30" t="str">
        <f t="shared" si="10"/>
        <v/>
      </c>
      <c r="D120" s="41" t="str">
        <f t="shared" si="11"/>
        <v/>
      </c>
      <c r="E120" s="41" t="str">
        <f t="shared" si="12"/>
        <v/>
      </c>
      <c r="F120" s="16">
        <v>1995.85</v>
      </c>
      <c r="G120" s="16">
        <v>245.86</v>
      </c>
      <c r="H120" s="16">
        <v>12.33</v>
      </c>
      <c r="I120" s="16">
        <v>1190.68</v>
      </c>
      <c r="J120" s="14">
        <v>688.38</v>
      </c>
      <c r="K120" s="14">
        <v>1073.68</v>
      </c>
    </row>
    <row r="121" spans="1:11" ht="18" customHeight="1">
      <c r="A121" s="9">
        <v>42401</v>
      </c>
      <c r="B121" s="3">
        <v>1.0790029999999999</v>
      </c>
      <c r="C121" s="30" t="str">
        <f t="shared" si="10"/>
        <v/>
      </c>
      <c r="D121" s="41" t="str">
        <f t="shared" si="11"/>
        <v/>
      </c>
      <c r="E121" s="41" t="str">
        <f t="shared" si="12"/>
        <v/>
      </c>
      <c r="F121" s="16">
        <v>1916.66</v>
      </c>
      <c r="G121" s="16">
        <v>234.63</v>
      </c>
      <c r="H121" s="16">
        <v>17.559999999999999</v>
      </c>
      <c r="I121" s="16">
        <v>1142.04</v>
      </c>
      <c r="J121" s="14">
        <v>651.62</v>
      </c>
      <c r="K121" s="14">
        <v>1045.53</v>
      </c>
    </row>
    <row r="122" spans="1:11" ht="18" customHeight="1">
      <c r="A122" s="9">
        <v>42370</v>
      </c>
      <c r="B122" s="3">
        <v>1.0715060000000001</v>
      </c>
      <c r="C122" s="30" t="str">
        <f t="shared" si="10"/>
        <v/>
      </c>
      <c r="D122" s="41" t="str">
        <f t="shared" si="11"/>
        <v/>
      </c>
      <c r="E122" s="41" t="str">
        <f t="shared" si="12"/>
        <v/>
      </c>
      <c r="F122" s="16">
        <v>1912.06</v>
      </c>
      <c r="G122" s="16">
        <v>232.1</v>
      </c>
      <c r="H122" s="16">
        <v>17.93</v>
      </c>
      <c r="I122" s="16">
        <v>1127.96</v>
      </c>
      <c r="J122" s="13">
        <v>682.8</v>
      </c>
      <c r="K122" s="14">
        <v>1128.24</v>
      </c>
    </row>
    <row r="123" spans="1:11" ht="18" customHeight="1">
      <c r="A123" s="9">
        <v>42339</v>
      </c>
      <c r="B123" s="3">
        <v>1.1016900000000001</v>
      </c>
      <c r="C123" s="30" t="str">
        <f t="shared" si="10"/>
        <v/>
      </c>
      <c r="D123" s="41" t="str">
        <f t="shared" si="11"/>
        <v/>
      </c>
      <c r="E123" s="41" t="str">
        <f t="shared" si="12"/>
        <v/>
      </c>
      <c r="F123" s="16">
        <v>1961.31</v>
      </c>
      <c r="G123" s="16">
        <v>240.38</v>
      </c>
      <c r="H123" s="16">
        <v>14.18</v>
      </c>
      <c r="I123" s="16">
        <v>1167.53</v>
      </c>
      <c r="J123" s="14">
        <v>682.35</v>
      </c>
      <c r="K123" s="14">
        <v>1095.46</v>
      </c>
    </row>
    <row r="124" spans="1:11" ht="18" customHeight="1">
      <c r="A124" s="9">
        <v>42309</v>
      </c>
      <c r="B124" s="3">
        <v>1.1182080000000001</v>
      </c>
      <c r="C124" s="30" t="str">
        <f t="shared" si="10"/>
        <v/>
      </c>
      <c r="D124" s="41" t="str">
        <f t="shared" si="11"/>
        <v/>
      </c>
      <c r="E124" s="41" t="str">
        <f t="shared" si="12"/>
        <v/>
      </c>
      <c r="F124" s="16">
        <v>1991.97</v>
      </c>
      <c r="G124" s="16">
        <v>244.24</v>
      </c>
      <c r="H124" s="16">
        <v>14.37</v>
      </c>
      <c r="I124" s="16">
        <v>1176.8</v>
      </c>
      <c r="J124" s="14">
        <v>688.38</v>
      </c>
      <c r="K124" s="14">
        <v>1102.28</v>
      </c>
    </row>
    <row r="125" spans="1:11" ht="18" customHeight="1">
      <c r="A125" s="9">
        <v>42278</v>
      </c>
      <c r="B125" s="3">
        <v>1.1388529999999999</v>
      </c>
      <c r="C125" s="30" t="str">
        <f t="shared" si="10"/>
        <v/>
      </c>
      <c r="D125" s="41" t="str">
        <f t="shared" si="11"/>
        <v/>
      </c>
      <c r="E125" s="41" t="str">
        <f t="shared" si="12"/>
        <v/>
      </c>
      <c r="F125" s="16">
        <v>2029.47</v>
      </c>
      <c r="G125" s="16">
        <v>249.41</v>
      </c>
      <c r="H125" s="16">
        <v>14.22</v>
      </c>
      <c r="I125" s="16">
        <v>1207.32</v>
      </c>
      <c r="J125" s="14">
        <v>683.63</v>
      </c>
      <c r="K125" s="14">
        <v>1069.95</v>
      </c>
    </row>
    <row r="126" spans="1:11" ht="18" customHeight="1">
      <c r="A126" s="9">
        <v>42248</v>
      </c>
      <c r="B126" s="3">
        <v>1.100371</v>
      </c>
      <c r="C126" s="30" t="str">
        <f t="shared" si="10"/>
        <v/>
      </c>
      <c r="D126" s="41" t="str">
        <f t="shared" si="11"/>
        <v/>
      </c>
      <c r="E126" s="41" t="str">
        <f t="shared" si="12"/>
        <v/>
      </c>
      <c r="F126" s="16">
        <v>1962.81</v>
      </c>
      <c r="G126" s="16">
        <v>236.71</v>
      </c>
      <c r="H126" s="16">
        <v>20.48</v>
      </c>
      <c r="I126" s="16">
        <v>1136.19</v>
      </c>
      <c r="J126" s="14">
        <v>678.48</v>
      </c>
      <c r="K126" s="14">
        <v>1068.3499999999999</v>
      </c>
    </row>
    <row r="127" spans="1:11" ht="18" customHeight="1">
      <c r="A127" s="9">
        <v>42217</v>
      </c>
      <c r="B127" s="3">
        <v>1.076578</v>
      </c>
      <c r="C127" s="30" t="str">
        <f t="shared" si="10"/>
        <v/>
      </c>
      <c r="D127" s="41" t="str">
        <f t="shared" si="11"/>
        <v/>
      </c>
      <c r="E127" s="41" t="str">
        <f t="shared" si="12"/>
        <v/>
      </c>
      <c r="F127" s="16">
        <v>1941.49</v>
      </c>
      <c r="G127" s="16">
        <v>232.8</v>
      </c>
      <c r="H127" s="16">
        <v>19.75</v>
      </c>
      <c r="I127" s="16">
        <v>1113.48</v>
      </c>
      <c r="J127" s="14">
        <v>687.11</v>
      </c>
      <c r="K127" s="14">
        <v>1115.31</v>
      </c>
    </row>
    <row r="128" spans="1:11" ht="18" customHeight="1">
      <c r="A128" s="9">
        <v>42186</v>
      </c>
      <c r="B128" s="3">
        <v>1.118217</v>
      </c>
      <c r="C128" s="30" t="str">
        <f t="shared" si="10"/>
        <v/>
      </c>
      <c r="D128" s="41" t="str">
        <f t="shared" si="11"/>
        <v/>
      </c>
      <c r="E128" s="41" t="str">
        <f t="shared" si="12"/>
        <v/>
      </c>
      <c r="F128" s="16">
        <v>2030.16</v>
      </c>
      <c r="G128" s="16">
        <v>244.3</v>
      </c>
      <c r="H128" s="16">
        <v>13.54</v>
      </c>
      <c r="I128" s="16">
        <v>1173</v>
      </c>
      <c r="J128" s="14">
        <v>725.06</v>
      </c>
      <c r="K128" s="14">
        <v>1163.3599999999999</v>
      </c>
    </row>
    <row r="129" spans="1:11" ht="18" customHeight="1">
      <c r="A129" s="9">
        <v>42156</v>
      </c>
      <c r="B129" s="3">
        <v>1.1449069999999999</v>
      </c>
      <c r="C129" s="30" t="str">
        <f t="shared" si="10"/>
        <v/>
      </c>
      <c r="D129" s="41" t="str">
        <f t="shared" si="11"/>
        <v/>
      </c>
      <c r="E129" s="41" t="str">
        <f t="shared" si="12"/>
        <v/>
      </c>
      <c r="F129" s="16">
        <v>2074.1999999999998</v>
      </c>
      <c r="G129" s="16">
        <v>252.27</v>
      </c>
      <c r="H129" s="16">
        <v>14.45</v>
      </c>
      <c r="I129" s="16">
        <v>1215.6500000000001</v>
      </c>
      <c r="J129" s="14">
        <v>742.27</v>
      </c>
      <c r="K129" s="14">
        <v>1139.1500000000001</v>
      </c>
    </row>
    <row r="130" spans="1:11" ht="18" customHeight="1">
      <c r="A130" s="9">
        <v>42125</v>
      </c>
      <c r="B130" s="3">
        <v>1.1653309999999999</v>
      </c>
      <c r="C130" s="30" t="str">
        <f t="shared" si="10"/>
        <v/>
      </c>
      <c r="D130" s="41" t="str">
        <f t="shared" si="11"/>
        <v/>
      </c>
      <c r="E130" s="41" t="str">
        <f t="shared" si="12"/>
        <v/>
      </c>
      <c r="F130" s="16">
        <v>2114.8000000000002</v>
      </c>
      <c r="G130" s="16">
        <v>260.39</v>
      </c>
      <c r="H130" s="16">
        <v>12.59</v>
      </c>
      <c r="I130" s="16">
        <v>1262.31</v>
      </c>
      <c r="J130" s="14">
        <v>711.39</v>
      </c>
      <c r="K130" s="14">
        <v>1129.76</v>
      </c>
    </row>
    <row r="131" spans="1:11" ht="18" customHeight="1">
      <c r="A131" s="9">
        <v>42095</v>
      </c>
      <c r="B131" s="3">
        <v>1.2403200000000001</v>
      </c>
      <c r="C131" s="30" t="str">
        <f t="shared" si="10"/>
        <v/>
      </c>
      <c r="D131" s="41" t="str">
        <f t="shared" si="11"/>
        <v/>
      </c>
      <c r="E131" s="41" t="str">
        <f t="shared" si="12"/>
        <v/>
      </c>
      <c r="F131" s="16">
        <v>2127.17</v>
      </c>
      <c r="G131" s="16">
        <v>266.42</v>
      </c>
      <c r="H131" s="16">
        <v>11.76</v>
      </c>
      <c r="I131" s="16">
        <v>1295.9000000000001</v>
      </c>
      <c r="J131" s="14">
        <v>689.01</v>
      </c>
      <c r="K131" s="13">
        <v>1104.2</v>
      </c>
    </row>
    <row r="132" spans="1:11" ht="18" customHeight="1">
      <c r="A132" s="9">
        <v>42064</v>
      </c>
      <c r="B132" s="3">
        <v>1.1897869999999999</v>
      </c>
      <c r="C132" s="30" t="str">
        <f t="shared" ref="C132:C195" si="13">IF(B132&lt;=C$1, "Risk", "")</f>
        <v/>
      </c>
      <c r="D132" s="41" t="str">
        <f t="shared" si="11"/>
        <v/>
      </c>
      <c r="E132" s="41" t="str">
        <f t="shared" si="12"/>
        <v/>
      </c>
      <c r="F132" s="16">
        <v>2041.03</v>
      </c>
      <c r="G132" s="16">
        <v>257.27999999999997</v>
      </c>
      <c r="H132" s="16">
        <v>11.09</v>
      </c>
      <c r="I132" s="16">
        <v>1244.9100000000001</v>
      </c>
      <c r="J132" s="14">
        <v>650.49</v>
      </c>
      <c r="K132" s="14">
        <v>1050.1199999999999</v>
      </c>
    </row>
    <row r="133" spans="1:11" ht="18" customHeight="1">
      <c r="A133" s="9">
        <v>42036</v>
      </c>
      <c r="B133" s="3">
        <v>1.1522790000000001</v>
      </c>
      <c r="C133" s="30" t="str">
        <f t="shared" si="13"/>
        <v/>
      </c>
      <c r="D133" s="41" t="str">
        <f t="shared" ref="D133:D196" si="14">IF(B133&lt;=D$1, "Risk", "")</f>
        <v/>
      </c>
      <c r="E133" s="41" t="str">
        <f t="shared" ref="E133:E196" si="15">IF(B133&lt;=E$1, "Risk", "")</f>
        <v/>
      </c>
      <c r="F133" s="16">
        <v>1985.8</v>
      </c>
      <c r="G133" s="16">
        <v>251.46</v>
      </c>
      <c r="H133" s="16">
        <v>11.11</v>
      </c>
      <c r="I133" s="16">
        <v>1223.93</v>
      </c>
      <c r="J133" s="14">
        <v>624.55999999999995</v>
      </c>
      <c r="K133" s="13">
        <v>1021.6</v>
      </c>
    </row>
    <row r="134" spans="1:11" ht="18" customHeight="1">
      <c r="A134" s="9">
        <v>42005</v>
      </c>
      <c r="B134" s="3">
        <v>1.1316949999999999</v>
      </c>
      <c r="C134" s="30" t="str">
        <f t="shared" si="13"/>
        <v/>
      </c>
      <c r="D134" s="41" t="str">
        <f t="shared" si="14"/>
        <v/>
      </c>
      <c r="E134" s="41" t="str">
        <f t="shared" si="15"/>
        <v/>
      </c>
      <c r="F134" s="16">
        <v>1949.26</v>
      </c>
      <c r="G134" s="16">
        <v>249.88</v>
      </c>
      <c r="H134" s="16">
        <v>13.67</v>
      </c>
      <c r="I134" s="16">
        <v>1219.56</v>
      </c>
      <c r="J134" s="14">
        <v>591.58000000000004</v>
      </c>
      <c r="K134" s="14">
        <v>965.87</v>
      </c>
    </row>
    <row r="135" spans="1:11" ht="18" customHeight="1">
      <c r="A135" s="9">
        <v>41974</v>
      </c>
      <c r="B135" s="3">
        <v>1.1122719999999999</v>
      </c>
      <c r="C135" s="30" t="str">
        <f t="shared" si="13"/>
        <v/>
      </c>
      <c r="D135" s="41" t="str">
        <f t="shared" si="14"/>
        <v/>
      </c>
      <c r="E135" s="41" t="str">
        <f t="shared" si="15"/>
        <v/>
      </c>
      <c r="F135" s="16">
        <v>1915.59</v>
      </c>
      <c r="G135" s="16">
        <v>244.05</v>
      </c>
      <c r="H135" s="16">
        <v>12.97</v>
      </c>
      <c r="I135" s="16">
        <v>1184.5999999999999</v>
      </c>
      <c r="J135" s="14">
        <v>542.97</v>
      </c>
      <c r="K135" s="14">
        <v>894.44</v>
      </c>
    </row>
    <row r="136" spans="1:11" ht="18" customHeight="1">
      <c r="A136" s="9">
        <v>41944</v>
      </c>
      <c r="B136" s="3">
        <v>1.139229</v>
      </c>
      <c r="C136" s="30" t="str">
        <f t="shared" si="13"/>
        <v/>
      </c>
      <c r="D136" s="41" t="str">
        <f t="shared" si="14"/>
        <v/>
      </c>
      <c r="E136" s="41" t="str">
        <f t="shared" si="15"/>
        <v/>
      </c>
      <c r="F136" s="16">
        <v>1980.78</v>
      </c>
      <c r="G136" s="16">
        <v>253.7</v>
      </c>
      <c r="H136" s="16">
        <v>11.59</v>
      </c>
      <c r="I136" s="16">
        <v>1226.24</v>
      </c>
      <c r="J136" s="14">
        <v>545.08000000000004</v>
      </c>
      <c r="K136" s="14">
        <v>896.82</v>
      </c>
    </row>
    <row r="137" spans="1:11" ht="18" customHeight="1">
      <c r="A137" s="9">
        <v>41913</v>
      </c>
      <c r="B137" s="3">
        <v>1.113874</v>
      </c>
      <c r="C137" s="30" t="str">
        <f t="shared" si="13"/>
        <v/>
      </c>
      <c r="D137" s="41" t="str">
        <f t="shared" si="14"/>
        <v/>
      </c>
      <c r="E137" s="41" t="str">
        <f t="shared" si="15"/>
        <v/>
      </c>
      <c r="F137" s="16">
        <v>1964.43</v>
      </c>
      <c r="G137" s="16">
        <v>250.45</v>
      </c>
      <c r="H137" s="16">
        <v>13.99</v>
      </c>
      <c r="I137" s="16">
        <v>1207.9000000000001</v>
      </c>
      <c r="J137" s="13">
        <v>558.70000000000005</v>
      </c>
      <c r="K137" s="14">
        <v>920.41</v>
      </c>
    </row>
    <row r="138" spans="1:11" ht="18" customHeight="1">
      <c r="A138" s="9">
        <v>41883</v>
      </c>
      <c r="B138" s="3">
        <v>1.145802</v>
      </c>
      <c r="C138" s="30" t="str">
        <f t="shared" si="13"/>
        <v/>
      </c>
      <c r="D138" s="41" t="str">
        <f t="shared" si="14"/>
        <v/>
      </c>
      <c r="E138" s="41" t="str">
        <f t="shared" si="15"/>
        <v/>
      </c>
      <c r="F138" s="16">
        <v>2020.09</v>
      </c>
      <c r="G138" s="16">
        <v>256.77</v>
      </c>
      <c r="H138" s="16">
        <v>12.69</v>
      </c>
      <c r="I138" s="16">
        <v>1240.73</v>
      </c>
      <c r="J138" s="14">
        <v>573.22</v>
      </c>
      <c r="K138" s="14">
        <v>954.34</v>
      </c>
    </row>
    <row r="139" spans="1:11" ht="18" customHeight="1">
      <c r="A139" s="9">
        <v>41852</v>
      </c>
      <c r="B139" s="3">
        <v>1.1735180000000001</v>
      </c>
      <c r="C139" s="30" t="str">
        <f t="shared" si="13"/>
        <v/>
      </c>
      <c r="D139" s="41" t="str">
        <f t="shared" si="14"/>
        <v/>
      </c>
      <c r="E139" s="41" t="str">
        <f t="shared" si="15"/>
        <v/>
      </c>
      <c r="F139" s="16">
        <v>2068.54</v>
      </c>
      <c r="G139" s="16">
        <v>265.41000000000003</v>
      </c>
      <c r="H139" s="16">
        <v>10.86</v>
      </c>
      <c r="I139" s="16">
        <v>1288.7</v>
      </c>
      <c r="J139" s="13">
        <v>570.20000000000005</v>
      </c>
      <c r="K139" s="14">
        <v>944.48</v>
      </c>
    </row>
    <row r="140" spans="1:11" ht="18" customHeight="1">
      <c r="A140" s="9">
        <v>41821</v>
      </c>
      <c r="B140" s="3">
        <v>1.176464</v>
      </c>
      <c r="C140" s="30" t="str">
        <f t="shared" si="13"/>
        <v/>
      </c>
      <c r="D140" s="41" t="str">
        <f t="shared" si="14"/>
        <v/>
      </c>
      <c r="E140" s="41" t="str">
        <f t="shared" si="15"/>
        <v/>
      </c>
      <c r="F140" s="16">
        <v>2076.12</v>
      </c>
      <c r="G140" s="16">
        <v>269.68</v>
      </c>
      <c r="H140" s="16">
        <v>12.69</v>
      </c>
      <c r="I140" s="16">
        <v>1318.05</v>
      </c>
      <c r="J140" s="14">
        <v>536.32000000000005</v>
      </c>
      <c r="K140" s="14">
        <v>877.17</v>
      </c>
    </row>
    <row r="141" spans="1:11" ht="18" customHeight="1">
      <c r="A141" s="9">
        <v>41791</v>
      </c>
      <c r="B141" s="3">
        <v>1.14174</v>
      </c>
      <c r="C141" s="30" t="str">
        <f t="shared" si="13"/>
        <v/>
      </c>
      <c r="D141" s="41" t="str">
        <f t="shared" si="14"/>
        <v/>
      </c>
      <c r="E141" s="41" t="str">
        <f t="shared" si="15"/>
        <v/>
      </c>
      <c r="F141" s="16">
        <v>2002.21</v>
      </c>
      <c r="G141" s="16">
        <v>260.56</v>
      </c>
      <c r="H141" s="16">
        <v>11.48</v>
      </c>
      <c r="I141" s="16">
        <v>1264.44</v>
      </c>
      <c r="J141" s="14">
        <v>537.05999999999995</v>
      </c>
      <c r="K141" s="14">
        <v>885.49</v>
      </c>
    </row>
    <row r="142" spans="1:11" ht="18" customHeight="1">
      <c r="A142" s="9">
        <v>41760</v>
      </c>
      <c r="B142" s="3">
        <v>1.137718</v>
      </c>
      <c r="C142" s="30" t="str">
        <f t="shared" si="13"/>
        <v/>
      </c>
      <c r="D142" s="41" t="str">
        <f t="shared" si="14"/>
        <v/>
      </c>
      <c r="E142" s="41" t="str">
        <f t="shared" si="15"/>
        <v/>
      </c>
      <c r="F142" s="16">
        <v>1994.96</v>
      </c>
      <c r="G142" s="16">
        <v>259.94</v>
      </c>
      <c r="H142" s="16">
        <v>10.86</v>
      </c>
      <c r="I142" s="16">
        <v>1273.0899999999999</v>
      </c>
      <c r="J142" s="14">
        <v>546.53</v>
      </c>
      <c r="K142" s="14">
        <v>900.98</v>
      </c>
    </row>
    <row r="143" spans="1:11" ht="18" customHeight="1">
      <c r="A143" s="9">
        <v>41730</v>
      </c>
      <c r="B143" s="3">
        <v>1.091137</v>
      </c>
      <c r="C143" s="30" t="str">
        <f t="shared" si="13"/>
        <v/>
      </c>
      <c r="D143" s="41" t="str">
        <f t="shared" si="14"/>
        <v/>
      </c>
      <c r="E143" s="41" t="str">
        <f t="shared" si="15"/>
        <v/>
      </c>
      <c r="F143" s="16">
        <v>1961.79</v>
      </c>
      <c r="G143" s="16">
        <v>255.33</v>
      </c>
      <c r="H143" s="16">
        <v>11.6</v>
      </c>
      <c r="I143" s="16">
        <v>1246.49</v>
      </c>
      <c r="J143" s="14">
        <v>559.34</v>
      </c>
      <c r="K143" s="14">
        <v>933.77</v>
      </c>
    </row>
    <row r="144" spans="1:11" ht="18" customHeight="1">
      <c r="A144" s="9">
        <v>41699</v>
      </c>
      <c r="B144" s="3">
        <v>1.179996</v>
      </c>
      <c r="C144" s="30" t="str">
        <f t="shared" si="13"/>
        <v/>
      </c>
      <c r="D144" s="41" t="str">
        <f t="shared" si="14"/>
        <v/>
      </c>
      <c r="E144" s="41" t="str">
        <f t="shared" si="15"/>
        <v/>
      </c>
      <c r="F144" s="16">
        <v>1985.61</v>
      </c>
      <c r="G144" s="16">
        <v>258.11</v>
      </c>
      <c r="H144" s="16">
        <v>13.82</v>
      </c>
      <c r="I144" s="16">
        <v>1261.1300000000001</v>
      </c>
      <c r="J144" s="14">
        <v>541.58000000000004</v>
      </c>
      <c r="K144" s="14">
        <v>903.93</v>
      </c>
    </row>
    <row r="145" spans="1:11" ht="18" customHeight="1">
      <c r="A145" s="9">
        <v>41671</v>
      </c>
      <c r="B145" s="3">
        <v>1.172771</v>
      </c>
      <c r="C145" s="30" t="str">
        <f t="shared" si="13"/>
        <v/>
      </c>
      <c r="D145" s="41" t="str">
        <f t="shared" si="14"/>
        <v/>
      </c>
      <c r="E145" s="41" t="str">
        <f t="shared" si="15"/>
        <v/>
      </c>
      <c r="F145" s="16">
        <v>1979.99</v>
      </c>
      <c r="G145" s="16">
        <v>258.41000000000003</v>
      </c>
      <c r="H145" s="16">
        <v>13.49</v>
      </c>
      <c r="I145" s="16">
        <v>1263.67</v>
      </c>
      <c r="J145" s="14">
        <v>528.96</v>
      </c>
      <c r="K145" s="14">
        <v>896.99</v>
      </c>
    </row>
    <row r="146" spans="1:11" ht="18" customHeight="1">
      <c r="A146" s="9">
        <v>41640</v>
      </c>
      <c r="B146" s="3">
        <v>1.150638</v>
      </c>
      <c r="C146" s="30" t="str">
        <f t="shared" si="13"/>
        <v/>
      </c>
      <c r="D146" s="41" t="str">
        <f t="shared" si="14"/>
        <v/>
      </c>
      <c r="E146" s="41" t="str">
        <f t="shared" si="15"/>
        <v/>
      </c>
      <c r="F146" s="16">
        <v>1941.15</v>
      </c>
      <c r="G146" s="16">
        <v>252.89</v>
      </c>
      <c r="H146" s="16">
        <v>14.43</v>
      </c>
      <c r="I146" s="16">
        <v>1248.94</v>
      </c>
      <c r="J146" s="13">
        <v>515.20000000000005</v>
      </c>
      <c r="K146" s="14">
        <v>884.82</v>
      </c>
    </row>
    <row r="147" spans="1:11" ht="18" customHeight="1">
      <c r="A147" s="9">
        <v>41609</v>
      </c>
      <c r="B147" s="3">
        <v>1.1950190000000001</v>
      </c>
      <c r="C147" s="30" t="str">
        <f t="shared" si="13"/>
        <v/>
      </c>
      <c r="D147" s="41" t="str">
        <f t="shared" si="14"/>
        <v/>
      </c>
      <c r="E147" s="41" t="str">
        <f t="shared" si="15"/>
        <v/>
      </c>
      <c r="F147" s="16">
        <v>2011.34</v>
      </c>
      <c r="G147" s="16">
        <v>264.24</v>
      </c>
      <c r="H147" s="16">
        <v>12.84</v>
      </c>
      <c r="I147" s="16">
        <v>1303.6600000000001</v>
      </c>
      <c r="J147" s="14">
        <v>499.99</v>
      </c>
      <c r="K147" s="14">
        <v>855.88</v>
      </c>
    </row>
    <row r="148" spans="1:11" ht="18" customHeight="1">
      <c r="A148" s="9">
        <v>41579</v>
      </c>
      <c r="B148" s="3">
        <v>1.2160010000000001</v>
      </c>
      <c r="C148" s="30" t="str">
        <f t="shared" si="13"/>
        <v/>
      </c>
      <c r="D148" s="41" t="str">
        <f t="shared" si="14"/>
        <v/>
      </c>
      <c r="E148" s="41" t="str">
        <f t="shared" si="15"/>
        <v/>
      </c>
      <c r="F148" s="16">
        <v>2044.87</v>
      </c>
      <c r="G148" s="16">
        <v>269.57</v>
      </c>
      <c r="H148" s="16">
        <v>14.42</v>
      </c>
      <c r="I148" s="16">
        <v>1322.13</v>
      </c>
      <c r="J148" s="14">
        <v>517.05999999999995</v>
      </c>
      <c r="K148" s="14">
        <v>885.35</v>
      </c>
    </row>
    <row r="149" spans="1:11" ht="18" customHeight="1">
      <c r="A149" s="9">
        <v>41548</v>
      </c>
      <c r="B149" s="3">
        <v>1.201624</v>
      </c>
      <c r="C149" s="30" t="str">
        <f t="shared" si="13"/>
        <v/>
      </c>
      <c r="D149" s="41" t="str">
        <f t="shared" si="14"/>
        <v/>
      </c>
      <c r="E149" s="41" t="str">
        <f t="shared" si="15"/>
        <v/>
      </c>
      <c r="F149" s="16">
        <v>2030.09</v>
      </c>
      <c r="G149" s="16">
        <v>266.91000000000003</v>
      </c>
      <c r="H149" s="16">
        <v>14.41</v>
      </c>
      <c r="I149" s="16">
        <v>1315.77</v>
      </c>
      <c r="J149" s="14">
        <v>532.44000000000005</v>
      </c>
      <c r="K149" s="14">
        <v>910.62</v>
      </c>
    </row>
    <row r="150" spans="1:11" ht="18" customHeight="1">
      <c r="A150" s="9">
        <v>41518</v>
      </c>
      <c r="B150" s="3">
        <v>1.1809989999999999</v>
      </c>
      <c r="C150" s="30" t="str">
        <f t="shared" si="13"/>
        <v/>
      </c>
      <c r="D150" s="41" t="str">
        <f t="shared" si="14"/>
        <v/>
      </c>
      <c r="E150" s="41" t="str">
        <f t="shared" si="15"/>
        <v/>
      </c>
      <c r="F150" s="16">
        <v>1996.96</v>
      </c>
      <c r="G150" s="16">
        <v>260.91000000000003</v>
      </c>
      <c r="H150" s="16">
        <v>15.38</v>
      </c>
      <c r="I150" s="16">
        <v>1287.3800000000001</v>
      </c>
      <c r="J150" s="14">
        <v>534.89</v>
      </c>
      <c r="K150" s="14">
        <v>917.72</v>
      </c>
    </row>
    <row r="151" spans="1:11" ht="18" customHeight="1">
      <c r="A151" s="9">
        <v>41487</v>
      </c>
      <c r="B151" s="3">
        <v>1.140471</v>
      </c>
      <c r="C151" s="30" t="str">
        <f t="shared" si="13"/>
        <v/>
      </c>
      <c r="D151" s="41" t="str">
        <f t="shared" si="14"/>
        <v/>
      </c>
      <c r="E151" s="41" t="str">
        <f t="shared" si="15"/>
        <v/>
      </c>
      <c r="F151" s="16">
        <v>1926.36</v>
      </c>
      <c r="G151" s="16">
        <v>251.74</v>
      </c>
      <c r="H151" s="16">
        <v>15.73</v>
      </c>
      <c r="I151" s="16">
        <v>1237.3499999999999</v>
      </c>
      <c r="J151" s="14">
        <v>516.74</v>
      </c>
      <c r="K151" s="13">
        <v>874.7</v>
      </c>
    </row>
    <row r="152" spans="1:11" ht="18" customHeight="1">
      <c r="A152" s="9">
        <v>41456</v>
      </c>
      <c r="B152" s="3">
        <v>1.1277759999999999</v>
      </c>
      <c r="C152" s="30" t="str">
        <f t="shared" si="13"/>
        <v/>
      </c>
      <c r="D152" s="41" t="str">
        <f t="shared" si="14"/>
        <v/>
      </c>
      <c r="E152" s="41" t="str">
        <f t="shared" si="15"/>
        <v/>
      </c>
      <c r="F152" s="16">
        <v>1914.03</v>
      </c>
      <c r="G152" s="16">
        <v>247.99</v>
      </c>
      <c r="H152" s="16">
        <v>16.260000000000002</v>
      </c>
      <c r="I152" s="16">
        <v>1224.78</v>
      </c>
      <c r="J152" s="14">
        <v>554.30999999999995</v>
      </c>
      <c r="K152" s="14">
        <v>961.94</v>
      </c>
    </row>
    <row r="153" spans="1:11" ht="18" customHeight="1">
      <c r="A153" s="9">
        <v>41426</v>
      </c>
      <c r="B153" s="3">
        <v>1.1070580000000001</v>
      </c>
      <c r="C153" s="30" t="str">
        <f t="shared" si="13"/>
        <v/>
      </c>
      <c r="D153" s="41" t="str">
        <f t="shared" si="14"/>
        <v/>
      </c>
      <c r="E153" s="41" t="str">
        <f t="shared" si="15"/>
        <v/>
      </c>
      <c r="F153" s="16">
        <v>1863.32</v>
      </c>
      <c r="G153" s="16">
        <v>242.27</v>
      </c>
      <c r="H153" s="16">
        <v>17.11</v>
      </c>
      <c r="I153" s="16">
        <v>1193.22</v>
      </c>
      <c r="J153" s="14">
        <v>519.05999999999995</v>
      </c>
      <c r="K153" s="14">
        <v>886.36</v>
      </c>
    </row>
    <row r="154" spans="1:11" ht="18" customHeight="1">
      <c r="A154" s="9">
        <v>41395</v>
      </c>
      <c r="B154" s="3">
        <v>1.186987</v>
      </c>
      <c r="C154" s="30" t="str">
        <f t="shared" si="13"/>
        <v/>
      </c>
      <c r="D154" s="41" t="str">
        <f t="shared" si="14"/>
        <v/>
      </c>
      <c r="E154" s="41" t="str">
        <f t="shared" si="15"/>
        <v/>
      </c>
      <c r="F154" s="16">
        <v>2001.05</v>
      </c>
      <c r="G154" s="16">
        <v>261.47000000000003</v>
      </c>
      <c r="H154" s="16">
        <v>14.16</v>
      </c>
      <c r="I154" s="16">
        <v>1300.8900000000001</v>
      </c>
      <c r="J154" s="14">
        <v>577.87</v>
      </c>
      <c r="K154" s="14">
        <v>980.29</v>
      </c>
    </row>
    <row r="155" spans="1:11" ht="18" customHeight="1">
      <c r="A155" s="9">
        <v>41365</v>
      </c>
      <c r="B155" s="3">
        <v>1.1660159999999999</v>
      </c>
      <c r="C155" s="30" t="str">
        <f t="shared" si="13"/>
        <v/>
      </c>
      <c r="D155" s="41" t="str">
        <f t="shared" si="14"/>
        <v/>
      </c>
      <c r="E155" s="41" t="str">
        <f t="shared" si="15"/>
        <v/>
      </c>
      <c r="F155" s="16">
        <v>1963.95</v>
      </c>
      <c r="G155" s="16">
        <v>255.72</v>
      </c>
      <c r="H155" s="16">
        <v>14.74</v>
      </c>
      <c r="I155" s="16">
        <v>1275.3499999999999</v>
      </c>
      <c r="J155" s="14">
        <v>563.87</v>
      </c>
      <c r="K155" s="14">
        <v>962.25</v>
      </c>
    </row>
    <row r="156" spans="1:11" ht="18" customHeight="1">
      <c r="A156" s="9">
        <v>41334</v>
      </c>
      <c r="B156" s="3">
        <v>1.2511699999999999</v>
      </c>
      <c r="C156" s="30" t="str">
        <f t="shared" si="13"/>
        <v/>
      </c>
      <c r="D156" s="41" t="str">
        <f t="shared" si="14"/>
        <v/>
      </c>
      <c r="E156" s="41" t="str">
        <f t="shared" si="15"/>
        <v/>
      </c>
      <c r="F156" s="16">
        <v>2004.89</v>
      </c>
      <c r="G156" s="16">
        <v>263.39</v>
      </c>
      <c r="H156" s="16">
        <v>14.34</v>
      </c>
      <c r="I156" s="16">
        <v>1313.78</v>
      </c>
      <c r="J156" s="14">
        <v>555.02</v>
      </c>
      <c r="K156" s="14">
        <v>973.03</v>
      </c>
    </row>
    <row r="157" spans="1:11" ht="18" customHeight="1">
      <c r="A157" s="9">
        <v>41306</v>
      </c>
      <c r="B157" s="3">
        <v>1.2645219999999999</v>
      </c>
      <c r="C157" s="30" t="str">
        <f t="shared" si="13"/>
        <v/>
      </c>
      <c r="D157" s="41" t="str">
        <f t="shared" si="14"/>
        <v/>
      </c>
      <c r="E157" s="41" t="str">
        <f t="shared" si="15"/>
        <v/>
      </c>
      <c r="F157" s="16">
        <v>2026.49</v>
      </c>
      <c r="G157" s="16">
        <v>268.01</v>
      </c>
      <c r="H157" s="16">
        <v>15.19</v>
      </c>
      <c r="I157" s="16">
        <v>1344.57</v>
      </c>
      <c r="J157" s="14">
        <v>535.87</v>
      </c>
      <c r="K157" s="14">
        <v>944.37</v>
      </c>
    </row>
    <row r="158" spans="1:11" ht="18" customHeight="1">
      <c r="A158" s="9">
        <v>41275</v>
      </c>
      <c r="B158" s="3">
        <v>1.22597</v>
      </c>
      <c r="C158" s="30" t="str">
        <f t="shared" si="13"/>
        <v/>
      </c>
      <c r="D158" s="41" t="str">
        <f t="shared" si="14"/>
        <v/>
      </c>
      <c r="E158" s="41" t="str">
        <f t="shared" si="15"/>
        <v/>
      </c>
      <c r="F158" s="16">
        <v>1961.94</v>
      </c>
      <c r="G158" s="16">
        <v>258.07</v>
      </c>
      <c r="H158" s="16">
        <v>15.18</v>
      </c>
      <c r="I158" s="16">
        <v>1290.6099999999999</v>
      </c>
      <c r="J158" s="14">
        <v>503.67</v>
      </c>
      <c r="K158" s="14">
        <v>883.56</v>
      </c>
    </row>
    <row r="159" spans="1:11" ht="18" customHeight="1">
      <c r="A159" s="9">
        <v>41244</v>
      </c>
      <c r="B159" s="3">
        <v>1.248632</v>
      </c>
      <c r="C159" s="30" t="str">
        <f t="shared" si="13"/>
        <v/>
      </c>
      <c r="D159" s="41" t="str">
        <f t="shared" si="14"/>
        <v/>
      </c>
      <c r="E159" s="41" t="str">
        <f t="shared" si="15"/>
        <v/>
      </c>
      <c r="F159" s="16">
        <v>1997.05</v>
      </c>
      <c r="G159" s="16">
        <v>263.92</v>
      </c>
      <c r="H159" s="16">
        <v>15.89</v>
      </c>
      <c r="I159" s="16">
        <v>1329.58</v>
      </c>
      <c r="J159" s="14">
        <v>496.32</v>
      </c>
      <c r="K159" s="13">
        <v>880.2</v>
      </c>
    </row>
    <row r="160" spans="1:11" ht="18" customHeight="1">
      <c r="A160" s="9">
        <v>41214</v>
      </c>
      <c r="B160" s="3">
        <v>1.2084109999999999</v>
      </c>
      <c r="C160" s="30" t="str">
        <f t="shared" si="13"/>
        <v/>
      </c>
      <c r="D160" s="41" t="str">
        <f t="shared" si="14"/>
        <v/>
      </c>
      <c r="E160" s="41" t="str">
        <f t="shared" si="15"/>
        <v/>
      </c>
      <c r="F160" s="16">
        <v>1932.9</v>
      </c>
      <c r="G160" s="16">
        <v>254.25</v>
      </c>
      <c r="H160" s="16">
        <v>14.87</v>
      </c>
      <c r="I160" s="16">
        <v>1273.51</v>
      </c>
      <c r="J160" s="14">
        <v>499.37</v>
      </c>
      <c r="K160" s="14">
        <v>876.85</v>
      </c>
    </row>
    <row r="161" spans="1:11" ht="18" customHeight="1">
      <c r="A161" s="9">
        <v>41183</v>
      </c>
      <c r="B161" s="3">
        <v>1.194307</v>
      </c>
      <c r="C161" s="30" t="str">
        <f t="shared" si="13"/>
        <v/>
      </c>
      <c r="D161" s="41" t="str">
        <f t="shared" si="14"/>
        <v/>
      </c>
      <c r="E161" s="41" t="str">
        <f t="shared" si="15"/>
        <v/>
      </c>
      <c r="F161" s="16">
        <v>1912.06</v>
      </c>
      <c r="G161" s="16">
        <v>250.18</v>
      </c>
      <c r="H161" s="16">
        <v>18.37</v>
      </c>
      <c r="I161" s="16">
        <v>1249.08</v>
      </c>
      <c r="J161" s="14">
        <v>508.31</v>
      </c>
      <c r="K161" s="14">
        <v>893.42</v>
      </c>
    </row>
    <row r="162" spans="1:11" ht="18" customHeight="1">
      <c r="A162" s="9">
        <v>41153</v>
      </c>
      <c r="B162" s="3">
        <v>1.2496210000000001</v>
      </c>
      <c r="C162" s="30" t="str">
        <f t="shared" si="13"/>
        <v/>
      </c>
      <c r="D162" s="41" t="str">
        <f t="shared" si="14"/>
        <v/>
      </c>
      <c r="E162" s="41" t="str">
        <f t="shared" si="15"/>
        <v/>
      </c>
      <c r="F162" s="16">
        <v>1996.21</v>
      </c>
      <c r="G162" s="16">
        <v>262.49</v>
      </c>
      <c r="H162" s="16">
        <v>17.23</v>
      </c>
      <c r="I162" s="16">
        <v>1317.13</v>
      </c>
      <c r="J162" s="14">
        <v>523.78</v>
      </c>
      <c r="K162" s="14">
        <v>925.14</v>
      </c>
    </row>
    <row r="163" spans="1:11" ht="18" customHeight="1">
      <c r="A163" s="9">
        <v>41122</v>
      </c>
      <c r="B163" s="3">
        <v>1.1915880000000001</v>
      </c>
      <c r="C163" s="30" t="str">
        <f t="shared" si="13"/>
        <v/>
      </c>
      <c r="D163" s="41" t="str">
        <f t="shared" si="14"/>
        <v/>
      </c>
      <c r="E163" s="41" t="str">
        <f t="shared" si="15"/>
        <v/>
      </c>
      <c r="F163" s="16">
        <v>1905.12</v>
      </c>
      <c r="G163" s="16">
        <v>250.56</v>
      </c>
      <c r="H163" s="16">
        <v>20.350000000000001</v>
      </c>
      <c r="I163" s="16">
        <v>1254.68</v>
      </c>
      <c r="J163" s="14">
        <v>508.35</v>
      </c>
      <c r="K163" s="14">
        <v>922.68</v>
      </c>
    </row>
    <row r="164" spans="1:11" ht="18" customHeight="1">
      <c r="A164" s="9">
        <v>41091</v>
      </c>
      <c r="B164" s="3">
        <v>1.1835039999999999</v>
      </c>
      <c r="C164" s="30" t="str">
        <f t="shared" si="13"/>
        <v/>
      </c>
      <c r="D164" s="41" t="str">
        <f t="shared" si="14"/>
        <v/>
      </c>
      <c r="E164" s="41" t="str">
        <f t="shared" si="15"/>
        <v/>
      </c>
      <c r="F164" s="16">
        <v>1881.99</v>
      </c>
      <c r="G164" s="16">
        <v>250.08</v>
      </c>
      <c r="H164" s="16">
        <v>20.32</v>
      </c>
      <c r="I164" s="16">
        <v>1256.44</v>
      </c>
      <c r="J164" s="14">
        <v>467.61</v>
      </c>
      <c r="K164" s="14">
        <v>841.13</v>
      </c>
    </row>
    <row r="165" spans="1:11" ht="18" customHeight="1">
      <c r="A165" s="9">
        <v>41061</v>
      </c>
      <c r="B165" s="3">
        <v>1.165116</v>
      </c>
      <c r="C165" s="30" t="str">
        <f t="shared" si="13"/>
        <v/>
      </c>
      <c r="D165" s="41" t="str">
        <f t="shared" si="14"/>
        <v/>
      </c>
      <c r="E165" s="41" t="str">
        <f t="shared" si="15"/>
        <v/>
      </c>
      <c r="F165" s="16">
        <v>1854.01</v>
      </c>
      <c r="G165" s="16">
        <v>244.9</v>
      </c>
      <c r="H165" s="16">
        <v>20.03</v>
      </c>
      <c r="I165" s="16">
        <v>1232.6099999999999</v>
      </c>
      <c r="J165" s="14">
        <v>489.16</v>
      </c>
      <c r="K165" s="13">
        <v>882.8</v>
      </c>
    </row>
    <row r="166" spans="1:11" ht="18" customHeight="1">
      <c r="A166" s="9">
        <v>41030</v>
      </c>
      <c r="B166" s="3">
        <v>1.158393</v>
      </c>
      <c r="C166" s="30" t="str">
        <f t="shared" si="13"/>
        <v/>
      </c>
      <c r="D166" s="41" t="str">
        <f t="shared" si="14"/>
        <v/>
      </c>
      <c r="E166" s="41" t="str">
        <f t="shared" si="15"/>
        <v/>
      </c>
      <c r="F166" s="16">
        <v>1843.47</v>
      </c>
      <c r="G166" s="16">
        <v>244.05</v>
      </c>
      <c r="H166" s="16">
        <v>22.69</v>
      </c>
      <c r="I166" s="16">
        <v>1228.04</v>
      </c>
      <c r="J166" s="14">
        <v>471.94</v>
      </c>
      <c r="K166" s="14">
        <v>873.73</v>
      </c>
    </row>
    <row r="167" spans="1:11" ht="18" customHeight="1">
      <c r="A167" s="9">
        <v>41000</v>
      </c>
      <c r="B167" s="3">
        <v>1.2452559999999999</v>
      </c>
      <c r="C167" s="30" t="str">
        <f t="shared" si="13"/>
        <v/>
      </c>
      <c r="D167" s="41" t="str">
        <f t="shared" si="14"/>
        <v/>
      </c>
      <c r="E167" s="41" t="str">
        <f t="shared" si="15"/>
        <v/>
      </c>
      <c r="F167" s="16">
        <v>1981.99</v>
      </c>
      <c r="G167" s="16">
        <v>264.35000000000002</v>
      </c>
      <c r="H167" s="16">
        <v>17.309999999999999</v>
      </c>
      <c r="I167" s="16">
        <v>1339.72</v>
      </c>
      <c r="J167" s="14">
        <v>478.89</v>
      </c>
      <c r="K167" s="14">
        <v>864.72</v>
      </c>
    </row>
    <row r="168" spans="1:11" ht="18" customHeight="1">
      <c r="A168" s="9">
        <v>40969</v>
      </c>
      <c r="B168" s="3">
        <v>1.3139989999999999</v>
      </c>
      <c r="C168" s="30" t="str">
        <f t="shared" si="13"/>
        <v/>
      </c>
      <c r="D168" s="41" t="str">
        <f t="shared" si="14"/>
        <v/>
      </c>
      <c r="E168" s="41" t="str">
        <f t="shared" si="15"/>
        <v/>
      </c>
      <c r="F168" s="16">
        <v>2014.04</v>
      </c>
      <c r="G168" s="16">
        <v>266.58</v>
      </c>
      <c r="H168" s="16">
        <v>17.559999999999999</v>
      </c>
      <c r="I168" s="16">
        <v>1353.11</v>
      </c>
      <c r="J168" s="14">
        <v>519.55999999999995</v>
      </c>
      <c r="K168" s="14">
        <v>943.42</v>
      </c>
    </row>
    <row r="169" spans="1:11" ht="18" customHeight="1">
      <c r="A169" s="9">
        <v>40940</v>
      </c>
      <c r="B169" s="3">
        <v>1.3252440000000001</v>
      </c>
      <c r="C169" s="30" t="str">
        <f t="shared" si="13"/>
        <v/>
      </c>
      <c r="D169" s="41" t="str">
        <f t="shared" si="14"/>
        <v/>
      </c>
      <c r="E169" s="41" t="str">
        <f t="shared" si="15"/>
        <v/>
      </c>
      <c r="F169" s="16">
        <v>2030.25</v>
      </c>
      <c r="G169" s="16">
        <v>267.13</v>
      </c>
      <c r="H169" s="16">
        <v>19.399999999999999</v>
      </c>
      <c r="I169" s="16">
        <v>1361.87</v>
      </c>
      <c r="J169" s="13">
        <v>542.29999999999995</v>
      </c>
      <c r="K169" s="14">
        <v>988.15</v>
      </c>
    </row>
    <row r="170" spans="1:11" ht="18" customHeight="1">
      <c r="A170" s="9">
        <v>40909</v>
      </c>
      <c r="B170" s="3">
        <v>1.2748459999999999</v>
      </c>
      <c r="C170" s="30" t="str">
        <f t="shared" si="13"/>
        <v/>
      </c>
      <c r="D170" s="41" t="str">
        <f t="shared" si="14"/>
        <v/>
      </c>
      <c r="E170" s="41" t="str">
        <f t="shared" si="15"/>
        <v/>
      </c>
      <c r="F170" s="16">
        <v>1955.79</v>
      </c>
      <c r="G170" s="16">
        <v>256.89999999999998</v>
      </c>
      <c r="H170" s="16">
        <v>23.36</v>
      </c>
      <c r="I170" s="16">
        <v>1316.01</v>
      </c>
      <c r="J170" s="14">
        <v>513.99</v>
      </c>
      <c r="K170" s="14">
        <v>966.47</v>
      </c>
    </row>
    <row r="171" spans="1:11" ht="18" customHeight="1">
      <c r="A171" s="9">
        <v>40878</v>
      </c>
      <c r="B171" s="3">
        <v>1.1906669999999999</v>
      </c>
      <c r="C171" s="30" t="str">
        <f t="shared" si="13"/>
        <v/>
      </c>
      <c r="D171" s="41" t="str">
        <f t="shared" si="14"/>
        <v/>
      </c>
      <c r="E171" s="41" t="str">
        <f t="shared" si="15"/>
        <v/>
      </c>
      <c r="F171" s="16">
        <v>1825.74</v>
      </c>
      <c r="G171" s="16">
        <v>238.08</v>
      </c>
      <c r="H171" s="16">
        <v>26.4</v>
      </c>
      <c r="I171" s="16">
        <v>1215.8800000000001</v>
      </c>
      <c r="J171" s="14">
        <v>500.18</v>
      </c>
      <c r="K171" s="14">
        <v>965.62</v>
      </c>
    </row>
    <row r="172" spans="1:11" ht="18" customHeight="1">
      <c r="A172" s="9">
        <v>40848</v>
      </c>
      <c r="B172" s="3">
        <v>1.2039150000000001</v>
      </c>
      <c r="C172" s="30" t="str">
        <f t="shared" si="13"/>
        <v/>
      </c>
      <c r="D172" s="41" t="str">
        <f t="shared" si="14"/>
        <v/>
      </c>
      <c r="E172" s="41" t="str">
        <f t="shared" si="15"/>
        <v/>
      </c>
      <c r="F172" s="16">
        <v>1847.51</v>
      </c>
      <c r="G172" s="16">
        <v>241.19</v>
      </c>
      <c r="H172" s="16">
        <v>29.04</v>
      </c>
      <c r="I172" s="16">
        <v>1223.58</v>
      </c>
      <c r="J172" s="14">
        <v>492.81</v>
      </c>
      <c r="K172" s="14">
        <v>973.91</v>
      </c>
    </row>
    <row r="173" spans="1:11" ht="18" customHeight="1">
      <c r="A173" s="9">
        <v>40817</v>
      </c>
      <c r="B173" s="3">
        <v>1.2442869999999999</v>
      </c>
      <c r="C173" s="30" t="str">
        <f t="shared" si="13"/>
        <v/>
      </c>
      <c r="D173" s="41" t="str">
        <f t="shared" si="14"/>
        <v/>
      </c>
      <c r="E173" s="41" t="str">
        <f t="shared" si="15"/>
        <v/>
      </c>
      <c r="F173" s="16">
        <v>1909.03</v>
      </c>
      <c r="G173" s="16">
        <v>249.88</v>
      </c>
      <c r="H173" s="16">
        <v>31.02</v>
      </c>
      <c r="I173" s="16">
        <v>1276.67</v>
      </c>
      <c r="J173" s="14">
        <v>490.69</v>
      </c>
      <c r="K173" s="13">
        <v>983.8</v>
      </c>
    </row>
    <row r="174" spans="1:11" ht="18" customHeight="1">
      <c r="A174" s="9">
        <v>40787</v>
      </c>
      <c r="B174" s="3">
        <v>1.151486</v>
      </c>
      <c r="C174" s="30" t="str">
        <f t="shared" si="13"/>
        <v/>
      </c>
      <c r="D174" s="41" t="str">
        <f t="shared" si="14"/>
        <v/>
      </c>
      <c r="E174" s="41" t="str">
        <f t="shared" si="15"/>
        <v/>
      </c>
      <c r="F174" s="16">
        <v>1769.65</v>
      </c>
      <c r="G174" s="16">
        <v>230.41</v>
      </c>
      <c r="H174" s="16">
        <v>40.56</v>
      </c>
      <c r="I174" s="16">
        <v>1162.3599999999999</v>
      </c>
      <c r="J174" s="14">
        <v>449.66</v>
      </c>
      <c r="K174" s="14">
        <v>916.17</v>
      </c>
    </row>
    <row r="175" spans="1:11" ht="18" customHeight="1">
      <c r="A175" s="9">
        <v>40756</v>
      </c>
      <c r="B175" s="3">
        <v>1.224227</v>
      </c>
      <c r="C175" s="30" t="str">
        <f t="shared" si="13"/>
        <v/>
      </c>
      <c r="D175" s="41" t="str">
        <f t="shared" si="14"/>
        <v/>
      </c>
      <c r="E175" s="41" t="str">
        <f t="shared" si="15"/>
        <v/>
      </c>
      <c r="F175" s="16">
        <v>1880.11</v>
      </c>
      <c r="G175" s="16">
        <v>242.16</v>
      </c>
      <c r="H175" s="16">
        <v>28.05</v>
      </c>
      <c r="I175" s="16">
        <v>1216.98</v>
      </c>
      <c r="J175" s="14">
        <v>493.44</v>
      </c>
      <c r="K175" s="13">
        <v>987.9</v>
      </c>
    </row>
    <row r="176" spans="1:11" ht="18" customHeight="1">
      <c r="A176" s="9">
        <v>40725</v>
      </c>
      <c r="B176" s="3">
        <v>1.3914200000000001</v>
      </c>
      <c r="C176" s="30" t="str">
        <f t="shared" si="13"/>
        <v/>
      </c>
      <c r="D176" s="41" t="str">
        <f t="shared" si="14"/>
        <v/>
      </c>
      <c r="E176" s="41" t="str">
        <f t="shared" si="15"/>
        <v/>
      </c>
      <c r="F176" s="16">
        <v>2133.21</v>
      </c>
      <c r="G176" s="16">
        <v>277.11</v>
      </c>
      <c r="H176" s="16">
        <v>21</v>
      </c>
      <c r="I176" s="16">
        <v>1401.67</v>
      </c>
      <c r="J176" s="14">
        <v>536.04999999999995</v>
      </c>
      <c r="K176" s="14">
        <v>1070.3900000000001</v>
      </c>
    </row>
    <row r="177" spans="1:11" ht="18" customHeight="1">
      <c r="A177" s="9">
        <v>40695</v>
      </c>
      <c r="B177" s="3">
        <v>1.3809899999999999</v>
      </c>
      <c r="C177" s="30" t="str">
        <f t="shared" si="13"/>
        <v/>
      </c>
      <c r="D177" s="41" t="str">
        <f t="shared" si="14"/>
        <v/>
      </c>
      <c r="E177" s="41" t="str">
        <f t="shared" si="15"/>
        <v/>
      </c>
      <c r="F177" s="16">
        <v>2100.69</v>
      </c>
      <c r="G177" s="16">
        <v>275.17</v>
      </c>
      <c r="H177" s="16">
        <v>19.239999999999998</v>
      </c>
      <c r="I177" s="16">
        <v>1393.86</v>
      </c>
      <c r="J177" s="14">
        <v>479.55</v>
      </c>
      <c r="K177" s="14">
        <v>952.97</v>
      </c>
    </row>
    <row r="178" spans="1:11" ht="18" customHeight="1">
      <c r="A178" s="9">
        <v>40664</v>
      </c>
      <c r="B178" s="3">
        <v>1.4063650000000001</v>
      </c>
      <c r="C178" s="30" t="str">
        <f t="shared" si="13"/>
        <v/>
      </c>
      <c r="D178" s="41" t="str">
        <f t="shared" si="14"/>
        <v/>
      </c>
      <c r="E178" s="41" t="str">
        <f t="shared" si="15"/>
        <v/>
      </c>
      <c r="F178" s="16">
        <v>2142.4699999999998</v>
      </c>
      <c r="G178" s="16">
        <v>282.76</v>
      </c>
      <c r="H178" s="16">
        <v>18.559999999999999</v>
      </c>
      <c r="I178" s="16">
        <v>1429.99</v>
      </c>
      <c r="J178" s="14">
        <v>484.54</v>
      </c>
      <c r="K178" s="14">
        <v>948.75</v>
      </c>
    </row>
    <row r="179" spans="1:11" ht="18" customHeight="1">
      <c r="A179" s="9">
        <v>40634</v>
      </c>
      <c r="B179" s="3">
        <v>1.4379519999999999</v>
      </c>
      <c r="C179" s="30" t="str">
        <f t="shared" si="13"/>
        <v/>
      </c>
      <c r="D179" s="41" t="str">
        <f t="shared" si="14"/>
        <v/>
      </c>
      <c r="E179" s="41" t="str">
        <f t="shared" si="15"/>
        <v/>
      </c>
      <c r="F179" s="16">
        <v>2192.36</v>
      </c>
      <c r="G179" s="16">
        <v>290.39</v>
      </c>
      <c r="H179" s="16">
        <v>18.36</v>
      </c>
      <c r="I179" s="16">
        <v>1470.69</v>
      </c>
      <c r="J179" s="15">
        <v>511</v>
      </c>
      <c r="K179" s="14">
        <v>994.75</v>
      </c>
    </row>
    <row r="180" spans="1:11" ht="18" customHeight="1">
      <c r="A180" s="9">
        <v>40603</v>
      </c>
      <c r="B180" s="3">
        <v>1.549609</v>
      </c>
      <c r="C180" s="30" t="str">
        <f t="shared" si="13"/>
        <v/>
      </c>
      <c r="D180" s="41" t="str">
        <f t="shared" si="14"/>
        <v/>
      </c>
      <c r="E180" s="41" t="str">
        <f t="shared" si="15"/>
        <v/>
      </c>
      <c r="F180" s="16">
        <v>2106.6999999999998</v>
      </c>
      <c r="G180" s="16">
        <v>278.87</v>
      </c>
      <c r="H180" s="16">
        <v>16.57</v>
      </c>
      <c r="I180" s="16">
        <v>1419.37</v>
      </c>
      <c r="J180" s="14">
        <v>525.41999999999996</v>
      </c>
      <c r="K180" s="14">
        <v>1033.07</v>
      </c>
    </row>
    <row r="181" spans="1:11" ht="18" customHeight="1">
      <c r="A181" s="9">
        <v>40575</v>
      </c>
      <c r="B181" s="3">
        <v>1.4250750000000001</v>
      </c>
      <c r="C181" s="30" t="str">
        <f t="shared" si="13"/>
        <v/>
      </c>
      <c r="D181" s="41" t="str">
        <f t="shared" si="14"/>
        <v/>
      </c>
      <c r="E181" s="41" t="str">
        <f t="shared" si="15"/>
        <v/>
      </c>
      <c r="F181" s="16">
        <v>1939.3</v>
      </c>
      <c r="G181" s="16">
        <v>256.36</v>
      </c>
      <c r="H181" s="16">
        <v>20.059999999999999</v>
      </c>
      <c r="I181" s="16">
        <v>1298.24</v>
      </c>
      <c r="J181" s="14">
        <v>504.46</v>
      </c>
      <c r="K181" s="14">
        <v>999.69</v>
      </c>
    </row>
    <row r="182" spans="1:11" ht="18" customHeight="1">
      <c r="A182" s="9">
        <v>40544</v>
      </c>
      <c r="B182" s="3">
        <v>1.521261</v>
      </c>
      <c r="C182" s="30" t="str">
        <f t="shared" si="13"/>
        <v/>
      </c>
      <c r="D182" s="41" t="str">
        <f t="shared" si="14"/>
        <v/>
      </c>
      <c r="E182" s="41" t="str">
        <f t="shared" si="15"/>
        <v/>
      </c>
      <c r="F182" s="16">
        <v>2069.73</v>
      </c>
      <c r="G182" s="16">
        <v>273.12</v>
      </c>
      <c r="H182" s="16">
        <v>16.3</v>
      </c>
      <c r="I182" s="16">
        <v>1392.19</v>
      </c>
      <c r="J182" s="14">
        <v>521.38</v>
      </c>
      <c r="K182" s="14">
        <v>1037.72</v>
      </c>
    </row>
    <row r="183" spans="1:11" ht="18" customHeight="1">
      <c r="A183" s="9">
        <v>40513</v>
      </c>
      <c r="B183" s="3">
        <v>1.5031829999999999</v>
      </c>
      <c r="C183" s="30" t="str">
        <f t="shared" si="13"/>
        <v/>
      </c>
      <c r="D183" s="41" t="str">
        <f t="shared" si="14"/>
        <v/>
      </c>
      <c r="E183" s="41" t="str">
        <f t="shared" si="15"/>
        <v/>
      </c>
      <c r="F183" s="16">
        <v>2051</v>
      </c>
      <c r="G183" s="16">
        <v>271.19</v>
      </c>
      <c r="H183" s="16">
        <v>15.83</v>
      </c>
      <c r="I183" s="16">
        <v>1391.42</v>
      </c>
      <c r="J183" s="14">
        <v>510.69</v>
      </c>
      <c r="K183" s="13">
        <v>997.9</v>
      </c>
    </row>
    <row r="184" spans="1:11" ht="18" customHeight="1">
      <c r="A184" s="9">
        <v>40483</v>
      </c>
      <c r="B184" s="3">
        <v>1.3943779999999999</v>
      </c>
      <c r="C184" s="30" t="str">
        <f t="shared" si="13"/>
        <v/>
      </c>
      <c r="D184" s="41" t="str">
        <f t="shared" si="14"/>
        <v/>
      </c>
      <c r="E184" s="41" t="str">
        <f t="shared" si="15"/>
        <v/>
      </c>
      <c r="F184" s="16">
        <v>1904.63</v>
      </c>
      <c r="G184" s="16">
        <v>249.64</v>
      </c>
      <c r="H184" s="16">
        <v>22.76</v>
      </c>
      <c r="I184" s="16">
        <v>1269.1500000000001</v>
      </c>
      <c r="J184" s="14">
        <v>498.39</v>
      </c>
      <c r="K184" s="14">
        <v>971.73</v>
      </c>
    </row>
    <row r="185" spans="1:11" ht="18" customHeight="1">
      <c r="A185" s="9">
        <v>40452</v>
      </c>
      <c r="B185" s="3">
        <v>1.3795040000000001</v>
      </c>
      <c r="C185" s="30" t="str">
        <f t="shared" si="13"/>
        <v/>
      </c>
      <c r="D185" s="41" t="str">
        <f t="shared" si="14"/>
        <v/>
      </c>
      <c r="E185" s="41" t="str">
        <f t="shared" si="15"/>
        <v/>
      </c>
      <c r="F185" s="16">
        <v>1882.95</v>
      </c>
      <c r="G185" s="16">
        <v>242.98</v>
      </c>
      <c r="H185" s="16">
        <v>18.600000000000001</v>
      </c>
      <c r="I185" s="16">
        <v>1226.1099999999999</v>
      </c>
      <c r="J185" s="14">
        <v>526.45000000000005</v>
      </c>
      <c r="K185" s="14">
        <v>1019.44</v>
      </c>
    </row>
    <row r="186" spans="1:11" ht="18" customHeight="1">
      <c r="A186" s="9">
        <v>40422</v>
      </c>
      <c r="B186" s="3">
        <v>1.371021</v>
      </c>
      <c r="C186" s="30" t="str">
        <f t="shared" si="13"/>
        <v/>
      </c>
      <c r="D186" s="41" t="str">
        <f t="shared" si="14"/>
        <v/>
      </c>
      <c r="E186" s="41" t="str">
        <f t="shared" si="15"/>
        <v/>
      </c>
      <c r="F186" s="16">
        <v>1872.81</v>
      </c>
      <c r="G186" s="16">
        <v>242.95</v>
      </c>
      <c r="H186" s="16">
        <v>16.77</v>
      </c>
      <c r="I186" s="16">
        <v>1234.21</v>
      </c>
      <c r="J186" s="14">
        <v>492.75</v>
      </c>
      <c r="K186" s="14">
        <v>963.37</v>
      </c>
    </row>
    <row r="187" spans="1:11" ht="18" customHeight="1">
      <c r="A187" s="9">
        <v>40391</v>
      </c>
      <c r="B187" s="3">
        <v>1.2758419999999999</v>
      </c>
      <c r="C187" s="30" t="str">
        <f t="shared" si="13"/>
        <v/>
      </c>
      <c r="D187" s="41" t="str">
        <f t="shared" si="14"/>
        <v/>
      </c>
      <c r="E187" s="41" t="str">
        <f t="shared" si="15"/>
        <v/>
      </c>
      <c r="F187" s="16">
        <v>1742.75</v>
      </c>
      <c r="G187" s="16">
        <v>226.81</v>
      </c>
      <c r="H187" s="16">
        <v>18.79</v>
      </c>
      <c r="I187" s="16">
        <v>1149.3499999999999</v>
      </c>
      <c r="J187" s="14">
        <v>464.71</v>
      </c>
      <c r="K187" s="14">
        <v>889.81</v>
      </c>
    </row>
    <row r="188" spans="1:11" ht="18" customHeight="1">
      <c r="A188" s="9">
        <v>40360</v>
      </c>
      <c r="B188" s="3">
        <v>1.286538</v>
      </c>
      <c r="C188" s="30" t="str">
        <f t="shared" si="13"/>
        <v/>
      </c>
      <c r="D188" s="41" t="str">
        <f t="shared" si="14"/>
        <v/>
      </c>
      <c r="E188" s="41" t="str">
        <f t="shared" si="15"/>
        <v/>
      </c>
      <c r="F188" s="16">
        <v>1759.33</v>
      </c>
      <c r="G188" s="16">
        <v>229.25</v>
      </c>
      <c r="H188" s="16">
        <v>19.260000000000002</v>
      </c>
      <c r="I188" s="16">
        <v>1167.8699999999999</v>
      </c>
      <c r="J188" s="14">
        <v>481.45</v>
      </c>
      <c r="K188" s="14">
        <v>918.99</v>
      </c>
    </row>
    <row r="189" spans="1:11" ht="18" customHeight="1">
      <c r="A189" s="9">
        <v>40330</v>
      </c>
      <c r="B189" s="3">
        <v>1.260346</v>
      </c>
      <c r="C189" s="30" t="str">
        <f t="shared" si="13"/>
        <v/>
      </c>
      <c r="D189" s="41" t="str">
        <f t="shared" si="14"/>
        <v/>
      </c>
      <c r="E189" s="41" t="str">
        <f t="shared" si="15"/>
        <v/>
      </c>
      <c r="F189" s="16">
        <v>1698.29</v>
      </c>
      <c r="G189" s="16">
        <v>220.85</v>
      </c>
      <c r="H189" s="16">
        <v>21.9</v>
      </c>
      <c r="I189" s="16">
        <v>1119.93</v>
      </c>
      <c r="J189" s="14">
        <v>489.98</v>
      </c>
      <c r="K189" s="14">
        <v>943.44</v>
      </c>
    </row>
    <row r="190" spans="1:11" ht="18" customHeight="1">
      <c r="A190" s="9">
        <v>40299</v>
      </c>
      <c r="B190" s="3">
        <v>1.2201850000000001</v>
      </c>
      <c r="C190" s="30" t="str">
        <f t="shared" si="13"/>
        <v/>
      </c>
      <c r="D190" s="41" t="str">
        <f t="shared" si="14"/>
        <v/>
      </c>
      <c r="E190" s="41" t="str">
        <f t="shared" si="15"/>
        <v/>
      </c>
      <c r="F190" s="16">
        <v>1641.25</v>
      </c>
      <c r="G190" s="16">
        <v>214.34</v>
      </c>
      <c r="H190" s="16">
        <v>24.01</v>
      </c>
      <c r="I190" s="16">
        <v>1079.8599999999999</v>
      </c>
      <c r="J190" s="14">
        <v>489.42</v>
      </c>
      <c r="K190" s="14">
        <v>939.54</v>
      </c>
    </row>
    <row r="191" spans="1:11" ht="18" customHeight="1">
      <c r="A191" s="9">
        <v>40269</v>
      </c>
      <c r="B191" s="3">
        <v>1.273026</v>
      </c>
      <c r="C191" s="30" t="str">
        <f t="shared" si="13"/>
        <v/>
      </c>
      <c r="D191" s="41" t="str">
        <f t="shared" si="14"/>
        <v/>
      </c>
      <c r="E191" s="41" t="str">
        <f t="shared" si="15"/>
        <v/>
      </c>
      <c r="F191" s="16">
        <v>1741.56</v>
      </c>
      <c r="G191" s="16">
        <v>227.95</v>
      </c>
      <c r="H191" s="16">
        <v>18.27</v>
      </c>
      <c r="I191" s="16">
        <v>1159.4100000000001</v>
      </c>
      <c r="J191" s="14">
        <v>523.75</v>
      </c>
      <c r="K191" s="14">
        <v>985.47</v>
      </c>
    </row>
    <row r="192" spans="1:11" ht="18" customHeight="1">
      <c r="A192" s="9">
        <v>40238</v>
      </c>
      <c r="B192" s="3">
        <v>1.3561719999999999</v>
      </c>
      <c r="C192" s="30" t="str">
        <f t="shared" si="13"/>
        <v/>
      </c>
      <c r="D192" s="41" t="str">
        <f t="shared" si="14"/>
        <v/>
      </c>
      <c r="E192" s="41" t="str">
        <f t="shared" si="15"/>
        <v/>
      </c>
      <c r="F192" s="16">
        <v>1692.85</v>
      </c>
      <c r="G192" s="16">
        <v>221.58</v>
      </c>
      <c r="H192" s="16">
        <v>17.68</v>
      </c>
      <c r="I192" s="16">
        <v>1128.25</v>
      </c>
      <c r="J192" s="14">
        <v>515.74</v>
      </c>
      <c r="K192" s="37">
        <v>957.81</v>
      </c>
    </row>
    <row r="193" spans="1:20" ht="18" customHeight="1">
      <c r="A193" s="9">
        <v>40210</v>
      </c>
      <c r="B193" s="3">
        <v>1.2761750000000001</v>
      </c>
      <c r="C193" s="30" t="str">
        <f t="shared" si="13"/>
        <v/>
      </c>
      <c r="D193" s="41" t="str">
        <f t="shared" si="14"/>
        <v/>
      </c>
      <c r="E193" s="41" t="str">
        <f t="shared" si="15"/>
        <v/>
      </c>
      <c r="F193" s="16">
        <v>1594.58</v>
      </c>
      <c r="G193" s="16">
        <v>208.36</v>
      </c>
      <c r="H193" s="16">
        <v>20.59</v>
      </c>
      <c r="I193" s="16">
        <v>1054.43</v>
      </c>
      <c r="J193" s="14">
        <v>507.03</v>
      </c>
      <c r="K193" s="37">
        <v>928.29</v>
      </c>
    </row>
    <row r="194" spans="1:20" ht="18" customHeight="1">
      <c r="A194" s="9">
        <v>40179</v>
      </c>
      <c r="B194" s="3">
        <v>1.2835559999999999</v>
      </c>
      <c r="C194" s="30" t="str">
        <f t="shared" si="13"/>
        <v/>
      </c>
      <c r="D194" s="41" t="str">
        <f t="shared" si="14"/>
        <v/>
      </c>
      <c r="E194" s="41" t="str">
        <f t="shared" si="15"/>
        <v/>
      </c>
      <c r="F194" s="16">
        <v>1602.43</v>
      </c>
      <c r="G194" s="16">
        <v>210.34</v>
      </c>
      <c r="H194" s="16">
        <v>23.29</v>
      </c>
      <c r="I194" s="16">
        <v>1062.81</v>
      </c>
      <c r="J194" s="14">
        <v>496.57</v>
      </c>
      <c r="K194" s="37">
        <v>922.07</v>
      </c>
    </row>
    <row r="195" spans="1:20" ht="18" customHeight="1">
      <c r="A195" s="9">
        <v>40148</v>
      </c>
      <c r="B195" s="3">
        <v>1.3417349999999999</v>
      </c>
      <c r="C195" s="30" t="str">
        <f t="shared" si="13"/>
        <v/>
      </c>
      <c r="D195" s="41" t="str">
        <f t="shared" si="14"/>
        <v/>
      </c>
      <c r="E195" s="41" t="str">
        <f t="shared" si="15"/>
        <v/>
      </c>
      <c r="F195" s="16">
        <v>1682.77</v>
      </c>
      <c r="G195" s="16">
        <v>221.86</v>
      </c>
      <c r="H195" s="16">
        <v>20.350000000000001</v>
      </c>
      <c r="I195" s="16">
        <v>1129.3</v>
      </c>
      <c r="J195" s="14">
        <v>513.57000000000005</v>
      </c>
      <c r="K195" s="38">
        <f>(J195/J194)*K194</f>
        <v>953.63692913385842</v>
      </c>
    </row>
    <row r="196" spans="1:20" ht="18" customHeight="1">
      <c r="A196" s="9">
        <v>40118</v>
      </c>
      <c r="B196" s="3">
        <v>1.2312620000000001</v>
      </c>
      <c r="C196" s="30" t="str">
        <f t="shared" ref="C196:C259" si="16">IF(B196&lt;=C$1, "Risk", "")</f>
        <v/>
      </c>
      <c r="D196" s="41" t="str">
        <f t="shared" si="14"/>
        <v/>
      </c>
      <c r="E196" s="41" t="str">
        <f t="shared" si="15"/>
        <v/>
      </c>
      <c r="F196" s="16">
        <v>1555.6</v>
      </c>
      <c r="G196" s="16">
        <v>204.75</v>
      </c>
      <c r="H196" s="16">
        <v>21.94</v>
      </c>
      <c r="I196" s="16">
        <v>1025.05</v>
      </c>
      <c r="J196" s="14">
        <v>464.32</v>
      </c>
      <c r="K196" s="38">
        <f t="shared" ref="K196:K259" si="17">(J196/J195)*K195</f>
        <v>862.18567855488652</v>
      </c>
      <c r="T196" s="32"/>
    </row>
    <row r="197" spans="1:20" ht="18" customHeight="1">
      <c r="A197" s="9">
        <v>40087</v>
      </c>
      <c r="B197" s="3">
        <v>1.2495289999999999</v>
      </c>
      <c r="C197" s="30" t="str">
        <f t="shared" si="16"/>
        <v/>
      </c>
      <c r="D197" s="41" t="str">
        <f t="shared" ref="D197:D260" si="18">IF(B197&lt;=D$1, "Risk", "")</f>
        <v/>
      </c>
      <c r="E197" s="41" t="str">
        <f t="shared" ref="E197:E260" si="19">IF(B197&lt;=E$1, "Risk", "")</f>
        <v/>
      </c>
      <c r="F197" s="16">
        <v>1580.69</v>
      </c>
      <c r="G197" s="16">
        <v>206.81</v>
      </c>
      <c r="H197" s="16">
        <v>25.41</v>
      </c>
      <c r="I197" s="16">
        <v>1032.8399999999999</v>
      </c>
      <c r="J197" s="14">
        <v>486.46</v>
      </c>
      <c r="K197" s="38">
        <f t="shared" si="17"/>
        <v>903.29696155627596</v>
      </c>
      <c r="S197" s="33"/>
      <c r="T197" s="32"/>
    </row>
    <row r="198" spans="1:20" ht="18" customHeight="1">
      <c r="A198" s="9">
        <v>40057</v>
      </c>
      <c r="B198" s="3">
        <v>1.3212820000000001</v>
      </c>
      <c r="C198" s="30" t="str">
        <f t="shared" si="16"/>
        <v/>
      </c>
      <c r="D198" s="41" t="str">
        <f t="shared" si="18"/>
        <v/>
      </c>
      <c r="E198" s="41" t="str">
        <f t="shared" si="19"/>
        <v/>
      </c>
      <c r="F198" s="16">
        <v>1673.14</v>
      </c>
      <c r="G198" s="16">
        <v>219.75</v>
      </c>
      <c r="H198" s="16">
        <v>22.85</v>
      </c>
      <c r="I198" s="16">
        <v>1112.79</v>
      </c>
      <c r="J198" s="14">
        <v>505.94</v>
      </c>
      <c r="K198" s="38">
        <f t="shared" si="17"/>
        <v>939.468948587309</v>
      </c>
      <c r="R198" s="33"/>
      <c r="S198" s="33"/>
      <c r="T198" s="32"/>
    </row>
    <row r="199" spans="1:20" ht="18" customHeight="1">
      <c r="A199" s="9">
        <v>40026</v>
      </c>
      <c r="B199" s="11">
        <v>1.2603839999999999</v>
      </c>
      <c r="C199" s="30" t="str">
        <f t="shared" si="16"/>
        <v/>
      </c>
      <c r="D199" s="41" t="str">
        <f t="shared" si="18"/>
        <v/>
      </c>
      <c r="E199" s="41" t="str">
        <f t="shared" si="19"/>
        <v/>
      </c>
      <c r="F199" s="16">
        <v>1591.85</v>
      </c>
      <c r="G199" s="16">
        <v>207.44</v>
      </c>
      <c r="H199" s="16">
        <v>23.97</v>
      </c>
      <c r="I199" s="16">
        <v>1041.1099999999999</v>
      </c>
      <c r="J199" s="13">
        <v>514.70000000000005</v>
      </c>
      <c r="K199" s="38">
        <f t="shared" si="17"/>
        <v>955.73520148216789</v>
      </c>
      <c r="Q199" s="33"/>
      <c r="R199" s="33"/>
      <c r="S199" s="33"/>
      <c r="T199" s="32"/>
    </row>
    <row r="200" spans="1:20" ht="18" customHeight="1">
      <c r="A200" s="9">
        <v>39995</v>
      </c>
      <c r="B200" s="11">
        <v>1.2340770000000001</v>
      </c>
      <c r="C200" s="30" t="str">
        <f t="shared" si="16"/>
        <v/>
      </c>
      <c r="D200" s="41" t="str">
        <f t="shared" si="18"/>
        <v/>
      </c>
      <c r="E200" s="41" t="str">
        <f t="shared" si="19"/>
        <v/>
      </c>
      <c r="F200" s="16">
        <v>1557.29</v>
      </c>
      <c r="G200" s="16">
        <v>202.96</v>
      </c>
      <c r="H200" s="16">
        <v>25.62</v>
      </c>
      <c r="I200" s="16">
        <v>1023.23</v>
      </c>
      <c r="J200" s="14">
        <v>504.35</v>
      </c>
      <c r="K200" s="38">
        <f t="shared" si="17"/>
        <v>936.5165122742012</v>
      </c>
      <c r="P200" s="33"/>
      <c r="Q200" s="33"/>
      <c r="R200" s="33"/>
      <c r="S200" s="33"/>
      <c r="T200" s="32"/>
    </row>
    <row r="201" spans="1:20" ht="18" customHeight="1">
      <c r="A201" s="9">
        <v>39965</v>
      </c>
      <c r="B201" s="11">
        <v>1.103451</v>
      </c>
      <c r="C201" s="30" t="str">
        <f t="shared" si="16"/>
        <v/>
      </c>
      <c r="D201" s="41" t="str">
        <f t="shared" si="18"/>
        <v/>
      </c>
      <c r="E201" s="41" t="str">
        <f t="shared" si="19"/>
        <v/>
      </c>
      <c r="F201" s="16">
        <v>1390.07</v>
      </c>
      <c r="G201" s="16">
        <v>178.99</v>
      </c>
      <c r="H201" s="16">
        <v>27.26</v>
      </c>
      <c r="I201" s="16">
        <v>899.36</v>
      </c>
      <c r="J201" s="14">
        <v>485.15</v>
      </c>
      <c r="K201" s="38">
        <f t="shared" si="17"/>
        <v>900.86445113478464</v>
      </c>
      <c r="O201" s="33"/>
      <c r="P201" s="32"/>
      <c r="Q201" s="32"/>
      <c r="R201" s="32"/>
      <c r="S201" s="32"/>
      <c r="T201" s="32"/>
    </row>
    <row r="202" spans="1:20" ht="18" customHeight="1">
      <c r="A202" s="9">
        <v>39934</v>
      </c>
      <c r="B202" s="11">
        <v>1.108449</v>
      </c>
      <c r="C202" s="30" t="str">
        <f t="shared" si="16"/>
        <v/>
      </c>
      <c r="D202" s="41" t="str">
        <f t="shared" si="18"/>
        <v/>
      </c>
      <c r="E202" s="41" t="str">
        <f t="shared" si="19"/>
        <v/>
      </c>
      <c r="F202" s="16">
        <v>1395.89</v>
      </c>
      <c r="G202" s="16">
        <v>178.7</v>
      </c>
      <c r="H202" s="16">
        <v>33.42</v>
      </c>
      <c r="I202" s="16">
        <v>895.72</v>
      </c>
      <c r="J202" s="13">
        <v>528.79999999999995</v>
      </c>
      <c r="K202" s="38">
        <f t="shared" si="17"/>
        <v>981.91718388142658</v>
      </c>
      <c r="N202" s="33"/>
      <c r="O202" s="33"/>
      <c r="P202" s="32"/>
      <c r="Q202" s="32"/>
      <c r="R202" s="32"/>
      <c r="S202" s="32"/>
      <c r="T202" s="32"/>
    </row>
    <row r="203" spans="1:20" ht="18" customHeight="1">
      <c r="A203" s="9">
        <v>39904</v>
      </c>
      <c r="B203" s="11">
        <v>1.148882</v>
      </c>
      <c r="C203" s="30" t="str">
        <f t="shared" si="16"/>
        <v/>
      </c>
      <c r="D203" s="41" t="str">
        <f t="shared" si="18"/>
        <v/>
      </c>
      <c r="E203" s="41" t="str">
        <f t="shared" si="19"/>
        <v/>
      </c>
      <c r="F203" s="16">
        <v>1369.36</v>
      </c>
      <c r="G203" s="16">
        <v>176</v>
      </c>
      <c r="H203" s="16">
        <v>34.57</v>
      </c>
      <c r="I203" s="16">
        <v>891.93</v>
      </c>
      <c r="J203" s="14">
        <v>500.98</v>
      </c>
      <c r="K203" s="38">
        <f t="shared" si="17"/>
        <v>930.25883279295988</v>
      </c>
      <c r="M203" s="33"/>
      <c r="N203" s="33"/>
      <c r="O203" s="33"/>
      <c r="P203" s="32"/>
      <c r="Q203" s="32"/>
      <c r="R203" s="32"/>
      <c r="S203" s="32"/>
      <c r="T203" s="32"/>
    </row>
    <row r="204" spans="1:20" ht="18" customHeight="1">
      <c r="A204" s="9">
        <v>39873</v>
      </c>
      <c r="B204" s="11">
        <v>1.0096160000000001</v>
      </c>
      <c r="C204" s="30" t="str">
        <f t="shared" si="16"/>
        <v/>
      </c>
      <c r="D204" s="41" t="str">
        <f t="shared" si="18"/>
        <v/>
      </c>
      <c r="E204" s="41" t="str">
        <f t="shared" si="19"/>
        <v/>
      </c>
      <c r="F204" s="16">
        <v>1206.26</v>
      </c>
      <c r="G204" s="16">
        <v>157.01</v>
      </c>
      <c r="H204" s="16">
        <v>39.56</v>
      </c>
      <c r="I204" s="16">
        <v>798.32</v>
      </c>
      <c r="J204" s="14">
        <v>421.44</v>
      </c>
      <c r="K204" s="38">
        <f t="shared" si="17"/>
        <v>782.56274201019005</v>
      </c>
      <c r="L204" s="33"/>
      <c r="M204" s="33"/>
      <c r="N204" s="33"/>
      <c r="O204" s="33"/>
      <c r="P204" s="32"/>
      <c r="Q204" s="32"/>
      <c r="R204" s="32"/>
      <c r="S204" s="32"/>
      <c r="T204" s="32"/>
    </row>
    <row r="205" spans="1:20" ht="18" customHeight="1">
      <c r="A205" s="9">
        <v>39845</v>
      </c>
      <c r="B205" s="3">
        <v>0.89</v>
      </c>
      <c r="C205" s="30" t="str">
        <f t="shared" si="16"/>
        <v>Risk</v>
      </c>
      <c r="D205" s="41" t="str">
        <f t="shared" si="18"/>
        <v>Risk</v>
      </c>
      <c r="E205" s="41" t="str">
        <f t="shared" si="19"/>
        <v/>
      </c>
      <c r="F205" s="16">
        <v>1063.03</v>
      </c>
      <c r="G205" s="16">
        <v>138.07</v>
      </c>
      <c r="H205" s="16">
        <v>47.36</v>
      </c>
      <c r="I205" s="16">
        <v>694.11</v>
      </c>
      <c r="J205" s="14">
        <v>363.21</v>
      </c>
      <c r="K205" s="38">
        <f t="shared" si="17"/>
        <v>674.43672533580377</v>
      </c>
      <c r="L205" s="33"/>
      <c r="M205" s="33"/>
      <c r="N205" s="33"/>
      <c r="O205" s="33"/>
      <c r="P205" s="32"/>
      <c r="Q205" s="32"/>
      <c r="R205" s="32"/>
      <c r="S205" s="32"/>
      <c r="T205" s="32"/>
    </row>
    <row r="206" spans="1:20" ht="18" customHeight="1">
      <c r="A206" s="9">
        <v>39814</v>
      </c>
      <c r="B206" s="3">
        <v>0.97</v>
      </c>
      <c r="C206" s="30" t="str">
        <f t="shared" si="16"/>
        <v/>
      </c>
      <c r="D206" s="41" t="str">
        <f t="shared" si="18"/>
        <v/>
      </c>
      <c r="E206" s="41" t="str">
        <f t="shared" si="19"/>
        <v/>
      </c>
      <c r="F206" s="16">
        <v>1162.1099999999999</v>
      </c>
      <c r="G206" s="16">
        <v>151.33000000000001</v>
      </c>
      <c r="H206" s="16">
        <v>48.21</v>
      </c>
      <c r="I206" s="16">
        <v>768.59</v>
      </c>
      <c r="J206" s="13">
        <v>364.9</v>
      </c>
      <c r="K206" s="28">
        <f t="shared" si="17"/>
        <v>677.5748494673461</v>
      </c>
      <c r="L206" s="33"/>
      <c r="M206" s="33"/>
      <c r="N206" s="33"/>
      <c r="O206" s="33"/>
      <c r="P206" s="32"/>
      <c r="Q206" s="32"/>
      <c r="R206" s="32"/>
      <c r="S206" s="32"/>
      <c r="T206" s="32"/>
    </row>
    <row r="207" spans="1:20" ht="18" customHeight="1">
      <c r="A207" s="9">
        <v>39783</v>
      </c>
      <c r="B207" s="3">
        <v>0.94</v>
      </c>
      <c r="C207" s="30" t="str">
        <f t="shared" si="16"/>
        <v>Risk</v>
      </c>
      <c r="D207" s="41" t="str">
        <f t="shared" si="18"/>
        <v/>
      </c>
      <c r="E207" s="41" t="str">
        <f t="shared" si="19"/>
        <v/>
      </c>
      <c r="F207" s="16">
        <v>1124.47</v>
      </c>
      <c r="G207" s="16">
        <v>146.35</v>
      </c>
      <c r="H207" s="16">
        <v>48.61</v>
      </c>
      <c r="I207" s="16">
        <v>744.27</v>
      </c>
      <c r="J207" s="14">
        <v>332.05</v>
      </c>
      <c r="K207" s="28">
        <f t="shared" si="17"/>
        <v>616.57640111162596</v>
      </c>
      <c r="L207" s="33"/>
      <c r="M207" s="33"/>
      <c r="N207" s="33"/>
      <c r="O207" s="33"/>
      <c r="P207" s="32"/>
      <c r="Q207" s="32"/>
      <c r="R207" s="32"/>
      <c r="S207" s="32"/>
      <c r="T207" s="32"/>
    </row>
    <row r="208" spans="1:20" ht="18" customHeight="1">
      <c r="A208" s="9">
        <v>39753</v>
      </c>
      <c r="B208" s="3">
        <v>0.9</v>
      </c>
      <c r="C208" s="30" t="str">
        <f t="shared" si="16"/>
        <v>Risk</v>
      </c>
      <c r="D208" s="41" t="str">
        <f t="shared" si="18"/>
        <v>Risk</v>
      </c>
      <c r="E208" s="41" t="str">
        <f t="shared" si="19"/>
        <v/>
      </c>
      <c r="F208" s="16">
        <v>1076.07</v>
      </c>
      <c r="G208" s="16">
        <v>140.66</v>
      </c>
      <c r="H208" s="16">
        <v>57.79</v>
      </c>
      <c r="I208" s="16">
        <v>706.45</v>
      </c>
      <c r="J208" s="14">
        <v>307.48</v>
      </c>
      <c r="K208" s="28">
        <f t="shared" si="17"/>
        <v>570.95290412227905</v>
      </c>
      <c r="L208" s="35">
        <f>1+(($I204/$I208)-1)*2</f>
        <v>1.2600891782857953</v>
      </c>
      <c r="M208" s="35">
        <f>1+(($I203/$I208)-1)*2</f>
        <v>1.5251043952155139</v>
      </c>
      <c r="N208" s="35">
        <f>1+(($I202/$I208)-1)*2</f>
        <v>1.5358341000778539</v>
      </c>
      <c r="O208" s="35">
        <f>1+(($I201/$I208)-1)*2</f>
        <v>1.5461391464364072</v>
      </c>
      <c r="P208" s="35">
        <f>1+(($I200/$I208)-1)*2</f>
        <v>1.8968221388633304</v>
      </c>
      <c r="Q208" s="35">
        <f>1+(($I199/$I208)-1)*2</f>
        <v>1.9474414325146858</v>
      </c>
      <c r="R208" s="35">
        <f>1+(($I198/$I208)-1)*2</f>
        <v>2.1503715761908131</v>
      </c>
      <c r="S208" s="35">
        <f>1+(($I197/$I208)-1)*2</f>
        <v>1.9240285936725878</v>
      </c>
      <c r="T208" s="35">
        <f>1+(($I196/$I208)-1)*2</f>
        <v>1.901974662042607</v>
      </c>
    </row>
    <row r="209" spans="1:20" ht="18" customHeight="1">
      <c r="A209" s="9">
        <v>39722</v>
      </c>
      <c r="B209" s="3">
        <v>0.93</v>
      </c>
      <c r="C209" s="30" t="str">
        <f t="shared" si="16"/>
        <v>Risk</v>
      </c>
      <c r="D209" s="41" t="str">
        <f t="shared" si="18"/>
        <v/>
      </c>
      <c r="E209" s="41" t="str">
        <f t="shared" si="19"/>
        <v/>
      </c>
      <c r="F209" s="16">
        <v>1113.06</v>
      </c>
      <c r="G209" s="16">
        <v>147.5</v>
      </c>
      <c r="H209" s="16">
        <v>81.27</v>
      </c>
      <c r="I209" s="16">
        <v>740.18</v>
      </c>
      <c r="J209" s="14">
        <v>308.02999999999997</v>
      </c>
      <c r="K209" s="28">
        <f t="shared" si="17"/>
        <v>571.97418712366857</v>
      </c>
      <c r="L209" s="34">
        <f>$I208/$I209</f>
        <v>0.95443000351265916</v>
      </c>
      <c r="M209" s="34">
        <f t="shared" ref="M209:T209" si="20">$I208/$I209</f>
        <v>0.95443000351265916</v>
      </c>
      <c r="N209" s="34">
        <f t="shared" si="20"/>
        <v>0.95443000351265916</v>
      </c>
      <c r="O209" s="34">
        <f t="shared" si="20"/>
        <v>0.95443000351265916</v>
      </c>
      <c r="P209" s="34">
        <f t="shared" si="20"/>
        <v>0.95443000351265916</v>
      </c>
      <c r="Q209" s="34">
        <f t="shared" si="20"/>
        <v>0.95443000351265916</v>
      </c>
      <c r="R209" s="34">
        <f t="shared" si="20"/>
        <v>0.95443000351265916</v>
      </c>
      <c r="S209" s="34">
        <f t="shared" si="20"/>
        <v>0.95443000351265916</v>
      </c>
      <c r="T209" s="34">
        <f t="shared" si="20"/>
        <v>0.95443000351265916</v>
      </c>
    </row>
    <row r="210" spans="1:20" ht="18" customHeight="1">
      <c r="A210" s="9">
        <v>39692</v>
      </c>
      <c r="B210" s="3">
        <v>1.2</v>
      </c>
      <c r="C210" s="30" t="str">
        <f t="shared" si="16"/>
        <v/>
      </c>
      <c r="D210" s="41" t="str">
        <f t="shared" si="18"/>
        <v/>
      </c>
      <c r="E210" s="41" t="str">
        <f t="shared" si="19"/>
        <v/>
      </c>
      <c r="F210" s="16">
        <v>1448.06</v>
      </c>
      <c r="G210" s="16">
        <v>186.62</v>
      </c>
      <c r="H210" s="16">
        <v>36.78</v>
      </c>
      <c r="I210" s="16">
        <v>936.31</v>
      </c>
      <c r="J210" s="14">
        <v>440.77</v>
      </c>
      <c r="K210" s="28">
        <f t="shared" si="17"/>
        <v>818.45619731357147</v>
      </c>
    </row>
    <row r="211" spans="1:20" ht="18" customHeight="1">
      <c r="A211" s="9">
        <v>39661</v>
      </c>
      <c r="B211" s="3">
        <v>1.22</v>
      </c>
      <c r="C211" s="30" t="str">
        <f t="shared" si="16"/>
        <v/>
      </c>
      <c r="D211" s="41" t="str">
        <f t="shared" si="18"/>
        <v/>
      </c>
      <c r="E211" s="41" t="str">
        <f t="shared" si="19"/>
        <v/>
      </c>
      <c r="F211" s="16">
        <v>1474.24</v>
      </c>
      <c r="G211" s="16">
        <v>188.96</v>
      </c>
      <c r="H211" s="16">
        <v>25.66</v>
      </c>
      <c r="I211" s="16">
        <v>967.11</v>
      </c>
      <c r="J211" s="14">
        <v>470.28</v>
      </c>
      <c r="K211" s="28">
        <f t="shared" si="17"/>
        <v>873.25267253358072</v>
      </c>
    </row>
    <row r="212" spans="1:20" ht="18" customHeight="1">
      <c r="A212" s="9">
        <v>39630</v>
      </c>
      <c r="B212" s="3">
        <v>1.33</v>
      </c>
      <c r="C212" s="30" t="str">
        <f t="shared" si="16"/>
        <v/>
      </c>
      <c r="D212" s="41" t="str">
        <f t="shared" si="18"/>
        <v/>
      </c>
      <c r="E212" s="41" t="str">
        <f t="shared" si="19"/>
        <v/>
      </c>
      <c r="F212" s="16">
        <v>1594.67</v>
      </c>
      <c r="G212" s="16">
        <v>204.12</v>
      </c>
      <c r="H212" s="16">
        <v>23.82</v>
      </c>
      <c r="I212" s="16">
        <v>1048.68</v>
      </c>
      <c r="J212" s="14">
        <v>539.44000000000005</v>
      </c>
      <c r="K212" s="28">
        <f t="shared" si="17"/>
        <v>1001.6743677628539</v>
      </c>
    </row>
    <row r="213" spans="1:20" ht="18" customHeight="1">
      <c r="A213" s="9">
        <v>39600</v>
      </c>
      <c r="B213" s="3">
        <v>1.4</v>
      </c>
      <c r="C213" s="30" t="str">
        <f t="shared" si="16"/>
        <v/>
      </c>
      <c r="D213" s="41" t="str">
        <f t="shared" si="18"/>
        <v/>
      </c>
      <c r="E213" s="41" t="str">
        <f t="shared" si="19"/>
        <v/>
      </c>
      <c r="F213" s="16">
        <v>1674.92</v>
      </c>
      <c r="G213" s="16">
        <v>213.52</v>
      </c>
      <c r="H213" s="16">
        <v>25.15</v>
      </c>
      <c r="I213" s="16">
        <v>1099.31</v>
      </c>
      <c r="J213" s="14">
        <v>590.19000000000005</v>
      </c>
      <c r="K213" s="28">
        <f t="shared" si="17"/>
        <v>1095.9109356183426</v>
      </c>
    </row>
    <row r="214" spans="1:20" ht="18" customHeight="1">
      <c r="A214" s="9">
        <v>39569</v>
      </c>
      <c r="B214" s="3">
        <v>1.54</v>
      </c>
      <c r="C214" s="30" t="str">
        <f t="shared" si="16"/>
        <v/>
      </c>
      <c r="D214" s="41" t="str">
        <f t="shared" si="18"/>
        <v/>
      </c>
      <c r="E214" s="41" t="str">
        <f t="shared" si="19"/>
        <v/>
      </c>
      <c r="F214" s="16">
        <v>1852.02</v>
      </c>
      <c r="G214" s="16">
        <v>237.46</v>
      </c>
      <c r="H214" s="16">
        <v>23.06</v>
      </c>
      <c r="I214" s="16">
        <v>1222.8699999999999</v>
      </c>
      <c r="J214" s="14">
        <v>652.15</v>
      </c>
      <c r="K214" s="28">
        <f t="shared" si="17"/>
        <v>1210.9631079203341</v>
      </c>
    </row>
    <row r="215" spans="1:20" ht="18" customHeight="1">
      <c r="A215" s="9">
        <v>39539</v>
      </c>
      <c r="B215" s="3">
        <v>1.52</v>
      </c>
      <c r="C215" s="30" t="str">
        <f t="shared" si="16"/>
        <v/>
      </c>
      <c r="D215" s="41" t="str">
        <f t="shared" si="18"/>
        <v/>
      </c>
      <c r="E215" s="41" t="str">
        <f t="shared" si="19"/>
        <v/>
      </c>
      <c r="F215" s="16">
        <v>1825.47</v>
      </c>
      <c r="G215" s="16">
        <v>235</v>
      </c>
      <c r="H215" s="16">
        <v>22.04</v>
      </c>
      <c r="I215" s="16">
        <v>1221.06</v>
      </c>
      <c r="J215" s="14">
        <v>647.02</v>
      </c>
      <c r="K215" s="28">
        <f t="shared" si="17"/>
        <v>1201.4373228346462</v>
      </c>
    </row>
    <row r="216" spans="1:20" ht="18" customHeight="1">
      <c r="A216" s="9">
        <v>39508</v>
      </c>
      <c r="B216" s="3">
        <v>1.59</v>
      </c>
      <c r="C216" s="30" t="str">
        <f t="shared" si="16"/>
        <v/>
      </c>
      <c r="D216" s="41" t="str">
        <f t="shared" si="18"/>
        <v/>
      </c>
      <c r="E216" s="41" t="str">
        <f t="shared" si="19"/>
        <v/>
      </c>
      <c r="F216" s="16">
        <v>1703.99</v>
      </c>
      <c r="G216" s="16">
        <v>217.65</v>
      </c>
      <c r="H216" s="16">
        <v>27.05</v>
      </c>
      <c r="I216" s="16">
        <v>1121.1099999999999</v>
      </c>
      <c r="J216" s="14">
        <v>644.45000000000005</v>
      </c>
      <c r="K216" s="28">
        <f t="shared" si="17"/>
        <v>1196.6651459008808</v>
      </c>
    </row>
    <row r="217" spans="1:20" ht="18" customHeight="1">
      <c r="A217" s="9">
        <v>39479</v>
      </c>
      <c r="B217" s="3">
        <v>1.58</v>
      </c>
      <c r="C217" s="30" t="str">
        <f t="shared" si="16"/>
        <v/>
      </c>
      <c r="D217" s="41" t="str">
        <f t="shared" si="18"/>
        <v/>
      </c>
      <c r="E217" s="41" t="str">
        <f t="shared" si="19"/>
        <v/>
      </c>
      <c r="F217" s="16">
        <v>1711.62</v>
      </c>
      <c r="G217" s="16">
        <v>216.85</v>
      </c>
      <c r="H217" s="16">
        <v>29.21</v>
      </c>
      <c r="I217" s="16">
        <v>1122.94</v>
      </c>
      <c r="J217" s="14">
        <v>655.94</v>
      </c>
      <c r="K217" s="28">
        <f t="shared" si="17"/>
        <v>1218.0006762390003</v>
      </c>
    </row>
    <row r="218" spans="1:20" ht="18" customHeight="1">
      <c r="A218" s="9">
        <v>39448</v>
      </c>
      <c r="B218" s="3">
        <v>1.51</v>
      </c>
      <c r="C218" s="30" t="str">
        <f t="shared" si="16"/>
        <v/>
      </c>
      <c r="D218" s="41" t="str">
        <f t="shared" si="18"/>
        <v/>
      </c>
      <c r="E218" s="41" t="str">
        <f t="shared" si="19"/>
        <v/>
      </c>
      <c r="F218" s="16">
        <v>1624.68</v>
      </c>
      <c r="G218" s="16">
        <v>207.77</v>
      </c>
      <c r="H218" s="16">
        <v>31.39</v>
      </c>
      <c r="I218" s="16">
        <v>1076.3499999999999</v>
      </c>
      <c r="J218" s="14">
        <v>608.84</v>
      </c>
      <c r="K218" s="28">
        <f t="shared" si="17"/>
        <v>1130.5417137563693</v>
      </c>
    </row>
    <row r="219" spans="1:20" ht="18" customHeight="1">
      <c r="A219" s="9">
        <v>39417</v>
      </c>
      <c r="B219" s="3">
        <v>1.75</v>
      </c>
      <c r="C219" s="30" t="str">
        <f t="shared" si="16"/>
        <v/>
      </c>
      <c r="D219" s="41" t="str">
        <f t="shared" si="18"/>
        <v/>
      </c>
      <c r="E219" s="41" t="str">
        <f t="shared" si="19"/>
        <v/>
      </c>
      <c r="F219" s="16">
        <v>1897.13</v>
      </c>
      <c r="G219" s="16">
        <v>241.27</v>
      </c>
      <c r="H219" s="16">
        <v>25.13</v>
      </c>
      <c r="I219" s="16">
        <v>1252.6300000000001</v>
      </c>
      <c r="J219" s="14">
        <v>704.23</v>
      </c>
      <c r="K219" s="28">
        <f t="shared" si="17"/>
        <v>1307.6693237610011</v>
      </c>
    </row>
    <row r="220" spans="1:20" ht="18" customHeight="1">
      <c r="A220" s="9">
        <v>39387</v>
      </c>
      <c r="B220" s="3">
        <v>1.76</v>
      </c>
      <c r="C220" s="30" t="str">
        <f t="shared" si="16"/>
        <v/>
      </c>
      <c r="D220" s="41" t="str">
        <f t="shared" si="18"/>
        <v/>
      </c>
      <c r="E220" s="41" t="str">
        <f t="shared" si="19"/>
        <v/>
      </c>
      <c r="F220" s="16">
        <v>1906</v>
      </c>
      <c r="G220" s="16">
        <v>241.91</v>
      </c>
      <c r="H220" s="16">
        <v>32.76</v>
      </c>
      <c r="I220" s="16">
        <v>1254.6099999999999</v>
      </c>
      <c r="J220" s="14">
        <v>741.84</v>
      </c>
      <c r="K220" s="28">
        <f t="shared" si="17"/>
        <v>1377.5065122742017</v>
      </c>
    </row>
    <row r="221" spans="1:20" ht="18" customHeight="1">
      <c r="A221" s="9">
        <v>39356</v>
      </c>
      <c r="B221" s="3">
        <v>1.9</v>
      </c>
      <c r="C221" s="30" t="str">
        <f t="shared" si="16"/>
        <v/>
      </c>
      <c r="D221" s="41" t="str">
        <f t="shared" si="18"/>
        <v/>
      </c>
      <c r="E221" s="41" t="str">
        <f t="shared" si="19"/>
        <v/>
      </c>
      <c r="F221" s="16">
        <v>2064.85</v>
      </c>
      <c r="G221" s="16">
        <v>260.42</v>
      </c>
      <c r="H221" s="16">
        <v>34.049999999999997</v>
      </c>
      <c r="I221" s="16">
        <v>1353.07</v>
      </c>
      <c r="J221" s="14">
        <v>810.07</v>
      </c>
      <c r="K221" s="28">
        <f t="shared" si="17"/>
        <v>1504.2013107920341</v>
      </c>
    </row>
    <row r="222" spans="1:20" ht="18" customHeight="1">
      <c r="A222" s="9">
        <v>39326</v>
      </c>
      <c r="B222" s="3">
        <v>1.8</v>
      </c>
      <c r="C222" s="30" t="str">
        <f t="shared" si="16"/>
        <v/>
      </c>
      <c r="D222" s="41" t="str">
        <f t="shared" si="18"/>
        <v/>
      </c>
      <c r="E222" s="41" t="str">
        <f t="shared" si="19"/>
        <v/>
      </c>
      <c r="F222" s="16">
        <v>1946.48</v>
      </c>
      <c r="G222" s="16">
        <v>247.2</v>
      </c>
      <c r="H222" s="16">
        <v>25.78</v>
      </c>
      <c r="I222" s="16">
        <v>1290.02</v>
      </c>
      <c r="J222" s="14">
        <v>794.56</v>
      </c>
      <c r="K222" s="28">
        <f t="shared" si="17"/>
        <v>1475.401130152849</v>
      </c>
    </row>
    <row r="223" spans="1:20" ht="18" customHeight="1">
      <c r="A223" s="9">
        <v>39295</v>
      </c>
      <c r="B223" s="3">
        <v>1.73</v>
      </c>
      <c r="C223" s="30" t="str">
        <f t="shared" si="16"/>
        <v/>
      </c>
      <c r="D223" s="41" t="str">
        <f t="shared" si="18"/>
        <v/>
      </c>
      <c r="E223" s="41" t="str">
        <f t="shared" si="19"/>
        <v/>
      </c>
      <c r="F223" s="16">
        <v>1873.24</v>
      </c>
      <c r="G223" s="16">
        <v>238.28</v>
      </c>
      <c r="H223" s="16">
        <v>32.33</v>
      </c>
      <c r="I223" s="16">
        <v>1244.42</v>
      </c>
      <c r="J223" s="14">
        <v>775.13</v>
      </c>
      <c r="K223" s="28">
        <f t="shared" si="17"/>
        <v>1439.3219870310334</v>
      </c>
    </row>
    <row r="224" spans="1:20" ht="18" customHeight="1">
      <c r="A224" s="9">
        <v>39264</v>
      </c>
      <c r="B224" s="3">
        <v>1.79</v>
      </c>
      <c r="C224" s="30" t="str">
        <f t="shared" si="16"/>
        <v/>
      </c>
      <c r="D224" s="41" t="str">
        <f t="shared" si="18"/>
        <v/>
      </c>
      <c r="E224" s="41" t="str">
        <f t="shared" si="19"/>
        <v/>
      </c>
      <c r="F224" s="16">
        <v>1933.27</v>
      </c>
      <c r="G224" s="16">
        <v>244.32</v>
      </c>
      <c r="H224" s="16">
        <v>27.71</v>
      </c>
      <c r="I224" s="16">
        <v>1277.22</v>
      </c>
      <c r="J224" s="14">
        <v>811.52</v>
      </c>
      <c r="K224" s="28">
        <f t="shared" si="17"/>
        <v>1506.8937841593336</v>
      </c>
    </row>
    <row r="225" spans="1:11" ht="18" customHeight="1">
      <c r="A225" s="9">
        <v>39234</v>
      </c>
      <c r="B225" s="3">
        <v>1.61</v>
      </c>
      <c r="C225" s="30" t="str">
        <f t="shared" si="16"/>
        <v/>
      </c>
      <c r="D225" s="41" t="str">
        <f t="shared" si="18"/>
        <v/>
      </c>
      <c r="E225" s="41" t="str">
        <f t="shared" si="19"/>
        <v/>
      </c>
      <c r="F225" s="16">
        <v>1743.6</v>
      </c>
      <c r="G225" s="16">
        <v>221.31</v>
      </c>
      <c r="H225" s="16">
        <v>19.95</v>
      </c>
      <c r="I225" s="16">
        <v>1154.8599999999999</v>
      </c>
      <c r="J225" s="14">
        <v>778.69</v>
      </c>
      <c r="K225" s="28">
        <f t="shared" si="17"/>
        <v>1445.9324733673004</v>
      </c>
    </row>
    <row r="226" spans="1:11" ht="18" customHeight="1">
      <c r="A226" s="9">
        <v>39203</v>
      </c>
      <c r="B226" s="3">
        <v>1.57</v>
      </c>
      <c r="C226" s="30" t="str">
        <f t="shared" si="16"/>
        <v/>
      </c>
      <c r="D226" s="41" t="str">
        <f t="shared" si="18"/>
        <v/>
      </c>
      <c r="E226" s="41" t="str">
        <f t="shared" si="19"/>
        <v/>
      </c>
      <c r="F226" s="16">
        <v>1700.91</v>
      </c>
      <c r="G226" s="16">
        <v>216.45</v>
      </c>
      <c r="H226" s="16">
        <v>18.59</v>
      </c>
      <c r="I226" s="16">
        <v>1144.5999999999999</v>
      </c>
      <c r="J226" s="14">
        <v>747.87</v>
      </c>
      <c r="K226" s="28">
        <f t="shared" si="17"/>
        <v>1388.7034877257995</v>
      </c>
    </row>
    <row r="227" spans="1:11" ht="18" customHeight="1">
      <c r="A227" s="9">
        <v>39173</v>
      </c>
      <c r="B227" s="3">
        <v>1.42</v>
      </c>
      <c r="C227" s="30" t="str">
        <f t="shared" si="16"/>
        <v/>
      </c>
      <c r="D227" s="41" t="str">
        <f t="shared" si="18"/>
        <v/>
      </c>
      <c r="E227" s="41" t="str">
        <f t="shared" si="19"/>
        <v/>
      </c>
      <c r="F227" s="16">
        <v>1542.24</v>
      </c>
      <c r="G227" s="16">
        <v>198.55</v>
      </c>
      <c r="H227" s="16">
        <v>18.989999999999998</v>
      </c>
      <c r="I227" s="16">
        <v>1053.69</v>
      </c>
      <c r="J227" s="14">
        <v>675.88</v>
      </c>
      <c r="K227" s="28">
        <f t="shared" si="17"/>
        <v>1255.0268272348314</v>
      </c>
    </row>
    <row r="228" spans="1:11" ht="18" customHeight="1">
      <c r="A228" s="9">
        <v>39142</v>
      </c>
      <c r="B228" s="3">
        <v>1.48</v>
      </c>
      <c r="C228" s="30" t="str">
        <f t="shared" si="16"/>
        <v/>
      </c>
      <c r="D228" s="41" t="str">
        <f t="shared" si="18"/>
        <v/>
      </c>
      <c r="E228" s="41" t="str">
        <f t="shared" si="19"/>
        <v/>
      </c>
      <c r="F228" s="16">
        <v>1452.55</v>
      </c>
      <c r="G228" s="16">
        <v>187.6</v>
      </c>
      <c r="H228" s="16">
        <v>19.64</v>
      </c>
      <c r="I228" s="16">
        <v>994.41</v>
      </c>
      <c r="J228" s="14">
        <v>648.99</v>
      </c>
      <c r="K228" s="28">
        <f t="shared" si="17"/>
        <v>1205.0953728578049</v>
      </c>
    </row>
    <row r="229" spans="1:11" ht="18" customHeight="1">
      <c r="A229" s="9">
        <v>39114</v>
      </c>
      <c r="B229" s="3">
        <v>1.45</v>
      </c>
      <c r="C229" s="30" t="str">
        <f t="shared" si="16"/>
        <v/>
      </c>
      <c r="D229" s="41" t="str">
        <f t="shared" si="18"/>
        <v/>
      </c>
      <c r="E229" s="41" t="str">
        <f t="shared" si="19"/>
        <v/>
      </c>
      <c r="F229" s="16">
        <v>1417.34</v>
      </c>
      <c r="G229" s="16">
        <v>183.2</v>
      </c>
      <c r="H229" s="16">
        <v>20.38</v>
      </c>
      <c r="I229" s="16">
        <v>979.68</v>
      </c>
      <c r="J229" s="14">
        <v>600.92999999999995</v>
      </c>
      <c r="K229" s="28">
        <f t="shared" si="17"/>
        <v>1115.8538073182031</v>
      </c>
    </row>
    <row r="230" spans="1:11" ht="18" customHeight="1">
      <c r="A230" s="9">
        <v>39083</v>
      </c>
      <c r="B230" s="3">
        <v>1.39</v>
      </c>
      <c r="C230" s="30" t="str">
        <f t="shared" si="16"/>
        <v/>
      </c>
      <c r="D230" s="41" t="str">
        <f t="shared" si="18"/>
        <v/>
      </c>
      <c r="E230" s="41" t="str">
        <f t="shared" si="19"/>
        <v/>
      </c>
      <c r="F230" s="16">
        <v>1360.23</v>
      </c>
      <c r="G230" s="16">
        <v>175.99</v>
      </c>
      <c r="H230" s="16">
        <v>17.989999999999998</v>
      </c>
      <c r="I230" s="16">
        <v>947.06</v>
      </c>
      <c r="J230" s="14">
        <v>576.37</v>
      </c>
      <c r="K230" s="28">
        <f t="shared" si="17"/>
        <v>1070.2488791106998</v>
      </c>
    </row>
    <row r="231" spans="1:11" ht="18" customHeight="1">
      <c r="A231" s="9">
        <v>39052</v>
      </c>
      <c r="B231" s="3">
        <v>1.46</v>
      </c>
      <c r="C231" s="30" t="str">
        <f t="shared" si="16"/>
        <v/>
      </c>
      <c r="D231" s="41" t="str">
        <f t="shared" si="18"/>
        <v/>
      </c>
      <c r="E231" s="41" t="str">
        <f t="shared" si="19"/>
        <v/>
      </c>
      <c r="F231" s="16">
        <v>1434.46</v>
      </c>
      <c r="G231" s="16">
        <v>185.39</v>
      </c>
      <c r="H231" s="16">
        <v>15.4</v>
      </c>
      <c r="I231" s="16">
        <v>1000</v>
      </c>
      <c r="J231" s="14">
        <v>606.15</v>
      </c>
      <c r="K231" s="28">
        <f t="shared" si="17"/>
        <v>1125.5467114404821</v>
      </c>
    </row>
    <row r="232" spans="1:11" ht="18" customHeight="1">
      <c r="A232" s="9">
        <v>39022</v>
      </c>
      <c r="B232" s="3">
        <v>1.46</v>
      </c>
      <c r="C232" s="30" t="str">
        <f t="shared" si="16"/>
        <v/>
      </c>
      <c r="D232" s="41" t="str">
        <f t="shared" si="18"/>
        <v/>
      </c>
      <c r="E232" s="41" t="str">
        <f t="shared" si="19"/>
        <v/>
      </c>
      <c r="F232" s="16">
        <v>1432.21</v>
      </c>
      <c r="G232" s="16">
        <v>184.96</v>
      </c>
      <c r="H232" s="16">
        <v>14.68</v>
      </c>
      <c r="I232" s="28">
        <f>(G232/G231)*I231</f>
        <v>997.68056529478406</v>
      </c>
      <c r="J232" s="14">
        <v>622.16999999999996</v>
      </c>
      <c r="K232" s="28">
        <f t="shared" si="17"/>
        <v>1155.2938999536825</v>
      </c>
    </row>
    <row r="233" spans="1:11" ht="18" customHeight="1">
      <c r="A233" s="9">
        <v>38991</v>
      </c>
      <c r="B233" s="3">
        <v>1.4</v>
      </c>
      <c r="C233" s="30" t="str">
        <f t="shared" si="16"/>
        <v/>
      </c>
      <c r="D233" s="41" t="str">
        <f t="shared" si="18"/>
        <v/>
      </c>
      <c r="E233" s="41" t="str">
        <f t="shared" si="19"/>
        <v/>
      </c>
      <c r="F233" s="16">
        <v>1364.55</v>
      </c>
      <c r="G233" s="16">
        <v>176.84</v>
      </c>
      <c r="H233" s="16">
        <v>16.84</v>
      </c>
      <c r="I233" s="28">
        <f t="shared" ref="I233:I271" si="21">(G233/G232)*I232</f>
        <v>953.88100760558825</v>
      </c>
      <c r="J233" s="13">
        <v>586.1</v>
      </c>
      <c r="K233" s="28">
        <f t="shared" si="17"/>
        <v>1088.3163038443729</v>
      </c>
    </row>
    <row r="234" spans="1:11" ht="18" customHeight="1">
      <c r="A234" s="9">
        <v>38961</v>
      </c>
      <c r="B234" s="3">
        <v>1.4</v>
      </c>
      <c r="C234" s="30" t="str">
        <f t="shared" si="16"/>
        <v/>
      </c>
      <c r="D234" s="41" t="str">
        <f t="shared" si="18"/>
        <v/>
      </c>
      <c r="E234" s="41" t="str">
        <f t="shared" si="19"/>
        <v/>
      </c>
      <c r="F234" s="16">
        <v>1371.41</v>
      </c>
      <c r="G234" s="16">
        <v>178.05</v>
      </c>
      <c r="H234" s="16">
        <v>16.71</v>
      </c>
      <c r="I234" s="28">
        <f t="shared" si="21"/>
        <v>960.40778898538224</v>
      </c>
      <c r="J234" s="14">
        <v>600.41999999999996</v>
      </c>
      <c r="K234" s="28">
        <f t="shared" si="17"/>
        <v>1114.9067994441875</v>
      </c>
    </row>
    <row r="235" spans="1:11" ht="18" customHeight="1">
      <c r="A235" s="9">
        <v>38930</v>
      </c>
      <c r="B235" s="3">
        <v>1.38</v>
      </c>
      <c r="C235" s="30" t="str">
        <f t="shared" si="16"/>
        <v/>
      </c>
      <c r="D235" s="41" t="str">
        <f t="shared" si="18"/>
        <v/>
      </c>
      <c r="E235" s="41" t="str">
        <f t="shared" si="19"/>
        <v/>
      </c>
      <c r="F235" s="16">
        <v>1352.74</v>
      </c>
      <c r="G235" s="16">
        <v>175.44</v>
      </c>
      <c r="H235" s="16">
        <v>17.899999999999999</v>
      </c>
      <c r="I235" s="28">
        <f t="shared" si="21"/>
        <v>946.32935972814062</v>
      </c>
      <c r="J235" s="14">
        <v>572.83000000000004</v>
      </c>
      <c r="K235" s="28">
        <f t="shared" si="17"/>
        <v>1063.6755303381201</v>
      </c>
    </row>
    <row r="236" spans="1:11" ht="18" customHeight="1">
      <c r="A236" s="9">
        <v>38899</v>
      </c>
      <c r="B236" s="3">
        <v>1.33</v>
      </c>
      <c r="C236" s="30" t="str">
        <f t="shared" si="16"/>
        <v/>
      </c>
      <c r="D236" s="41" t="str">
        <f t="shared" si="18"/>
        <v/>
      </c>
      <c r="E236" s="41" t="str">
        <f t="shared" si="19"/>
        <v/>
      </c>
      <c r="F236" s="16">
        <v>1297.82</v>
      </c>
      <c r="G236" s="16">
        <v>168.51</v>
      </c>
      <c r="H236" s="16">
        <v>23.75</v>
      </c>
      <c r="I236" s="28">
        <f t="shared" si="21"/>
        <v>908.94870273477522</v>
      </c>
      <c r="J236" s="14">
        <v>557.66</v>
      </c>
      <c r="K236" s="28">
        <f t="shared" si="17"/>
        <v>1035.5066882816122</v>
      </c>
    </row>
    <row r="237" spans="1:11" ht="18" customHeight="1">
      <c r="A237" s="9">
        <v>38869</v>
      </c>
      <c r="B237" s="3">
        <v>1.33</v>
      </c>
      <c r="C237" s="30" t="str">
        <f t="shared" si="16"/>
        <v/>
      </c>
      <c r="D237" s="41" t="str">
        <f t="shared" si="18"/>
        <v/>
      </c>
      <c r="E237" s="41" t="str">
        <f t="shared" si="19"/>
        <v/>
      </c>
      <c r="F237" s="16">
        <v>1295.1500000000001</v>
      </c>
      <c r="G237" s="16">
        <v>167.45</v>
      </c>
      <c r="H237" s="16">
        <v>22.72</v>
      </c>
      <c r="I237" s="28">
        <f t="shared" si="21"/>
        <v>903.23102648470774</v>
      </c>
      <c r="J237" s="14">
        <v>590.67999999999995</v>
      </c>
      <c r="K237" s="28">
        <f t="shared" si="17"/>
        <v>1096.8208059286712</v>
      </c>
    </row>
    <row r="238" spans="1:11" ht="18" customHeight="1">
      <c r="A238" s="9">
        <v>38838</v>
      </c>
      <c r="B238" s="3">
        <v>1.36</v>
      </c>
      <c r="C238" s="30" t="str">
        <f t="shared" si="16"/>
        <v/>
      </c>
      <c r="D238" s="41" t="str">
        <f t="shared" si="18"/>
        <v/>
      </c>
      <c r="E238" s="41" t="str">
        <f t="shared" si="19"/>
        <v/>
      </c>
      <c r="F238" s="16">
        <v>1317.7</v>
      </c>
      <c r="G238" s="16">
        <v>171.01</v>
      </c>
      <c r="H238" s="16">
        <v>21.21</v>
      </c>
      <c r="I238" s="28">
        <f t="shared" si="21"/>
        <v>922.43378823021726</v>
      </c>
      <c r="J238" s="13">
        <v>630.5</v>
      </c>
      <c r="K238" s="28">
        <f t="shared" si="17"/>
        <v>1170.7616952292733</v>
      </c>
    </row>
    <row r="239" spans="1:11" ht="18" customHeight="1">
      <c r="A239" s="9">
        <v>38808</v>
      </c>
      <c r="B239" s="3">
        <v>1.46</v>
      </c>
      <c r="C239" s="30" t="str">
        <f t="shared" si="16"/>
        <v/>
      </c>
      <c r="D239" s="41" t="str">
        <f t="shared" si="18"/>
        <v/>
      </c>
      <c r="E239" s="41" t="str">
        <f t="shared" si="19"/>
        <v/>
      </c>
      <c r="F239" s="16">
        <v>1419.73</v>
      </c>
      <c r="G239" s="16">
        <v>184.1</v>
      </c>
      <c r="H239" s="16">
        <v>17.98</v>
      </c>
      <c r="I239" s="28">
        <f t="shared" si="21"/>
        <v>993.04169588435184</v>
      </c>
      <c r="J239" s="14">
        <v>685.44</v>
      </c>
      <c r="K239" s="28">
        <f t="shared" si="17"/>
        <v>1272.778582677166</v>
      </c>
    </row>
    <row r="240" spans="1:11" ht="18" customHeight="1">
      <c r="A240" s="9">
        <v>38777</v>
      </c>
      <c r="B240" s="3">
        <v>1.63</v>
      </c>
      <c r="C240" s="30" t="str">
        <f t="shared" si="16"/>
        <v/>
      </c>
      <c r="D240" s="41" t="str">
        <f t="shared" si="18"/>
        <v/>
      </c>
      <c r="E240" s="41" t="str">
        <f t="shared" si="19"/>
        <v/>
      </c>
      <c r="F240" s="16">
        <v>1359.6</v>
      </c>
      <c r="G240" s="16">
        <v>176.21</v>
      </c>
      <c r="H240" s="16">
        <v>18.190000000000001</v>
      </c>
      <c r="I240" s="28">
        <f t="shared" si="21"/>
        <v>950.48276606073682</v>
      </c>
      <c r="J240" s="14">
        <v>665.21</v>
      </c>
      <c r="K240" s="28">
        <f t="shared" si="17"/>
        <v>1235.2139370078746</v>
      </c>
    </row>
    <row r="241" spans="1:11" ht="18" customHeight="1">
      <c r="A241" s="9">
        <v>38749</v>
      </c>
      <c r="B241" s="3">
        <v>1.64</v>
      </c>
      <c r="C241" s="30" t="str">
        <f t="shared" si="16"/>
        <v/>
      </c>
      <c r="D241" s="41" t="str">
        <f t="shared" si="18"/>
        <v/>
      </c>
      <c r="E241" s="41" t="str">
        <f t="shared" si="19"/>
        <v/>
      </c>
      <c r="F241" s="16">
        <v>1371.59</v>
      </c>
      <c r="G241" s="16">
        <v>177.45</v>
      </c>
      <c r="H241" s="16">
        <v>19.899999999999999</v>
      </c>
      <c r="I241" s="28">
        <f t="shared" si="21"/>
        <v>957.171368466476</v>
      </c>
      <c r="J241" s="14">
        <v>682.36</v>
      </c>
      <c r="K241" s="28">
        <f t="shared" si="17"/>
        <v>1267.0593978693844</v>
      </c>
    </row>
    <row r="242" spans="1:11" ht="18" customHeight="1">
      <c r="A242" s="9">
        <v>38718</v>
      </c>
      <c r="B242" s="3">
        <v>1.65</v>
      </c>
      <c r="C242" s="30" t="str">
        <f t="shared" si="16"/>
        <v/>
      </c>
      <c r="D242" s="41" t="str">
        <f t="shared" si="18"/>
        <v/>
      </c>
      <c r="E242" s="41" t="str">
        <f t="shared" si="19"/>
        <v/>
      </c>
      <c r="F242" s="16">
        <v>1399.83</v>
      </c>
      <c r="G242" s="16">
        <v>180.65</v>
      </c>
      <c r="H242" s="16">
        <v>21.57</v>
      </c>
      <c r="I242" s="28">
        <f t="shared" si="21"/>
        <v>974.43227790064191</v>
      </c>
      <c r="J242" s="14">
        <v>690.24</v>
      </c>
      <c r="K242" s="28">
        <f t="shared" si="17"/>
        <v>1281.6915979620198</v>
      </c>
    </row>
    <row r="243" spans="1:11" ht="18" customHeight="1">
      <c r="A243" s="9">
        <v>38687</v>
      </c>
      <c r="B243" s="3">
        <v>1.63</v>
      </c>
      <c r="C243" s="30" t="str">
        <f t="shared" si="16"/>
        <v/>
      </c>
      <c r="D243" s="41" t="str">
        <f t="shared" si="18"/>
        <v/>
      </c>
      <c r="E243" s="41" t="str">
        <f t="shared" si="19"/>
        <v/>
      </c>
      <c r="F243" s="16">
        <v>1379.37</v>
      </c>
      <c r="G243" s="16">
        <v>177.43</v>
      </c>
      <c r="H243" s="16">
        <v>19.440000000000001</v>
      </c>
      <c r="I243" s="28">
        <f t="shared" si="21"/>
        <v>957.06348778251254</v>
      </c>
      <c r="J243" s="14">
        <v>701.79</v>
      </c>
      <c r="K243" s="28">
        <f t="shared" si="17"/>
        <v>1303.1385409912</v>
      </c>
    </row>
    <row r="244" spans="1:11" ht="18" customHeight="1">
      <c r="A244" s="9">
        <v>38657</v>
      </c>
      <c r="B244" s="3">
        <v>1.53</v>
      </c>
      <c r="C244" s="30" t="str">
        <f t="shared" si="16"/>
        <v/>
      </c>
      <c r="D244" s="41" t="str">
        <f t="shared" si="18"/>
        <v/>
      </c>
      <c r="E244" s="41" t="str">
        <f t="shared" si="19"/>
        <v/>
      </c>
      <c r="F244" s="16">
        <v>1297.44</v>
      </c>
      <c r="G244" s="16">
        <v>165.95</v>
      </c>
      <c r="H244" s="16">
        <v>23.38</v>
      </c>
      <c r="I244" s="28">
        <f t="shared" si="21"/>
        <v>895.13997518744259</v>
      </c>
      <c r="J244" s="14">
        <v>712.39</v>
      </c>
      <c r="K244" s="28">
        <f t="shared" si="17"/>
        <v>1322.8214497452527</v>
      </c>
    </row>
    <row r="245" spans="1:11" ht="18" customHeight="1">
      <c r="A245" s="9">
        <v>38626</v>
      </c>
      <c r="B245" s="3">
        <v>1.35</v>
      </c>
      <c r="C245" s="30" t="str">
        <f t="shared" si="16"/>
        <v/>
      </c>
      <c r="D245" s="41" t="str">
        <f t="shared" si="18"/>
        <v/>
      </c>
      <c r="E245" s="41" t="str">
        <f t="shared" si="19"/>
        <v/>
      </c>
      <c r="F245" s="16">
        <v>1158.1099999999999</v>
      </c>
      <c r="G245" s="16">
        <v>148.84</v>
      </c>
      <c r="H245" s="16">
        <v>25.85</v>
      </c>
      <c r="I245" s="28">
        <f t="shared" si="21"/>
        <v>802.84805005663725</v>
      </c>
      <c r="J245" s="14">
        <v>587.46</v>
      </c>
      <c r="K245" s="28">
        <f t="shared" si="17"/>
        <v>1090.8416581750814</v>
      </c>
    </row>
    <row r="246" spans="1:11" ht="18" customHeight="1">
      <c r="A246" s="9">
        <v>38596</v>
      </c>
      <c r="B246" s="3">
        <v>1.43</v>
      </c>
      <c r="C246" s="30" t="str">
        <f t="shared" si="16"/>
        <v/>
      </c>
      <c r="D246" s="41" t="str">
        <f t="shared" si="18"/>
        <v/>
      </c>
      <c r="E246" s="41" t="str">
        <f t="shared" si="19"/>
        <v/>
      </c>
      <c r="F246" s="16">
        <v>1221.01</v>
      </c>
      <c r="G246" s="16">
        <v>157.55000000000001</v>
      </c>
      <c r="H246" s="16">
        <v>23.82</v>
      </c>
      <c r="I246" s="28">
        <f t="shared" si="21"/>
        <v>849.83008792275734</v>
      </c>
      <c r="J246" s="14">
        <v>571.95000000000005</v>
      </c>
      <c r="K246" s="28">
        <f t="shared" si="17"/>
        <v>1062.0414775358968</v>
      </c>
    </row>
    <row r="247" spans="1:11" ht="18" customHeight="1">
      <c r="A247" s="9">
        <v>38565</v>
      </c>
      <c r="B247" s="3">
        <v>1.27</v>
      </c>
      <c r="C247" s="30" t="str">
        <f t="shared" si="16"/>
        <v/>
      </c>
      <c r="D247" s="41" t="str">
        <f t="shared" si="18"/>
        <v/>
      </c>
      <c r="E247" s="41" t="str">
        <f t="shared" si="19"/>
        <v/>
      </c>
      <c r="F247" s="16">
        <v>1083.33</v>
      </c>
      <c r="G247" s="16">
        <v>140.09</v>
      </c>
      <c r="H247" s="16">
        <v>21.12</v>
      </c>
      <c r="I247" s="28">
        <f t="shared" si="21"/>
        <v>755.65025082259012</v>
      </c>
      <c r="J247" s="14">
        <v>503.95</v>
      </c>
      <c r="K247" s="28">
        <f t="shared" si="17"/>
        <v>935.77376100046365</v>
      </c>
    </row>
    <row r="248" spans="1:11" ht="18" customHeight="1">
      <c r="A248" s="9">
        <v>38534</v>
      </c>
      <c r="B248" s="3">
        <v>1.3</v>
      </c>
      <c r="C248" s="30" t="str">
        <f t="shared" si="16"/>
        <v/>
      </c>
      <c r="D248" s="41" t="str">
        <f t="shared" si="18"/>
        <v/>
      </c>
      <c r="E248" s="41" t="str">
        <f t="shared" si="19"/>
        <v/>
      </c>
      <c r="F248" s="16">
        <v>1111.29</v>
      </c>
      <c r="G248" s="16">
        <v>143.32</v>
      </c>
      <c r="H248" s="16">
        <v>16.88</v>
      </c>
      <c r="I248" s="28">
        <f t="shared" si="21"/>
        <v>773.07298128270122</v>
      </c>
      <c r="J248" s="14">
        <v>546.67999999999995</v>
      </c>
      <c r="K248" s="28">
        <f t="shared" si="17"/>
        <v>1015.1181658175085</v>
      </c>
    </row>
    <row r="249" spans="1:11" ht="18" customHeight="1">
      <c r="A249" s="9">
        <v>38504</v>
      </c>
      <c r="B249" s="3">
        <v>1.18</v>
      </c>
      <c r="C249" s="30" t="str">
        <f t="shared" si="16"/>
        <v/>
      </c>
      <c r="D249" s="41" t="str">
        <f t="shared" si="18"/>
        <v/>
      </c>
      <c r="E249" s="41" t="str">
        <f t="shared" si="19"/>
        <v/>
      </c>
      <c r="F249" s="16">
        <v>1008.16</v>
      </c>
      <c r="G249" s="16">
        <v>129.43</v>
      </c>
      <c r="H249" s="16">
        <v>15.76</v>
      </c>
      <c r="I249" s="28">
        <f t="shared" si="21"/>
        <v>698.14984627002536</v>
      </c>
      <c r="J249" s="14">
        <v>503.21</v>
      </c>
      <c r="K249" s="28">
        <f t="shared" si="17"/>
        <v>934.39967114404863</v>
      </c>
    </row>
    <row r="250" spans="1:11" ht="18" customHeight="1">
      <c r="A250" s="9">
        <v>38473</v>
      </c>
      <c r="B250" s="3">
        <v>1.1399999999999999</v>
      </c>
      <c r="C250" s="30" t="str">
        <f t="shared" si="16"/>
        <v/>
      </c>
      <c r="D250" s="41" t="str">
        <f t="shared" si="18"/>
        <v/>
      </c>
      <c r="E250" s="41" t="str">
        <f t="shared" si="19"/>
        <v/>
      </c>
      <c r="F250" s="16">
        <v>970.21</v>
      </c>
      <c r="G250" s="16">
        <v>124.84</v>
      </c>
      <c r="H250" s="16">
        <v>16.350000000000001</v>
      </c>
      <c r="I250" s="28">
        <f t="shared" si="21"/>
        <v>673.39122930039377</v>
      </c>
      <c r="J250" s="14">
        <v>471.48</v>
      </c>
      <c r="K250" s="28">
        <f t="shared" si="17"/>
        <v>875.48092635479441</v>
      </c>
    </row>
    <row r="251" spans="1:11" ht="18" customHeight="1">
      <c r="A251" s="9">
        <v>38443</v>
      </c>
      <c r="B251" s="3">
        <v>1.07</v>
      </c>
      <c r="C251" s="30" t="str">
        <f t="shared" si="16"/>
        <v/>
      </c>
      <c r="D251" s="41" t="str">
        <f t="shared" si="18"/>
        <v/>
      </c>
      <c r="E251" s="41" t="str">
        <f t="shared" si="19"/>
        <v/>
      </c>
      <c r="F251" s="16">
        <v>911.3</v>
      </c>
      <c r="G251" s="16">
        <v>117.58</v>
      </c>
      <c r="H251" s="16">
        <v>22.48</v>
      </c>
      <c r="I251" s="28">
        <f t="shared" si="21"/>
        <v>634.23054102163007</v>
      </c>
      <c r="J251" s="13">
        <v>424.4</v>
      </c>
      <c r="K251" s="28">
        <f t="shared" si="17"/>
        <v>788.05910143585038</v>
      </c>
    </row>
    <row r="252" spans="1:11" ht="18" customHeight="1">
      <c r="A252" s="9">
        <v>38412</v>
      </c>
      <c r="B252" s="3">
        <v>1.27</v>
      </c>
      <c r="C252" s="30" t="str">
        <f t="shared" si="16"/>
        <v/>
      </c>
      <c r="D252" s="41" t="str">
        <f t="shared" si="18"/>
        <v/>
      </c>
      <c r="E252" s="41" t="str">
        <f t="shared" si="19"/>
        <v/>
      </c>
      <c r="F252" s="16">
        <v>965.68</v>
      </c>
      <c r="G252" s="16">
        <v>124.78</v>
      </c>
      <c r="H252" s="16">
        <v>19.690000000000001</v>
      </c>
      <c r="I252" s="28">
        <f t="shared" si="21"/>
        <v>673.06758724850317</v>
      </c>
      <c r="J252" s="14">
        <v>455.03</v>
      </c>
      <c r="K252" s="28">
        <f t="shared" si="17"/>
        <v>844.93528022232556</v>
      </c>
    </row>
    <row r="253" spans="1:11" ht="18" customHeight="1">
      <c r="A253" s="9">
        <v>38384</v>
      </c>
      <c r="B253" s="3">
        <v>1.33</v>
      </c>
      <c r="C253" s="30" t="str">
        <f t="shared" si="16"/>
        <v/>
      </c>
      <c r="D253" s="41" t="str">
        <f t="shared" si="18"/>
        <v/>
      </c>
      <c r="E253" s="41" t="str">
        <f t="shared" si="19"/>
        <v/>
      </c>
      <c r="F253" s="16">
        <v>1011.36</v>
      </c>
      <c r="G253" s="16">
        <v>130.85</v>
      </c>
      <c r="H253" s="16">
        <v>16.670000000000002</v>
      </c>
      <c r="I253" s="28">
        <f t="shared" si="21"/>
        <v>705.80937483143634</v>
      </c>
      <c r="J253" s="14">
        <v>498.38</v>
      </c>
      <c r="K253" s="28">
        <f t="shared" si="17"/>
        <v>925.43094951366425</v>
      </c>
    </row>
    <row r="254" spans="1:11" ht="18" customHeight="1">
      <c r="A254" s="9">
        <v>38353</v>
      </c>
      <c r="B254" s="3">
        <v>1.23</v>
      </c>
      <c r="C254" s="30" t="str">
        <f t="shared" si="16"/>
        <v/>
      </c>
      <c r="D254" s="41" t="str">
        <f t="shared" si="18"/>
        <v/>
      </c>
      <c r="E254" s="41" t="str">
        <f t="shared" si="19"/>
        <v/>
      </c>
      <c r="F254" s="16">
        <v>932.7</v>
      </c>
      <c r="G254" s="16">
        <v>121.06</v>
      </c>
      <c r="H254" s="16">
        <v>18.12</v>
      </c>
      <c r="I254" s="28">
        <f t="shared" si="21"/>
        <v>653.00178003128542</v>
      </c>
      <c r="J254" s="14">
        <v>472.95</v>
      </c>
      <c r="K254" s="28">
        <f t="shared" si="17"/>
        <v>878.2105372857809</v>
      </c>
    </row>
    <row r="255" spans="1:11" ht="18" customHeight="1">
      <c r="A255" s="9">
        <v>38322</v>
      </c>
      <c r="B255" s="3">
        <v>1.1599999999999999</v>
      </c>
      <c r="C255" s="30" t="str">
        <f t="shared" si="16"/>
        <v/>
      </c>
      <c r="D255" s="41" t="str">
        <f t="shared" si="18"/>
        <v/>
      </c>
      <c r="E255" s="41" t="str">
        <f t="shared" si="19"/>
        <v/>
      </c>
      <c r="F255" s="16">
        <v>895.92</v>
      </c>
      <c r="G255" s="16">
        <v>115.25</v>
      </c>
      <c r="H255" s="16">
        <v>21.29</v>
      </c>
      <c r="I255" s="28">
        <f t="shared" si="21"/>
        <v>621.66244133987811</v>
      </c>
      <c r="J255" s="14">
        <v>380.33</v>
      </c>
      <c r="K255" s="28">
        <f t="shared" si="17"/>
        <v>706.22647985178367</v>
      </c>
    </row>
    <row r="256" spans="1:11" ht="18" customHeight="1">
      <c r="A256" s="9">
        <v>38292</v>
      </c>
      <c r="B256" s="3">
        <v>1.1299999999999999</v>
      </c>
      <c r="C256" s="30" t="str">
        <f t="shared" si="16"/>
        <v/>
      </c>
      <c r="D256" s="41" t="str">
        <f t="shared" si="18"/>
        <v/>
      </c>
      <c r="E256" s="41" t="str">
        <f t="shared" si="19"/>
        <v/>
      </c>
      <c r="F256" s="16">
        <v>878.06</v>
      </c>
      <c r="G256" s="16">
        <v>113.4</v>
      </c>
      <c r="H256" s="16">
        <v>25.05</v>
      </c>
      <c r="I256" s="28">
        <f t="shared" si="21"/>
        <v>611.68347807325108</v>
      </c>
      <c r="J256" s="14">
        <v>373.43</v>
      </c>
      <c r="K256" s="28">
        <f t="shared" si="17"/>
        <v>693.41402037980595</v>
      </c>
    </row>
    <row r="257" spans="1:20" ht="18" customHeight="1">
      <c r="A257" s="9">
        <v>38261</v>
      </c>
      <c r="B257" s="3">
        <v>1.08</v>
      </c>
      <c r="C257" s="30" t="str">
        <f t="shared" si="16"/>
        <v/>
      </c>
      <c r="D257" s="41" t="str">
        <f t="shared" si="18"/>
        <v/>
      </c>
      <c r="E257" s="41" t="str">
        <f t="shared" si="19"/>
        <v/>
      </c>
      <c r="F257" s="16">
        <v>834.84</v>
      </c>
      <c r="G257" s="16">
        <v>107.99</v>
      </c>
      <c r="H257" s="16">
        <v>27.17</v>
      </c>
      <c r="I257" s="28">
        <f t="shared" si="21"/>
        <v>582.50175306111441</v>
      </c>
      <c r="J257" s="14">
        <v>357.04</v>
      </c>
      <c r="K257" s="28">
        <f t="shared" si="17"/>
        <v>662.97978693839787</v>
      </c>
    </row>
    <row r="258" spans="1:20" ht="18" customHeight="1">
      <c r="A258" s="9">
        <v>38231</v>
      </c>
      <c r="B258" s="3">
        <v>1.08</v>
      </c>
      <c r="C258" s="30" t="str">
        <f t="shared" si="16"/>
        <v/>
      </c>
      <c r="D258" s="41" t="str">
        <f t="shared" si="18"/>
        <v/>
      </c>
      <c r="E258" s="41" t="str">
        <f t="shared" si="19"/>
        <v/>
      </c>
      <c r="F258" s="16">
        <v>835.09</v>
      </c>
      <c r="G258" s="16">
        <v>107.69</v>
      </c>
      <c r="H258" s="21">
        <v>23.73</v>
      </c>
      <c r="I258" s="28">
        <f t="shared" si="21"/>
        <v>580.88354280166141</v>
      </c>
      <c r="J258" s="14">
        <v>362.08</v>
      </c>
      <c r="K258" s="28">
        <f t="shared" si="17"/>
        <v>672.33845298749463</v>
      </c>
    </row>
    <row r="259" spans="1:20" ht="18" customHeight="1">
      <c r="A259" s="9">
        <v>38200</v>
      </c>
      <c r="B259" s="3">
        <v>1.03</v>
      </c>
      <c r="C259" s="30" t="str">
        <f t="shared" si="16"/>
        <v/>
      </c>
      <c r="D259" s="41" t="str">
        <f t="shared" si="18"/>
        <v/>
      </c>
      <c r="E259" s="41" t="str">
        <f t="shared" si="19"/>
        <v/>
      </c>
      <c r="F259" s="16">
        <v>803.57</v>
      </c>
      <c r="G259" s="16">
        <v>102.89</v>
      </c>
      <c r="H259" s="21">
        <v>22.76</v>
      </c>
      <c r="I259" s="28">
        <f t="shared" si="21"/>
        <v>554.99217865041271</v>
      </c>
      <c r="J259" s="14">
        <v>355.66</v>
      </c>
      <c r="K259" s="28">
        <f t="shared" si="17"/>
        <v>660.41729504400234</v>
      </c>
    </row>
    <row r="260" spans="1:20" ht="18" customHeight="1">
      <c r="A260" s="9">
        <v>38169</v>
      </c>
      <c r="B260" s="3">
        <v>0.96</v>
      </c>
      <c r="C260" s="30" t="str">
        <f t="shared" ref="C260:C323" si="22">IF(B260&lt;=C$1, "Risk", "")</f>
        <v/>
      </c>
      <c r="D260" s="41" t="str">
        <f t="shared" si="18"/>
        <v/>
      </c>
      <c r="E260" s="41" t="str">
        <f t="shared" si="19"/>
        <v/>
      </c>
      <c r="F260" s="16">
        <v>735.34</v>
      </c>
      <c r="G260" s="16">
        <v>95.27</v>
      </c>
      <c r="H260" s="21">
        <v>28.62</v>
      </c>
      <c r="I260" s="28">
        <f t="shared" si="21"/>
        <v>513.8896380603054</v>
      </c>
      <c r="J260" s="14">
        <v>331.21</v>
      </c>
      <c r="K260" s="28">
        <f t="shared" ref="K260:K265" si="23">(J260/J259)*K259</f>
        <v>615.01662343677663</v>
      </c>
    </row>
    <row r="261" spans="1:20" ht="18" customHeight="1">
      <c r="A261" s="9">
        <v>38139</v>
      </c>
      <c r="B261" s="3">
        <v>1.01</v>
      </c>
      <c r="C261" s="30" t="str">
        <f t="shared" si="22"/>
        <v/>
      </c>
      <c r="D261" s="41" t="str">
        <f t="shared" ref="D261:D324" si="24">IF(B261&lt;=D$1, "Risk", "")</f>
        <v/>
      </c>
      <c r="E261" s="41" t="str">
        <f t="shared" ref="E261:E324" si="25">IF(B261&lt;=E$1, "Risk", "")</f>
        <v/>
      </c>
      <c r="F261" s="16">
        <v>785.79</v>
      </c>
      <c r="G261" s="16">
        <v>101.85</v>
      </c>
      <c r="H261" s="21">
        <v>32.36</v>
      </c>
      <c r="I261" s="28">
        <f t="shared" si="21"/>
        <v>549.38238308430891</v>
      </c>
      <c r="J261" s="14">
        <v>385.18</v>
      </c>
      <c r="K261" s="28">
        <f t="shared" si="23"/>
        <v>715.23233904585504</v>
      </c>
    </row>
    <row r="262" spans="1:20" ht="18" customHeight="1">
      <c r="A262" s="9">
        <v>38108</v>
      </c>
      <c r="B262" s="3">
        <v>1.02</v>
      </c>
      <c r="C262" s="30" t="str">
        <f t="shared" si="22"/>
        <v/>
      </c>
      <c r="D262" s="41" t="str">
        <f t="shared" si="24"/>
        <v/>
      </c>
      <c r="E262" s="41" t="str">
        <f t="shared" si="25"/>
        <v/>
      </c>
      <c r="F262" s="16">
        <v>803.84</v>
      </c>
      <c r="G262" s="16">
        <v>104.14</v>
      </c>
      <c r="H262" s="21">
        <v>30.14</v>
      </c>
      <c r="I262" s="28">
        <f t="shared" si="21"/>
        <v>561.73472139813396</v>
      </c>
      <c r="J262" s="14">
        <v>400.92</v>
      </c>
      <c r="K262" s="28">
        <f t="shared" si="23"/>
        <v>744.45960166743907</v>
      </c>
    </row>
    <row r="263" spans="1:20" ht="18" customHeight="1">
      <c r="A263" s="9">
        <v>38078</v>
      </c>
      <c r="B263" s="3">
        <v>1.1000000000000001</v>
      </c>
      <c r="C263" s="30" t="str">
        <f t="shared" si="22"/>
        <v/>
      </c>
      <c r="D263" s="41" t="str">
        <f t="shared" si="24"/>
        <v/>
      </c>
      <c r="E263" s="41" t="str">
        <f t="shared" si="25"/>
        <v/>
      </c>
      <c r="F263" s="16">
        <v>862.84</v>
      </c>
      <c r="G263" s="16">
        <v>112.4</v>
      </c>
      <c r="H263" s="21">
        <v>24.47</v>
      </c>
      <c r="I263" s="28">
        <f t="shared" si="21"/>
        <v>606.28944387507454</v>
      </c>
      <c r="J263" s="14">
        <v>453.47</v>
      </c>
      <c r="K263" s="28">
        <f t="shared" si="23"/>
        <v>842.03855025474809</v>
      </c>
      <c r="T263" s="32"/>
    </row>
    <row r="264" spans="1:20" ht="18" customHeight="1">
      <c r="A264" s="9">
        <v>38047</v>
      </c>
      <c r="B264" s="3">
        <v>1.1100000000000001</v>
      </c>
      <c r="C264" s="30" t="str">
        <f t="shared" si="22"/>
        <v/>
      </c>
      <c r="D264" s="41" t="str">
        <f t="shared" si="24"/>
        <v/>
      </c>
      <c r="E264" s="41" t="str">
        <f t="shared" si="25"/>
        <v/>
      </c>
      <c r="F264" s="16">
        <v>880.5</v>
      </c>
      <c r="G264" s="16">
        <v>115.98</v>
      </c>
      <c r="H264" s="21">
        <v>24.66</v>
      </c>
      <c r="I264" s="28">
        <f t="shared" si="21"/>
        <v>625.60008630454752</v>
      </c>
      <c r="J264" s="14">
        <v>434.16</v>
      </c>
      <c r="K264" s="28">
        <f t="shared" si="23"/>
        <v>806.18223251505378</v>
      </c>
      <c r="S264" s="33"/>
      <c r="T264" s="32"/>
    </row>
    <row r="265" spans="1:20" ht="18" customHeight="1">
      <c r="A265" s="9">
        <v>38018</v>
      </c>
      <c r="B265" s="3">
        <v>1.08</v>
      </c>
      <c r="C265" s="30" t="str">
        <f t="shared" si="22"/>
        <v/>
      </c>
      <c r="D265" s="41" t="str">
        <f t="shared" si="24"/>
        <v/>
      </c>
      <c r="E265" s="41" t="str">
        <f t="shared" si="25"/>
        <v/>
      </c>
      <c r="F265" s="16">
        <v>883.42</v>
      </c>
      <c r="G265" s="16">
        <v>115.92</v>
      </c>
      <c r="H265" s="21">
        <v>19.95</v>
      </c>
      <c r="I265" s="28">
        <f t="shared" si="21"/>
        <v>625.27644425265692</v>
      </c>
      <c r="J265" s="14">
        <v>428.68</v>
      </c>
      <c r="K265" s="28">
        <f t="shared" si="23"/>
        <v>796.00654006484535</v>
      </c>
      <c r="R265" s="33"/>
      <c r="S265" s="33"/>
      <c r="T265" s="32"/>
    </row>
    <row r="266" spans="1:20" ht="18" customHeight="1">
      <c r="A266" s="9">
        <v>37987</v>
      </c>
      <c r="B266" s="3">
        <v>1.07</v>
      </c>
      <c r="C266" s="30" t="str">
        <f t="shared" si="22"/>
        <v/>
      </c>
      <c r="D266" s="41" t="str">
        <f t="shared" si="24"/>
        <v/>
      </c>
      <c r="E266" s="41" t="str">
        <f t="shared" si="25"/>
        <v/>
      </c>
      <c r="F266" s="16">
        <v>848.5</v>
      </c>
      <c r="G266" s="16">
        <v>110.89</v>
      </c>
      <c r="H266" s="21">
        <v>21.23</v>
      </c>
      <c r="I266" s="28">
        <f t="shared" si="21"/>
        <v>598.14445223582754</v>
      </c>
      <c r="J266" s="14">
        <v>441.45</v>
      </c>
      <c r="K266" s="28">
        <f>(J266/J265)*K265</f>
        <v>819.71887447892595</v>
      </c>
      <c r="L266" s="32"/>
      <c r="Q266" s="33"/>
      <c r="R266" s="33"/>
      <c r="S266" s="33"/>
      <c r="T266" s="32"/>
    </row>
    <row r="267" spans="1:20" ht="18" customHeight="1">
      <c r="A267" s="9">
        <v>37956</v>
      </c>
      <c r="B267" s="58">
        <v>1.02</v>
      </c>
      <c r="C267" s="30" t="str">
        <f t="shared" si="22"/>
        <v/>
      </c>
      <c r="D267" s="41" t="str">
        <f t="shared" si="24"/>
        <v/>
      </c>
      <c r="E267" s="41" t="str">
        <f t="shared" si="25"/>
        <v/>
      </c>
      <c r="F267" s="17">
        <v>811</v>
      </c>
      <c r="G267" s="27">
        <v>105.21</v>
      </c>
      <c r="H267" s="17">
        <v>22.5</v>
      </c>
      <c r="I267" s="28">
        <f t="shared" si="21"/>
        <v>567.50633799018317</v>
      </c>
      <c r="J267" s="29">
        <f>(F267/F266)*J266</f>
        <v>421.93983500294632</v>
      </c>
      <c r="K267" s="29">
        <f>(I267/I266)*K266</f>
        <v>777.73129032309305</v>
      </c>
      <c r="L267" s="32"/>
      <c r="P267" s="33"/>
      <c r="Q267" s="33"/>
      <c r="R267" s="33"/>
      <c r="S267" s="33"/>
      <c r="T267" s="32"/>
    </row>
    <row r="268" spans="1:20" ht="18" customHeight="1">
      <c r="A268" s="9">
        <v>37926</v>
      </c>
      <c r="B268" s="58">
        <v>1.01</v>
      </c>
      <c r="C268" s="30" t="str">
        <f t="shared" si="22"/>
        <v/>
      </c>
      <c r="D268" s="41" t="str">
        <f t="shared" si="24"/>
        <v/>
      </c>
      <c r="E268" s="41" t="str">
        <f t="shared" si="25"/>
        <v/>
      </c>
      <c r="F268" s="17">
        <v>796</v>
      </c>
      <c r="G268" s="27">
        <v>103.61</v>
      </c>
      <c r="H268" s="17">
        <v>25.4</v>
      </c>
      <c r="I268" s="28">
        <f t="shared" si="21"/>
        <v>558.87588327310027</v>
      </c>
      <c r="J268" s="29">
        <f t="shared" ref="J268:J326" si="26">(F268/F267)*J267</f>
        <v>414.13576900412488</v>
      </c>
      <c r="K268" s="29">
        <f t="shared" ref="K268:K326" si="27">(I268/I267)*K267</f>
        <v>765.90380182849231</v>
      </c>
      <c r="L268" s="32"/>
      <c r="O268" s="33"/>
      <c r="P268" s="32"/>
      <c r="Q268" s="32"/>
      <c r="R268" s="32"/>
      <c r="S268" s="32"/>
      <c r="T268" s="32"/>
    </row>
    <row r="269" spans="1:20" ht="18" customHeight="1">
      <c r="A269" s="9">
        <v>37895</v>
      </c>
      <c r="B269" s="59">
        <v>0.99</v>
      </c>
      <c r="C269" s="30" t="str">
        <f t="shared" si="22"/>
        <v/>
      </c>
      <c r="D269" s="41" t="str">
        <f t="shared" si="24"/>
        <v/>
      </c>
      <c r="E269" s="41" t="str">
        <f t="shared" si="25"/>
        <v/>
      </c>
      <c r="F269" s="18">
        <v>782</v>
      </c>
      <c r="G269" s="27">
        <v>101.44</v>
      </c>
      <c r="H269" s="18">
        <v>28.3</v>
      </c>
      <c r="I269" s="28">
        <f t="shared" si="21"/>
        <v>547.17082906305654</v>
      </c>
      <c r="J269" s="29">
        <f t="shared" si="26"/>
        <v>406.8519740718915</v>
      </c>
      <c r="K269" s="29">
        <f t="shared" si="27"/>
        <v>749.86277055768994</v>
      </c>
      <c r="L269" s="32"/>
      <c r="N269" s="33"/>
      <c r="O269" s="33"/>
      <c r="P269" s="32"/>
      <c r="Q269" s="32"/>
      <c r="R269" s="32"/>
      <c r="S269" s="32"/>
      <c r="T269" s="32"/>
    </row>
    <row r="270" spans="1:20" ht="18" customHeight="1">
      <c r="A270" s="9">
        <v>37865</v>
      </c>
      <c r="B270" s="59">
        <v>0.89</v>
      </c>
      <c r="C270" s="30" t="str">
        <f t="shared" si="22"/>
        <v>Risk</v>
      </c>
      <c r="D270" s="41" t="str">
        <f t="shared" si="24"/>
        <v>Risk</v>
      </c>
      <c r="E270" s="41" t="str">
        <f t="shared" si="25"/>
        <v/>
      </c>
      <c r="F270" s="18">
        <v>698</v>
      </c>
      <c r="G270" s="27">
        <v>89.55</v>
      </c>
      <c r="H270" s="18">
        <v>27</v>
      </c>
      <c r="I270" s="28">
        <f t="shared" si="21"/>
        <v>483.03576244673417</v>
      </c>
      <c r="J270" s="29">
        <f t="shared" si="26"/>
        <v>363.14920447849141</v>
      </c>
      <c r="K270" s="29">
        <f t="shared" si="27"/>
        <v>661.96974668218786</v>
      </c>
      <c r="L270" s="35">
        <f>1+(($I266/$I270)-1)*2</f>
        <v>1.4766052484645451</v>
      </c>
      <c r="M270" s="33"/>
      <c r="N270" s="33"/>
      <c r="O270" s="33"/>
      <c r="P270" s="32"/>
      <c r="Q270" s="32"/>
      <c r="R270" s="32"/>
      <c r="S270" s="32"/>
      <c r="T270" s="32"/>
    </row>
    <row r="271" spans="1:20" ht="18" customHeight="1">
      <c r="A271" s="9">
        <v>37834</v>
      </c>
      <c r="B271" s="59">
        <v>0.96</v>
      </c>
      <c r="C271" s="30" t="str">
        <f t="shared" si="22"/>
        <v/>
      </c>
      <c r="D271" s="41" t="str">
        <f t="shared" si="24"/>
        <v/>
      </c>
      <c r="E271" s="41" t="str">
        <f t="shared" si="25"/>
        <v/>
      </c>
      <c r="F271" s="18">
        <v>759</v>
      </c>
      <c r="G271" s="27">
        <v>97.59</v>
      </c>
      <c r="H271" s="18">
        <v>20.8</v>
      </c>
      <c r="I271" s="28">
        <f t="shared" si="21"/>
        <v>526.40379740007586</v>
      </c>
      <c r="J271" s="29">
        <f t="shared" si="26"/>
        <v>394.88573954036531</v>
      </c>
      <c r="K271" s="29">
        <f t="shared" si="27"/>
        <v>721.40287636755693</v>
      </c>
      <c r="L271" s="33"/>
      <c r="M271" s="33"/>
      <c r="N271" s="33"/>
      <c r="O271" s="33"/>
      <c r="P271" s="32"/>
      <c r="Q271" s="32"/>
      <c r="R271" s="32"/>
      <c r="S271" s="32"/>
      <c r="T271" s="32"/>
    </row>
    <row r="272" spans="1:20" ht="18" customHeight="1">
      <c r="A272" s="9">
        <v>37803</v>
      </c>
      <c r="B272" s="59">
        <v>0.9</v>
      </c>
      <c r="C272" s="30" t="str">
        <f t="shared" si="22"/>
        <v>Risk</v>
      </c>
      <c r="D272" s="41" t="str">
        <f t="shared" si="24"/>
        <v>Risk</v>
      </c>
      <c r="E272" s="41" t="str">
        <f t="shared" si="25"/>
        <v/>
      </c>
      <c r="F272" s="18">
        <v>714</v>
      </c>
      <c r="G272" s="27">
        <v>91.52</v>
      </c>
      <c r="H272" s="18">
        <v>25.5</v>
      </c>
      <c r="I272" s="28">
        <f>(G272/G271)*I271</f>
        <v>493.66200981714252</v>
      </c>
      <c r="J272" s="29">
        <f t="shared" si="26"/>
        <v>371.47354154390098</v>
      </c>
      <c r="K272" s="29">
        <f t="shared" si="27"/>
        <v>676.53234189116506</v>
      </c>
      <c r="L272" s="33"/>
      <c r="M272" s="33"/>
      <c r="N272" s="33"/>
      <c r="O272" s="33"/>
      <c r="P272" s="32"/>
      <c r="Q272" s="32"/>
      <c r="R272" s="32"/>
      <c r="S272" s="32"/>
      <c r="T272" s="32"/>
    </row>
    <row r="273" spans="1:20" ht="18" customHeight="1">
      <c r="A273" s="9">
        <v>37773</v>
      </c>
      <c r="B273" s="59">
        <v>0.84</v>
      </c>
      <c r="C273" s="30" t="str">
        <f t="shared" si="22"/>
        <v>Risk</v>
      </c>
      <c r="D273" s="41" t="str">
        <f t="shared" si="24"/>
        <v>Risk</v>
      </c>
      <c r="E273" s="41" t="str">
        <f t="shared" si="25"/>
        <v>Risk</v>
      </c>
      <c r="F273" s="18">
        <v>670</v>
      </c>
      <c r="G273" s="27">
        <v>85.47</v>
      </c>
      <c r="H273" s="18">
        <v>28.3</v>
      </c>
      <c r="I273" s="28">
        <f t="shared" ref="I273:I326" si="28">(G273/G272)*I272</f>
        <v>461.02810291817281</v>
      </c>
      <c r="J273" s="29">
        <f t="shared" si="26"/>
        <v>348.58161461402472</v>
      </c>
      <c r="K273" s="29">
        <f t="shared" si="27"/>
        <v>631.80965102095593</v>
      </c>
      <c r="L273" s="33"/>
      <c r="M273" s="33"/>
      <c r="N273" s="33"/>
      <c r="O273" s="33"/>
      <c r="P273" s="32"/>
      <c r="Q273" s="32"/>
      <c r="R273" s="32"/>
      <c r="S273" s="32"/>
      <c r="T273" s="32"/>
    </row>
    <row r="274" spans="1:20" ht="18" customHeight="1">
      <c r="A274" s="9">
        <v>37742</v>
      </c>
      <c r="B274" s="59">
        <v>0.79</v>
      </c>
      <c r="C274" s="30" t="str">
        <f t="shared" si="22"/>
        <v>Risk</v>
      </c>
      <c r="D274" s="41" t="str">
        <f t="shared" si="24"/>
        <v>Risk</v>
      </c>
      <c r="E274" s="41" t="str">
        <f t="shared" si="25"/>
        <v>Risk</v>
      </c>
      <c r="F274" s="18">
        <v>633</v>
      </c>
      <c r="G274" s="27">
        <v>80.53</v>
      </c>
      <c r="H274" s="18">
        <v>32.4</v>
      </c>
      <c r="I274" s="28">
        <f t="shared" si="28"/>
        <v>434.38157397917934</v>
      </c>
      <c r="J274" s="29">
        <f t="shared" si="26"/>
        <v>329.33158515026514</v>
      </c>
      <c r="K274" s="29">
        <f t="shared" si="27"/>
        <v>595.29228029387593</v>
      </c>
      <c r="L274" s="33"/>
      <c r="M274" s="33"/>
      <c r="N274" s="33"/>
      <c r="O274" s="33"/>
      <c r="P274" s="32"/>
      <c r="Q274" s="32"/>
      <c r="R274" s="32"/>
      <c r="S274" s="32"/>
      <c r="T274" s="32"/>
    </row>
    <row r="275" spans="1:20" ht="18" customHeight="1">
      <c r="A275" s="9">
        <v>37712</v>
      </c>
      <c r="B275" s="58">
        <v>0.76</v>
      </c>
      <c r="C275" s="30" t="str">
        <f t="shared" si="22"/>
        <v>Risk</v>
      </c>
      <c r="D275" s="41" t="str">
        <f t="shared" si="24"/>
        <v>Risk</v>
      </c>
      <c r="E275" s="41" t="str">
        <f t="shared" si="25"/>
        <v>Risk</v>
      </c>
      <c r="F275" s="17">
        <v>599</v>
      </c>
      <c r="G275" s="27">
        <v>76.45</v>
      </c>
      <c r="H275" s="17">
        <v>34.5</v>
      </c>
      <c r="I275" s="28">
        <f t="shared" si="28"/>
        <v>412.37391445061792</v>
      </c>
      <c r="J275" s="29">
        <f t="shared" si="26"/>
        <v>311.64236888626982</v>
      </c>
      <c r="K275" s="29">
        <f t="shared" si="27"/>
        <v>565.13218463264388</v>
      </c>
      <c r="L275" s="73">
        <f>1+(($I271/$I275)-1)*3</f>
        <v>1.8295618051013733</v>
      </c>
      <c r="M275" s="73">
        <f>1+(($I270/$I275)-1)*3</f>
        <v>1.5140614780902546</v>
      </c>
      <c r="N275" s="73">
        <f>1+(($I269/$I275)-1)*3</f>
        <v>1.9806409417920199</v>
      </c>
      <c r="O275" s="73">
        <f>1+(($I268/$I275)-1)*3</f>
        <v>2.0657946370176576</v>
      </c>
      <c r="P275" s="73">
        <f>1+(($I267/$I275)-1)*3</f>
        <v>2.1285807717462384</v>
      </c>
      <c r="Q275" s="73">
        <f>1+(($I266/$I275)-1)*3</f>
        <v>2.3514715500327004</v>
      </c>
      <c r="R275" s="73">
        <f>1+(($I265/$I275)-1)*3</f>
        <v>2.548855461085676</v>
      </c>
      <c r="S275" s="73">
        <f>1+(($I264/$I275)-1)*3</f>
        <v>2.5512099411379978</v>
      </c>
      <c r="T275" s="73">
        <f>1+(($I263/$I275)-1)*3</f>
        <v>2.4107259646827988</v>
      </c>
    </row>
    <row r="276" spans="1:20" ht="18" customHeight="1">
      <c r="A276" s="9">
        <v>37681</v>
      </c>
      <c r="B276" s="58">
        <v>0.89</v>
      </c>
      <c r="C276" s="30" t="str">
        <f t="shared" si="22"/>
        <v>Risk</v>
      </c>
      <c r="D276" s="41" t="str">
        <f t="shared" si="24"/>
        <v>Risk</v>
      </c>
      <c r="E276" s="41" t="str">
        <f t="shared" si="25"/>
        <v/>
      </c>
      <c r="F276" s="17">
        <v>536</v>
      </c>
      <c r="G276" s="27">
        <v>68.05</v>
      </c>
      <c r="H276" s="17">
        <v>41</v>
      </c>
      <c r="I276" s="28">
        <f t="shared" si="28"/>
        <v>367.06402718593262</v>
      </c>
      <c r="J276" s="29">
        <f t="shared" si="26"/>
        <v>278.86529169121974</v>
      </c>
      <c r="K276" s="29">
        <f t="shared" si="27"/>
        <v>503.03787003598973</v>
      </c>
      <c r="L276" s="35">
        <f>1+(($I275/$I276)-1)*2</f>
        <v>1.2468772961058048</v>
      </c>
      <c r="M276" s="35">
        <f t="shared" ref="M276:T276" si="29">1+(($I275/$I276)-1)*2</f>
        <v>1.2468772961058048</v>
      </c>
      <c r="N276" s="35">
        <f t="shared" si="29"/>
        <v>1.2468772961058048</v>
      </c>
      <c r="O276" s="35">
        <f t="shared" si="29"/>
        <v>1.2468772961058048</v>
      </c>
      <c r="P276" s="35">
        <f t="shared" si="29"/>
        <v>1.2468772961058048</v>
      </c>
      <c r="Q276" s="35">
        <f t="shared" si="29"/>
        <v>1.2468772961058048</v>
      </c>
      <c r="R276" s="35">
        <f t="shared" si="29"/>
        <v>1.2468772961058048</v>
      </c>
      <c r="S276" s="35">
        <f t="shared" si="29"/>
        <v>1.2468772961058048</v>
      </c>
      <c r="T276" s="35">
        <f t="shared" si="29"/>
        <v>1.2468772961058048</v>
      </c>
    </row>
    <row r="277" spans="1:20" ht="18" customHeight="1">
      <c r="A277" s="9">
        <v>37653</v>
      </c>
      <c r="B277" s="58">
        <v>0.96</v>
      </c>
      <c r="C277" s="30" t="str">
        <f t="shared" si="22"/>
        <v/>
      </c>
      <c r="D277" s="41" t="str">
        <f t="shared" si="24"/>
        <v/>
      </c>
      <c r="E277" s="41" t="str">
        <f t="shared" si="25"/>
        <v/>
      </c>
      <c r="F277" s="17">
        <v>575</v>
      </c>
      <c r="G277" s="27">
        <v>72.849999999999994</v>
      </c>
      <c r="H277" s="17">
        <v>35.5</v>
      </c>
      <c r="I277" s="28">
        <f t="shared" si="28"/>
        <v>392.95539133718131</v>
      </c>
      <c r="J277" s="29">
        <f t="shared" si="26"/>
        <v>299.1558632881555</v>
      </c>
      <c r="K277" s="29">
        <f t="shared" si="27"/>
        <v>538.52033551979207</v>
      </c>
    </row>
    <row r="278" spans="1:20" ht="18" customHeight="1">
      <c r="A278" s="9">
        <v>37622</v>
      </c>
      <c r="B278" s="58">
        <v>0.98</v>
      </c>
      <c r="C278" s="30" t="str">
        <f t="shared" si="22"/>
        <v/>
      </c>
      <c r="D278" s="41" t="str">
        <f t="shared" si="24"/>
        <v/>
      </c>
      <c r="E278" s="41" t="str">
        <f t="shared" si="25"/>
        <v/>
      </c>
      <c r="F278" s="17">
        <v>592</v>
      </c>
      <c r="G278" s="27">
        <v>75.22</v>
      </c>
      <c r="H278" s="17">
        <v>35.9</v>
      </c>
      <c r="I278" s="28">
        <f t="shared" si="28"/>
        <v>405.73925238686036</v>
      </c>
      <c r="J278" s="29">
        <f t="shared" si="26"/>
        <v>308.00047142015313</v>
      </c>
      <c r="K278" s="29">
        <f t="shared" si="27"/>
        <v>556.03980285241948</v>
      </c>
    </row>
    <row r="279" spans="1:20" ht="18" customHeight="1">
      <c r="A279" s="9">
        <v>37591</v>
      </c>
      <c r="B279" s="58">
        <v>1.05</v>
      </c>
      <c r="C279" s="30" t="str">
        <f t="shared" si="22"/>
        <v/>
      </c>
      <c r="D279" s="41" t="str">
        <f t="shared" si="24"/>
        <v/>
      </c>
      <c r="E279" s="41" t="str">
        <f t="shared" si="25"/>
        <v/>
      </c>
      <c r="F279" s="17">
        <v>628</v>
      </c>
      <c r="G279" s="27">
        <v>79.87</v>
      </c>
      <c r="H279" s="17">
        <v>35.6</v>
      </c>
      <c r="I279" s="28">
        <f t="shared" si="28"/>
        <v>430.82151140838261</v>
      </c>
      <c r="J279" s="29">
        <f t="shared" si="26"/>
        <v>326.73022981732458</v>
      </c>
      <c r="K279" s="29">
        <f t="shared" si="27"/>
        <v>590.41344128985304</v>
      </c>
    </row>
    <row r="280" spans="1:20" ht="18" customHeight="1">
      <c r="A280" s="9">
        <v>37561</v>
      </c>
      <c r="B280" s="58">
        <v>1.19</v>
      </c>
      <c r="C280" s="30" t="str">
        <f t="shared" si="22"/>
        <v/>
      </c>
      <c r="D280" s="41" t="str">
        <f t="shared" si="24"/>
        <v/>
      </c>
      <c r="E280" s="41" t="str">
        <f t="shared" si="25"/>
        <v/>
      </c>
      <c r="F280" s="17">
        <v>725</v>
      </c>
      <c r="G280" s="27">
        <v>92.05</v>
      </c>
      <c r="H280" s="17">
        <v>40.9</v>
      </c>
      <c r="I280" s="28">
        <f t="shared" si="28"/>
        <v>496.5208479421762</v>
      </c>
      <c r="J280" s="29">
        <f t="shared" si="26"/>
        <v>377.19652327636993</v>
      </c>
      <c r="K280" s="29">
        <f t="shared" si="27"/>
        <v>680.45019745500144</v>
      </c>
    </row>
    <row r="281" spans="1:20" ht="18" customHeight="1">
      <c r="A281" s="9">
        <v>37530</v>
      </c>
      <c r="B281" s="58">
        <v>1.08</v>
      </c>
      <c r="C281" s="30" t="str">
        <f t="shared" si="22"/>
        <v/>
      </c>
      <c r="D281" s="41" t="str">
        <f t="shared" si="24"/>
        <v/>
      </c>
      <c r="E281" s="41" t="str">
        <f t="shared" si="25"/>
        <v/>
      </c>
      <c r="F281" s="17">
        <v>659</v>
      </c>
      <c r="G281" s="27">
        <v>83.1</v>
      </c>
      <c r="H281" s="17">
        <v>40.9</v>
      </c>
      <c r="I281" s="28">
        <f t="shared" si="28"/>
        <v>448.2442418684937</v>
      </c>
      <c r="J281" s="29">
        <f t="shared" si="26"/>
        <v>342.85863288155554</v>
      </c>
      <c r="K281" s="29">
        <f t="shared" si="27"/>
        <v>614.29018368832828</v>
      </c>
    </row>
    <row r="282" spans="1:20" ht="18" customHeight="1">
      <c r="A282" s="9">
        <v>37500</v>
      </c>
      <c r="B282" s="58">
        <v>1.06</v>
      </c>
      <c r="C282" s="30" t="str">
        <f t="shared" si="22"/>
        <v/>
      </c>
      <c r="D282" s="41" t="str">
        <f t="shared" si="24"/>
        <v/>
      </c>
      <c r="E282" s="41" t="str">
        <f t="shared" si="25"/>
        <v/>
      </c>
      <c r="F282" s="17">
        <v>646</v>
      </c>
      <c r="G282" s="27">
        <v>81.37</v>
      </c>
      <c r="H282" s="22">
        <v>40</v>
      </c>
      <c r="I282" s="28">
        <f t="shared" si="28"/>
        <v>438.91256270564787</v>
      </c>
      <c r="J282" s="29">
        <f t="shared" si="26"/>
        <v>336.09510901591028</v>
      </c>
      <c r="K282" s="29">
        <f t="shared" si="27"/>
        <v>601.50171175354126</v>
      </c>
    </row>
    <row r="283" spans="1:20" ht="18" customHeight="1">
      <c r="A283" s="9">
        <v>37469</v>
      </c>
      <c r="B283" s="58">
        <v>1.2</v>
      </c>
      <c r="C283" s="30" t="str">
        <f t="shared" si="22"/>
        <v/>
      </c>
      <c r="D283" s="41" t="str">
        <f t="shared" si="24"/>
        <v/>
      </c>
      <c r="E283" s="41" t="str">
        <f t="shared" si="25"/>
        <v/>
      </c>
      <c r="F283" s="17">
        <v>736</v>
      </c>
      <c r="G283" s="27">
        <v>92.55</v>
      </c>
      <c r="H283" s="22">
        <v>40</v>
      </c>
      <c r="I283" s="28">
        <f t="shared" si="28"/>
        <v>499.2178650412647</v>
      </c>
      <c r="J283" s="29">
        <f t="shared" si="26"/>
        <v>382.919505008839</v>
      </c>
      <c r="K283" s="29">
        <f t="shared" si="27"/>
        <v>684.1462876095643</v>
      </c>
      <c r="R283" s="32"/>
    </row>
    <row r="284" spans="1:20" ht="18" customHeight="1">
      <c r="A284" s="9">
        <v>37438</v>
      </c>
      <c r="B284" s="58">
        <v>1.1599999999999999</v>
      </c>
      <c r="C284" s="30" t="str">
        <f t="shared" si="22"/>
        <v/>
      </c>
      <c r="D284" s="41" t="str">
        <f t="shared" si="24"/>
        <v/>
      </c>
      <c r="E284" s="41" t="str">
        <f t="shared" si="25"/>
        <v/>
      </c>
      <c r="F284" s="17">
        <v>718</v>
      </c>
      <c r="G284" s="27">
        <v>90.16</v>
      </c>
      <c r="H284" s="22">
        <v>35</v>
      </c>
      <c r="I284" s="28">
        <f t="shared" si="28"/>
        <v>486.32612330762208</v>
      </c>
      <c r="J284" s="29">
        <f t="shared" si="26"/>
        <v>373.55462581025324</v>
      </c>
      <c r="K284" s="29">
        <f t="shared" si="27"/>
        <v>666.47897667075438</v>
      </c>
      <c r="R284" s="32"/>
    </row>
    <row r="285" spans="1:20" ht="18" customHeight="1">
      <c r="A285" s="9">
        <v>37408</v>
      </c>
      <c r="B285" s="58">
        <v>1.21</v>
      </c>
      <c r="C285" s="30" t="str">
        <f t="shared" si="22"/>
        <v/>
      </c>
      <c r="D285" s="41" t="str">
        <f t="shared" si="24"/>
        <v/>
      </c>
      <c r="E285" s="41" t="str">
        <f t="shared" si="25"/>
        <v/>
      </c>
      <c r="F285" s="17">
        <v>743</v>
      </c>
      <c r="G285" s="27">
        <v>93.69</v>
      </c>
      <c r="H285" s="22">
        <v>40</v>
      </c>
      <c r="I285" s="28">
        <f t="shared" si="28"/>
        <v>505.36706402718625</v>
      </c>
      <c r="J285" s="29">
        <f t="shared" si="26"/>
        <v>386.56140247495563</v>
      </c>
      <c r="K285" s="29">
        <f t="shared" si="27"/>
        <v>692.57337316196742</v>
      </c>
      <c r="Q285" s="32"/>
      <c r="R285" s="32"/>
    </row>
    <row r="286" spans="1:20" ht="18" customHeight="1">
      <c r="A286" s="9">
        <v>37377</v>
      </c>
      <c r="B286" s="58">
        <v>1.34</v>
      </c>
      <c r="C286" s="30" t="str">
        <f t="shared" si="22"/>
        <v/>
      </c>
      <c r="D286" s="41" t="str">
        <f t="shared" si="24"/>
        <v/>
      </c>
      <c r="E286" s="41" t="str">
        <f t="shared" si="25"/>
        <v/>
      </c>
      <c r="F286" s="17">
        <v>796</v>
      </c>
      <c r="G286" s="27">
        <v>100.8</v>
      </c>
      <c r="H286" s="22">
        <v>35</v>
      </c>
      <c r="I286" s="28">
        <f t="shared" si="28"/>
        <v>543.71864717622339</v>
      </c>
      <c r="J286" s="29">
        <f t="shared" si="26"/>
        <v>414.13576900412471</v>
      </c>
      <c r="K286" s="29">
        <f t="shared" si="27"/>
        <v>745.13177515984967</v>
      </c>
      <c r="P286" s="32"/>
      <c r="Q286" s="32"/>
      <c r="R286" s="32"/>
    </row>
    <row r="287" spans="1:20" ht="18" customHeight="1">
      <c r="A287" s="9">
        <v>37347</v>
      </c>
      <c r="B287" s="58">
        <v>1.4</v>
      </c>
      <c r="C287" s="30" t="str">
        <f t="shared" si="22"/>
        <v/>
      </c>
      <c r="D287" s="41" t="str">
        <f t="shared" si="24"/>
        <v/>
      </c>
      <c r="E287" s="41" t="str">
        <f t="shared" si="25"/>
        <v/>
      </c>
      <c r="F287" s="17">
        <v>842</v>
      </c>
      <c r="G287" s="27">
        <v>106.39</v>
      </c>
      <c r="H287" s="22">
        <v>32</v>
      </c>
      <c r="I287" s="28">
        <f t="shared" si="28"/>
        <v>573.87129834403186</v>
      </c>
      <c r="J287" s="29">
        <f t="shared" si="26"/>
        <v>438.06823806717716</v>
      </c>
      <c r="K287" s="29">
        <f t="shared" si="27"/>
        <v>786.4540630878613</v>
      </c>
      <c r="O287" s="32"/>
      <c r="P287" s="32"/>
      <c r="Q287" s="32"/>
      <c r="R287" s="32"/>
    </row>
    <row r="288" spans="1:20" ht="18" customHeight="1">
      <c r="A288" s="9">
        <v>37316</v>
      </c>
      <c r="B288" s="59">
        <v>1.49</v>
      </c>
      <c r="C288" s="30" t="str">
        <f t="shared" si="22"/>
        <v/>
      </c>
      <c r="D288" s="41" t="str">
        <f t="shared" si="24"/>
        <v/>
      </c>
      <c r="E288" s="41" t="str">
        <f t="shared" si="25"/>
        <v/>
      </c>
      <c r="F288" s="18">
        <v>896</v>
      </c>
      <c r="G288" s="27">
        <v>111.84</v>
      </c>
      <c r="H288" s="23">
        <v>15</v>
      </c>
      <c r="I288" s="28">
        <f t="shared" si="28"/>
        <v>603.26878472409555</v>
      </c>
      <c r="J288" s="29">
        <f t="shared" si="26"/>
        <v>466.16287566293437</v>
      </c>
      <c r="K288" s="29">
        <f t="shared" si="27"/>
        <v>826.74144577259528</v>
      </c>
      <c r="N288" s="33"/>
      <c r="O288" s="32"/>
      <c r="P288" s="32"/>
      <c r="Q288" s="32"/>
      <c r="R288" s="32"/>
    </row>
    <row r="289" spans="1:22" ht="18" customHeight="1">
      <c r="A289" s="9">
        <v>37288</v>
      </c>
      <c r="B289" s="59">
        <v>1.363</v>
      </c>
      <c r="C289" s="30" t="str">
        <f t="shared" si="22"/>
        <v/>
      </c>
      <c r="D289" s="41" t="str">
        <f t="shared" si="24"/>
        <v/>
      </c>
      <c r="E289" s="41" t="str">
        <f t="shared" si="25"/>
        <v/>
      </c>
      <c r="F289" s="18">
        <v>820</v>
      </c>
      <c r="G289" s="27">
        <v>102.62</v>
      </c>
      <c r="H289" s="23">
        <v>15</v>
      </c>
      <c r="I289" s="28">
        <f t="shared" si="28"/>
        <v>553.53578941690523</v>
      </c>
      <c r="J289" s="29">
        <f t="shared" si="26"/>
        <v>426.62227460223903</v>
      </c>
      <c r="K289" s="29">
        <f t="shared" si="27"/>
        <v>758.58554332245808</v>
      </c>
      <c r="M289" s="33"/>
      <c r="N289" s="33"/>
      <c r="O289" s="32"/>
      <c r="P289" s="32"/>
      <c r="Q289" s="32"/>
      <c r="R289" s="32"/>
    </row>
    <row r="290" spans="1:22" ht="18" customHeight="1">
      <c r="A290" s="9">
        <v>37257</v>
      </c>
      <c r="B290" s="59">
        <v>1.244</v>
      </c>
      <c r="C290" s="30" t="str">
        <f t="shared" si="22"/>
        <v/>
      </c>
      <c r="D290" s="41" t="str">
        <f t="shared" si="24"/>
        <v/>
      </c>
      <c r="E290" s="41" t="str">
        <f t="shared" si="25"/>
        <v/>
      </c>
      <c r="F290" s="18">
        <v>748</v>
      </c>
      <c r="G290" s="27">
        <v>92.99</v>
      </c>
      <c r="H290" s="23">
        <v>15</v>
      </c>
      <c r="I290" s="28">
        <f t="shared" si="28"/>
        <v>501.59124008846243</v>
      </c>
      <c r="J290" s="29">
        <f t="shared" si="26"/>
        <v>389.16275780789613</v>
      </c>
      <c r="K290" s="29">
        <f t="shared" si="27"/>
        <v>687.39884694557952</v>
      </c>
      <c r="L290" s="33"/>
      <c r="M290" s="32"/>
      <c r="N290" s="32"/>
      <c r="O290" s="32"/>
      <c r="P290" s="32"/>
      <c r="Q290" s="32"/>
      <c r="R290" s="32"/>
    </row>
    <row r="291" spans="1:22" ht="18" customHeight="1">
      <c r="A291" s="9">
        <v>37226</v>
      </c>
      <c r="B291" s="59">
        <v>1.1539999999999999</v>
      </c>
      <c r="C291" s="30" t="str">
        <f t="shared" si="22"/>
        <v/>
      </c>
      <c r="D291" s="41" t="str">
        <f t="shared" si="24"/>
        <v/>
      </c>
      <c r="E291" s="41" t="str">
        <f t="shared" si="25"/>
        <v/>
      </c>
      <c r="F291" s="18">
        <v>694</v>
      </c>
      <c r="G291" s="27">
        <v>86.97</v>
      </c>
      <c r="H291" s="23">
        <v>15</v>
      </c>
      <c r="I291" s="28">
        <f t="shared" si="28"/>
        <v>469.11915421543796</v>
      </c>
      <c r="J291" s="29">
        <f t="shared" si="26"/>
        <v>361.06812021213892</v>
      </c>
      <c r="K291" s="29">
        <f t="shared" si="27"/>
        <v>642.89792148464403</v>
      </c>
      <c r="L291" s="33"/>
      <c r="M291" s="32"/>
      <c r="N291" s="32"/>
      <c r="O291" s="32"/>
      <c r="P291" s="32"/>
      <c r="Q291" s="32"/>
      <c r="R291" s="32"/>
    </row>
    <row r="292" spans="1:22" ht="18" customHeight="1">
      <c r="A292" s="9">
        <v>37196</v>
      </c>
      <c r="B292" s="59">
        <v>1.071</v>
      </c>
      <c r="C292" s="30" t="str">
        <f t="shared" si="22"/>
        <v/>
      </c>
      <c r="D292" s="41" t="str">
        <f t="shared" si="24"/>
        <v/>
      </c>
      <c r="E292" s="41" t="str">
        <f t="shared" si="25"/>
        <v/>
      </c>
      <c r="F292" s="18">
        <v>644</v>
      </c>
      <c r="G292" s="27">
        <v>80.03</v>
      </c>
      <c r="H292" s="23">
        <v>15</v>
      </c>
      <c r="I292" s="28">
        <f t="shared" si="28"/>
        <v>431.68455688009089</v>
      </c>
      <c r="J292" s="29">
        <f t="shared" si="26"/>
        <v>335.05456688273409</v>
      </c>
      <c r="K292" s="29">
        <f t="shared" si="27"/>
        <v>591.59619013931319</v>
      </c>
      <c r="L292" s="33"/>
      <c r="M292" s="32"/>
      <c r="N292" s="32"/>
      <c r="O292" s="32"/>
      <c r="P292" s="32"/>
      <c r="Q292" s="32"/>
      <c r="R292" s="32"/>
      <c r="T292" s="32"/>
    </row>
    <row r="293" spans="1:22" ht="18" customHeight="1">
      <c r="A293" s="9">
        <v>37165</v>
      </c>
      <c r="B293" s="59">
        <v>0.89500000000000002</v>
      </c>
      <c r="C293" s="30" t="str">
        <f t="shared" si="22"/>
        <v>Risk</v>
      </c>
      <c r="D293" s="41" t="str">
        <f t="shared" si="24"/>
        <v>Risk</v>
      </c>
      <c r="E293" s="41" t="str">
        <f t="shared" si="25"/>
        <v/>
      </c>
      <c r="F293" s="18">
        <v>538</v>
      </c>
      <c r="G293" s="27">
        <v>66.44</v>
      </c>
      <c r="H293" s="23">
        <v>15</v>
      </c>
      <c r="I293" s="28">
        <f t="shared" si="28"/>
        <v>358.37963212686788</v>
      </c>
      <c r="J293" s="29">
        <f t="shared" si="26"/>
        <v>279.90583382439587</v>
      </c>
      <c r="K293" s="29">
        <f t="shared" si="27"/>
        <v>491.13645973829773</v>
      </c>
      <c r="L293" s="33"/>
      <c r="M293" s="32"/>
      <c r="N293" s="32"/>
      <c r="O293" s="32"/>
      <c r="P293" s="32"/>
      <c r="Q293" s="32"/>
      <c r="R293" s="35">
        <f>1+(($I283/$I293)-1)*2</f>
        <v>1.7859723058398558</v>
      </c>
      <c r="S293" s="32"/>
      <c r="T293" s="32"/>
    </row>
    <row r="294" spans="1:22" ht="18" customHeight="1">
      <c r="A294" s="9">
        <v>37135</v>
      </c>
      <c r="B294" s="58">
        <v>0.79800000000000004</v>
      </c>
      <c r="C294" s="30" t="str">
        <f t="shared" si="22"/>
        <v>Risk</v>
      </c>
      <c r="D294" s="41" t="str">
        <f t="shared" si="24"/>
        <v>Risk</v>
      </c>
      <c r="E294" s="41" t="str">
        <f t="shared" si="25"/>
        <v>Risk</v>
      </c>
      <c r="F294" s="17">
        <v>480</v>
      </c>
      <c r="G294" s="27">
        <v>58.91</v>
      </c>
      <c r="H294" s="22">
        <v>35</v>
      </c>
      <c r="I294" s="28">
        <f t="shared" si="28"/>
        <v>317.76255461459641</v>
      </c>
      <c r="J294" s="29">
        <f t="shared" si="26"/>
        <v>249.73011196228629</v>
      </c>
      <c r="K294" s="29">
        <f t="shared" si="27"/>
        <v>435.47334201058277</v>
      </c>
      <c r="L294" s="73">
        <f>1+(($I290/$I294)-1)*3</f>
        <v>2.7355287727041251</v>
      </c>
      <c r="M294" s="73">
        <f>1+(($I289/$I294)-1)*3</f>
        <v>3.2259378713291467</v>
      </c>
      <c r="N294" s="73">
        <f>1+(($I288/$I294)-1)*3</f>
        <v>3.695467662536073</v>
      </c>
      <c r="O294" s="73">
        <f>1+(($I287/$I294)-1)*3</f>
        <v>3.4179256492955363</v>
      </c>
      <c r="P294" s="73">
        <f>1+(($I286/$I294)-1)*3</f>
        <v>3.1332541164488203</v>
      </c>
      <c r="Q294" s="73">
        <f>1+(($I285/$I294)-1)*3</f>
        <v>2.7711763707350201</v>
      </c>
      <c r="R294" s="32"/>
      <c r="S294" s="32"/>
      <c r="T294" s="32"/>
    </row>
    <row r="295" spans="1:22" ht="18" customHeight="1">
      <c r="A295" s="9">
        <v>37104</v>
      </c>
      <c r="B295" s="58">
        <v>0.90600000000000003</v>
      </c>
      <c r="C295" s="30" t="str">
        <f t="shared" si="22"/>
        <v>Risk</v>
      </c>
      <c r="D295" s="41" t="str">
        <f t="shared" si="24"/>
        <v/>
      </c>
      <c r="E295" s="41" t="str">
        <f t="shared" si="25"/>
        <v/>
      </c>
      <c r="F295" s="17">
        <v>545</v>
      </c>
      <c r="G295" s="27">
        <v>67.42</v>
      </c>
      <c r="H295" s="22">
        <v>35</v>
      </c>
      <c r="I295" s="28">
        <f t="shared" si="28"/>
        <v>363.66578564108119</v>
      </c>
      <c r="J295" s="29">
        <f t="shared" si="26"/>
        <v>283.54773129051256</v>
      </c>
      <c r="K295" s="29">
        <f t="shared" si="27"/>
        <v>498.38079644124082</v>
      </c>
      <c r="L295" s="32"/>
      <c r="M295" s="32"/>
      <c r="N295" s="32"/>
      <c r="O295" s="32"/>
      <c r="P295" s="34">
        <f>1+(($I294/$I295)-1)*1</f>
        <v>0.87377632749925827</v>
      </c>
      <c r="Q295" s="32"/>
      <c r="R295" s="32"/>
      <c r="S295" s="32"/>
      <c r="T295" s="32"/>
    </row>
    <row r="296" spans="1:22" ht="18" customHeight="1">
      <c r="A296" s="9">
        <v>37073</v>
      </c>
      <c r="B296" s="58">
        <v>0.90100000000000002</v>
      </c>
      <c r="C296" s="30" t="str">
        <f t="shared" si="22"/>
        <v>Risk</v>
      </c>
      <c r="D296" s="41" t="str">
        <f t="shared" si="24"/>
        <v/>
      </c>
      <c r="E296" s="41" t="str">
        <f t="shared" si="25"/>
        <v/>
      </c>
      <c r="F296" s="17">
        <v>542</v>
      </c>
      <c r="G296" s="27">
        <v>66.98</v>
      </c>
      <c r="H296" s="22">
        <v>35</v>
      </c>
      <c r="I296" s="28">
        <f t="shared" si="28"/>
        <v>361.2924105938834</v>
      </c>
      <c r="J296" s="29">
        <f t="shared" si="26"/>
        <v>281.9869180907483</v>
      </c>
      <c r="K296" s="29">
        <f t="shared" si="27"/>
        <v>495.12823710522559</v>
      </c>
      <c r="L296" s="34">
        <f>1+(($I294/$I296)-1)*1</f>
        <v>0.87951627351448181</v>
      </c>
      <c r="M296" s="34">
        <f>1+(($I294/$I296)-1)*1</f>
        <v>0.87951627351448181</v>
      </c>
      <c r="N296" s="34">
        <f>1+(($I294/$I296)-1)*1</f>
        <v>0.87951627351448181</v>
      </c>
      <c r="O296" s="34">
        <f>1+(($I294/$I296)-1)*1</f>
        <v>0.87951627351448181</v>
      </c>
      <c r="P296" s="32"/>
      <c r="Q296" s="32"/>
      <c r="R296" s="32"/>
      <c r="S296" s="32"/>
      <c r="T296" s="32"/>
    </row>
    <row r="297" spans="1:22" ht="18" customHeight="1">
      <c r="A297" s="9">
        <v>37043</v>
      </c>
      <c r="B297" s="58">
        <v>0.98899999999999999</v>
      </c>
      <c r="C297" s="30" t="str">
        <f t="shared" si="22"/>
        <v/>
      </c>
      <c r="D297" s="41" t="str">
        <f t="shared" si="24"/>
        <v/>
      </c>
      <c r="E297" s="41" t="str">
        <f t="shared" si="25"/>
        <v/>
      </c>
      <c r="F297" s="17">
        <v>595</v>
      </c>
      <c r="G297" s="27">
        <v>73.2</v>
      </c>
      <c r="H297" s="22">
        <v>25</v>
      </c>
      <c r="I297" s="28">
        <f t="shared" si="28"/>
        <v>394.84330330654319</v>
      </c>
      <c r="J297" s="29">
        <f t="shared" si="26"/>
        <v>309.56128461991739</v>
      </c>
      <c r="K297" s="29">
        <f t="shared" si="27"/>
        <v>541.10759862798614</v>
      </c>
      <c r="O297" s="32"/>
      <c r="P297" s="32"/>
      <c r="Q297" s="32"/>
      <c r="R297" s="32"/>
      <c r="S297" s="32"/>
      <c r="T297" s="32"/>
    </row>
    <row r="298" spans="1:22" ht="18" customHeight="1">
      <c r="A298" s="9">
        <v>37012</v>
      </c>
      <c r="B298" s="57">
        <v>1.018</v>
      </c>
      <c r="C298" s="30" t="str">
        <f t="shared" si="22"/>
        <v/>
      </c>
      <c r="D298" s="41" t="str">
        <f t="shared" si="24"/>
        <v/>
      </c>
      <c r="E298" s="41" t="str">
        <f t="shared" si="25"/>
        <v/>
      </c>
      <c r="F298" s="19">
        <v>612</v>
      </c>
      <c r="G298" s="27">
        <v>76.09</v>
      </c>
      <c r="H298" s="24">
        <v>20</v>
      </c>
      <c r="I298" s="28">
        <f t="shared" si="28"/>
        <v>410.43206213927419</v>
      </c>
      <c r="J298" s="29">
        <f t="shared" si="26"/>
        <v>318.40589275191502</v>
      </c>
      <c r="K298" s="29">
        <f t="shared" si="27"/>
        <v>562.47099972135879</v>
      </c>
      <c r="N298" s="33"/>
      <c r="O298" s="32"/>
      <c r="P298" s="32"/>
      <c r="Q298" s="32"/>
      <c r="R298" s="32"/>
      <c r="S298" s="32"/>
      <c r="T298" s="32"/>
    </row>
    <row r="299" spans="1:22" ht="18" customHeight="1">
      <c r="A299" s="9">
        <v>36982</v>
      </c>
      <c r="B299" s="57">
        <v>0.95899999999999996</v>
      </c>
      <c r="C299" s="30" t="str">
        <f t="shared" si="22"/>
        <v/>
      </c>
      <c r="D299" s="41" t="str">
        <f t="shared" si="24"/>
        <v/>
      </c>
      <c r="E299" s="41" t="str">
        <f t="shared" si="25"/>
        <v/>
      </c>
      <c r="F299" s="19">
        <v>577</v>
      </c>
      <c r="G299" s="27">
        <v>72.45</v>
      </c>
      <c r="H299" s="24">
        <v>20</v>
      </c>
      <c r="I299" s="28">
        <f t="shared" si="28"/>
        <v>390.79777765791056</v>
      </c>
      <c r="J299" s="29">
        <f t="shared" si="26"/>
        <v>300.19640542133163</v>
      </c>
      <c r="K299" s="29">
        <f t="shared" si="27"/>
        <v>535.56346339614197</v>
      </c>
      <c r="M299" s="33"/>
      <c r="N299" s="33"/>
      <c r="O299" s="32"/>
      <c r="P299" s="32"/>
      <c r="Q299" s="32"/>
      <c r="R299" s="32"/>
      <c r="S299" s="32"/>
      <c r="T299" s="32"/>
    </row>
    <row r="300" spans="1:22" ht="18" customHeight="1">
      <c r="A300" s="9">
        <v>36951</v>
      </c>
      <c r="B300" s="57">
        <v>0.87</v>
      </c>
      <c r="C300" s="30" t="str">
        <f t="shared" si="22"/>
        <v>Risk</v>
      </c>
      <c r="D300" s="41" t="str">
        <f t="shared" si="24"/>
        <v>Risk</v>
      </c>
      <c r="E300" s="41" t="str">
        <f t="shared" si="25"/>
        <v/>
      </c>
      <c r="F300" s="19">
        <v>523</v>
      </c>
      <c r="G300" s="27">
        <v>65.16</v>
      </c>
      <c r="H300" s="24">
        <v>20</v>
      </c>
      <c r="I300" s="28">
        <f t="shared" si="28"/>
        <v>351.4752683532015</v>
      </c>
      <c r="J300" s="29">
        <f t="shared" si="26"/>
        <v>272.10176782557443</v>
      </c>
      <c r="K300" s="29">
        <f t="shared" si="27"/>
        <v>481.67446894261707</v>
      </c>
      <c r="L300" s="33"/>
      <c r="M300" s="33"/>
      <c r="N300" s="33"/>
      <c r="O300" s="32"/>
      <c r="P300" s="32"/>
      <c r="Q300" s="32"/>
      <c r="R300" s="32"/>
      <c r="S300" s="32"/>
      <c r="T300" s="32"/>
    </row>
    <row r="301" spans="1:22" ht="18" customHeight="1">
      <c r="A301" s="9">
        <v>36923</v>
      </c>
      <c r="B301" s="57">
        <v>0.96099999999999997</v>
      </c>
      <c r="C301" s="30" t="str">
        <f t="shared" si="22"/>
        <v/>
      </c>
      <c r="D301" s="41" t="str">
        <f t="shared" si="24"/>
        <v/>
      </c>
      <c r="E301" s="41" t="str">
        <f t="shared" si="25"/>
        <v/>
      </c>
      <c r="F301" s="19">
        <v>578</v>
      </c>
      <c r="G301" s="27">
        <v>72.14</v>
      </c>
      <c r="H301" s="24">
        <v>20</v>
      </c>
      <c r="I301" s="28">
        <f t="shared" si="28"/>
        <v>389.12562705647571</v>
      </c>
      <c r="J301" s="29">
        <f t="shared" si="26"/>
        <v>300.7166764879197</v>
      </c>
      <c r="K301" s="29">
        <f t="shared" si="27"/>
        <v>533.27188750031303</v>
      </c>
      <c r="L301" s="33"/>
      <c r="M301" s="33"/>
      <c r="N301" s="33"/>
      <c r="O301" s="32"/>
      <c r="P301" s="32"/>
      <c r="Q301" s="32"/>
      <c r="R301" s="32"/>
      <c r="S301" s="32"/>
      <c r="T301" s="32"/>
    </row>
    <row r="302" spans="1:22" ht="18" customHeight="1">
      <c r="A302" s="9">
        <v>36892</v>
      </c>
      <c r="B302" s="57">
        <v>1.028</v>
      </c>
      <c r="C302" s="30" t="str">
        <f t="shared" si="22"/>
        <v/>
      </c>
      <c r="D302" s="41" t="str">
        <f t="shared" si="24"/>
        <v/>
      </c>
      <c r="E302" s="41" t="str">
        <f t="shared" si="25"/>
        <v/>
      </c>
      <c r="F302" s="19">
        <v>618</v>
      </c>
      <c r="G302" s="27">
        <v>77.98</v>
      </c>
      <c r="H302" s="24">
        <v>20</v>
      </c>
      <c r="I302" s="28">
        <f t="shared" si="28"/>
        <v>420.62678677382837</v>
      </c>
      <c r="J302" s="29">
        <f t="shared" si="26"/>
        <v>321.52751915144353</v>
      </c>
      <c r="K302" s="29">
        <f t="shared" si="27"/>
        <v>576.44222050560597</v>
      </c>
      <c r="L302" s="33"/>
      <c r="M302" s="33"/>
      <c r="N302" s="33"/>
      <c r="O302" s="33"/>
      <c r="P302" s="33"/>
      <c r="Q302" s="33"/>
      <c r="R302" s="33"/>
      <c r="S302" s="32"/>
      <c r="T302" s="32"/>
    </row>
    <row r="303" spans="1:22" ht="18" customHeight="1">
      <c r="A303" s="9">
        <v>36861</v>
      </c>
      <c r="B303" s="57">
        <v>0.84</v>
      </c>
      <c r="C303" s="30" t="str">
        <f t="shared" si="22"/>
        <v>Risk</v>
      </c>
      <c r="D303" s="41" t="str">
        <f t="shared" si="24"/>
        <v>Risk</v>
      </c>
      <c r="E303" s="41" t="str">
        <f t="shared" si="25"/>
        <v>Risk</v>
      </c>
      <c r="F303" s="19">
        <v>505</v>
      </c>
      <c r="G303" s="27">
        <v>63.35</v>
      </c>
      <c r="H303" s="24">
        <v>20</v>
      </c>
      <c r="I303" s="28">
        <f t="shared" si="28"/>
        <v>341.7120664545015</v>
      </c>
      <c r="J303" s="29">
        <f t="shared" si="26"/>
        <v>262.73688862698867</v>
      </c>
      <c r="K303" s="29">
        <f t="shared" si="27"/>
        <v>468.29462258309997</v>
      </c>
      <c r="L303" s="33"/>
      <c r="M303" s="33"/>
      <c r="N303" s="33"/>
      <c r="O303" s="33"/>
      <c r="P303" s="33"/>
      <c r="Q303" s="33"/>
      <c r="R303" s="33"/>
      <c r="S303" s="32"/>
      <c r="T303" s="32"/>
    </row>
    <row r="304" spans="1:22" ht="18" customHeight="1">
      <c r="A304" s="9">
        <v>36831</v>
      </c>
      <c r="B304" s="58">
        <v>0.84599999999999997</v>
      </c>
      <c r="C304" s="30" t="str">
        <f t="shared" si="22"/>
        <v>Risk</v>
      </c>
      <c r="D304" s="41" t="str">
        <f t="shared" si="24"/>
        <v>Risk</v>
      </c>
      <c r="E304" s="41" t="str">
        <f t="shared" si="25"/>
        <v>Risk</v>
      </c>
      <c r="F304" s="17">
        <v>509</v>
      </c>
      <c r="G304" s="27">
        <v>63.48</v>
      </c>
      <c r="H304" s="25">
        <v>20</v>
      </c>
      <c r="I304" s="28">
        <f t="shared" si="28"/>
        <v>342.41329090026443</v>
      </c>
      <c r="J304" s="29">
        <f t="shared" si="26"/>
        <v>264.81797289334105</v>
      </c>
      <c r="K304" s="29">
        <f t="shared" si="27"/>
        <v>469.25560602328625</v>
      </c>
      <c r="L304" s="73">
        <f>1+(($I300/$I304)-1)*3</f>
        <v>1.0793950850661627</v>
      </c>
      <c r="M304" s="73">
        <f>1+(($I299/$I304)-1)*3</f>
        <v>1.4239130434782614</v>
      </c>
      <c r="N304" s="73">
        <f>1+(($I298/$I304)-1)*3</f>
        <v>1.5959357277882809</v>
      </c>
      <c r="O304" s="73">
        <f>1+(($I297/$I304)-1)*3</f>
        <v>1.4593572778827988</v>
      </c>
      <c r="P304" s="73">
        <f>1+(($I296/$I304)-1)*3</f>
        <v>1.165406427221173</v>
      </c>
      <c r="Q304" s="73">
        <f>1+(($I295/$I304)-1)*3</f>
        <v>1.1862003780718346</v>
      </c>
      <c r="R304" s="73">
        <f>1+(($I294/$I304)-1)*3</f>
        <v>0.7840264650283556</v>
      </c>
      <c r="S304" s="73">
        <f>1+(($I293/$I304)-1)*3</f>
        <v>1.1398865784499059</v>
      </c>
      <c r="T304" s="73">
        <f>1+(($I292/$I304)-1)*3</f>
        <v>1.7821361058601142</v>
      </c>
      <c r="V304" s="52"/>
    </row>
    <row r="305" spans="1:20" ht="18" customHeight="1">
      <c r="A305" s="9">
        <v>36800</v>
      </c>
      <c r="B305" s="58">
        <v>0.85499999999999998</v>
      </c>
      <c r="C305" s="30" t="str">
        <f t="shared" si="22"/>
        <v>Risk</v>
      </c>
      <c r="D305" s="41" t="str">
        <f t="shared" si="24"/>
        <v>Risk</v>
      </c>
      <c r="E305" s="41" t="str">
        <f t="shared" si="25"/>
        <v/>
      </c>
      <c r="F305" s="17">
        <v>514</v>
      </c>
      <c r="G305" s="27">
        <v>64</v>
      </c>
      <c r="H305" s="25">
        <v>40</v>
      </c>
      <c r="I305" s="28">
        <f t="shared" si="28"/>
        <v>345.21818868331644</v>
      </c>
      <c r="J305" s="29">
        <f t="shared" si="26"/>
        <v>267.41932822628155</v>
      </c>
      <c r="K305" s="29">
        <f t="shared" si="27"/>
        <v>473.09953978403155</v>
      </c>
      <c r="L305" s="35">
        <f>1+(($I304/$I305)-1)*2</f>
        <v>0.98374999999999968</v>
      </c>
      <c r="M305" s="35">
        <f t="shared" ref="M305:T305" si="30">1+(($I304/$I305)-1)*2</f>
        <v>0.98374999999999968</v>
      </c>
      <c r="N305" s="35">
        <f t="shared" si="30"/>
        <v>0.98374999999999968</v>
      </c>
      <c r="O305" s="35">
        <f t="shared" si="30"/>
        <v>0.98374999999999968</v>
      </c>
      <c r="P305" s="35">
        <f t="shared" si="30"/>
        <v>0.98374999999999968</v>
      </c>
      <c r="Q305" s="35">
        <f t="shared" si="30"/>
        <v>0.98374999999999968</v>
      </c>
      <c r="R305" s="35">
        <f t="shared" si="30"/>
        <v>0.98374999999999968</v>
      </c>
      <c r="S305" s="35">
        <f t="shared" si="30"/>
        <v>0.98374999999999968</v>
      </c>
      <c r="T305" s="35">
        <f t="shared" si="30"/>
        <v>0.98374999999999968</v>
      </c>
    </row>
    <row r="306" spans="1:20" ht="18" customHeight="1">
      <c r="A306" s="9">
        <v>36770</v>
      </c>
      <c r="B306" s="58">
        <v>1.0189999999999999</v>
      </c>
      <c r="C306" s="30" t="str">
        <f t="shared" si="22"/>
        <v/>
      </c>
      <c r="D306" s="41" t="str">
        <f t="shared" si="24"/>
        <v/>
      </c>
      <c r="E306" s="41" t="str">
        <f t="shared" si="25"/>
        <v/>
      </c>
      <c r="F306" s="17">
        <v>613</v>
      </c>
      <c r="G306" s="27">
        <v>76.37</v>
      </c>
      <c r="H306" s="25">
        <v>40</v>
      </c>
      <c r="I306" s="28">
        <f t="shared" si="28"/>
        <v>411.94239171476374</v>
      </c>
      <c r="J306" s="29">
        <f t="shared" si="26"/>
        <v>318.92616381850308</v>
      </c>
      <c r="K306" s="29">
        <f t="shared" si="27"/>
        <v>564.54081020791398</v>
      </c>
    </row>
    <row r="307" spans="1:20" ht="18" customHeight="1">
      <c r="A307" s="9">
        <v>36739</v>
      </c>
      <c r="B307" s="58">
        <v>1.1459999999999999</v>
      </c>
      <c r="C307" s="30" t="str">
        <f t="shared" si="22"/>
        <v/>
      </c>
      <c r="D307" s="41" t="str">
        <f t="shared" si="24"/>
        <v/>
      </c>
      <c r="E307" s="41" t="str">
        <f t="shared" si="25"/>
        <v/>
      </c>
      <c r="F307" s="17">
        <v>689</v>
      </c>
      <c r="G307" s="27">
        <v>86.54</v>
      </c>
      <c r="H307" s="25">
        <v>20</v>
      </c>
      <c r="I307" s="28">
        <f t="shared" si="28"/>
        <v>466.79971951022202</v>
      </c>
      <c r="J307" s="29">
        <f t="shared" si="26"/>
        <v>358.46676487919842</v>
      </c>
      <c r="K307" s="29">
        <f t="shared" si="27"/>
        <v>639.71928395172029</v>
      </c>
    </row>
    <row r="308" spans="1:20" ht="18" customHeight="1">
      <c r="A308" s="9">
        <v>36708</v>
      </c>
      <c r="B308" s="58">
        <v>1.1739999999999999</v>
      </c>
      <c r="C308" s="30" t="str">
        <f t="shared" si="22"/>
        <v/>
      </c>
      <c r="D308" s="41" t="str">
        <f t="shared" si="24"/>
        <v/>
      </c>
      <c r="E308" s="41" t="str">
        <f t="shared" si="25"/>
        <v/>
      </c>
      <c r="F308" s="17">
        <v>706</v>
      </c>
      <c r="G308" s="27">
        <v>89.35</v>
      </c>
      <c r="H308" s="25">
        <v>40</v>
      </c>
      <c r="I308" s="28">
        <f t="shared" si="28"/>
        <v>481.95695560709885</v>
      </c>
      <c r="J308" s="29">
        <f t="shared" si="26"/>
        <v>367.31137301119611</v>
      </c>
      <c r="K308" s="29">
        <f t="shared" si="27"/>
        <v>660.49131062036292</v>
      </c>
    </row>
    <row r="309" spans="1:20" ht="18" customHeight="1">
      <c r="A309" s="9">
        <v>36678</v>
      </c>
      <c r="B309" s="58">
        <v>1.365</v>
      </c>
      <c r="C309" s="30" t="str">
        <f t="shared" si="22"/>
        <v/>
      </c>
      <c r="D309" s="41" t="str">
        <f t="shared" si="24"/>
        <v/>
      </c>
      <c r="E309" s="41" t="str">
        <f t="shared" si="25"/>
        <v/>
      </c>
      <c r="F309" s="17">
        <v>821</v>
      </c>
      <c r="G309" s="27">
        <v>104.43</v>
      </c>
      <c r="H309" s="25">
        <v>20</v>
      </c>
      <c r="I309" s="28">
        <f t="shared" si="28"/>
        <v>563.29899131560535</v>
      </c>
      <c r="J309" s="29">
        <f t="shared" si="26"/>
        <v>427.14254566882715</v>
      </c>
      <c r="K309" s="29">
        <f t="shared" si="27"/>
        <v>771.96538968197547</v>
      </c>
    </row>
    <row r="310" spans="1:20" ht="18" customHeight="1">
      <c r="A310" s="9">
        <v>36647</v>
      </c>
      <c r="B310" s="58">
        <v>1.2170000000000001</v>
      </c>
      <c r="C310" s="30" t="str">
        <f t="shared" si="22"/>
        <v/>
      </c>
      <c r="D310" s="41" t="str">
        <f t="shared" si="24"/>
        <v/>
      </c>
      <c r="E310" s="41" t="str">
        <f t="shared" si="25"/>
        <v/>
      </c>
      <c r="F310" s="17">
        <v>732</v>
      </c>
      <c r="G310" s="27">
        <v>92.74</v>
      </c>
      <c r="H310" s="25">
        <v>30</v>
      </c>
      <c r="I310" s="28">
        <f t="shared" si="28"/>
        <v>500.24273153891829</v>
      </c>
      <c r="J310" s="29">
        <f t="shared" si="26"/>
        <v>380.83842074248656</v>
      </c>
      <c r="K310" s="29">
        <f t="shared" si="27"/>
        <v>685.55080186829844</v>
      </c>
    </row>
    <row r="311" spans="1:20" ht="18" customHeight="1">
      <c r="A311" s="9">
        <v>36617</v>
      </c>
      <c r="B311" s="58">
        <v>1.2050000000000001</v>
      </c>
      <c r="C311" s="30" t="str">
        <f t="shared" si="22"/>
        <v/>
      </c>
      <c r="D311" s="41" t="str">
        <f t="shared" si="24"/>
        <v/>
      </c>
      <c r="E311" s="41" t="str">
        <f t="shared" si="25"/>
        <v/>
      </c>
      <c r="F311" s="17">
        <v>725</v>
      </c>
      <c r="G311" s="27">
        <v>91.21</v>
      </c>
      <c r="H311" s="25">
        <v>40</v>
      </c>
      <c r="I311" s="28">
        <f t="shared" si="28"/>
        <v>491.98985921570778</v>
      </c>
      <c r="J311" s="29">
        <f t="shared" si="26"/>
        <v>377.19652327636993</v>
      </c>
      <c r="K311" s="29">
        <f t="shared" si="27"/>
        <v>674.24076599533646</v>
      </c>
    </row>
    <row r="312" spans="1:20" ht="18" customHeight="1">
      <c r="A312" s="9">
        <v>36586</v>
      </c>
      <c r="B312" s="58">
        <v>1.4319999999999999</v>
      </c>
      <c r="C312" s="30" t="str">
        <f t="shared" si="22"/>
        <v/>
      </c>
      <c r="D312" s="41" t="str">
        <f t="shared" si="24"/>
        <v/>
      </c>
      <c r="E312" s="41" t="str">
        <f t="shared" si="25"/>
        <v/>
      </c>
      <c r="F312" s="17">
        <v>861</v>
      </c>
      <c r="G312" s="27">
        <v>108.03</v>
      </c>
      <c r="H312" s="25">
        <v>30</v>
      </c>
      <c r="I312" s="28">
        <f t="shared" si="28"/>
        <v>582.7175144290419</v>
      </c>
      <c r="J312" s="29">
        <f t="shared" si="26"/>
        <v>447.95338833235104</v>
      </c>
      <c r="K312" s="29">
        <f t="shared" si="27"/>
        <v>798.57723879482728</v>
      </c>
    </row>
    <row r="313" spans="1:20" ht="18" customHeight="1">
      <c r="A313" s="9">
        <v>36557</v>
      </c>
      <c r="B313" s="58">
        <v>1.377</v>
      </c>
      <c r="C313" s="30" t="str">
        <f t="shared" si="22"/>
        <v/>
      </c>
      <c r="D313" s="41" t="str">
        <f t="shared" si="24"/>
        <v/>
      </c>
      <c r="E313" s="41" t="str">
        <f t="shared" si="25"/>
        <v/>
      </c>
      <c r="F313" s="17">
        <v>828</v>
      </c>
      <c r="G313" s="27">
        <v>103.17</v>
      </c>
      <c r="H313" s="25">
        <v>40</v>
      </c>
      <c r="I313" s="28">
        <f t="shared" si="28"/>
        <v>556.50250822590249</v>
      </c>
      <c r="J313" s="29">
        <f t="shared" si="26"/>
        <v>430.78444313494384</v>
      </c>
      <c r="K313" s="29">
        <f t="shared" si="27"/>
        <v>762.65124249247731</v>
      </c>
      <c r="T313" s="32"/>
    </row>
    <row r="314" spans="1:20" ht="18" customHeight="1">
      <c r="A314" s="9">
        <v>36526</v>
      </c>
      <c r="B314" s="58">
        <v>1.57</v>
      </c>
      <c r="C314" s="30" t="str">
        <f t="shared" si="22"/>
        <v/>
      </c>
      <c r="D314" s="41" t="str">
        <f t="shared" si="24"/>
        <v/>
      </c>
      <c r="E314" s="41" t="str">
        <f t="shared" si="25"/>
        <v/>
      </c>
      <c r="F314" s="17">
        <v>944</v>
      </c>
      <c r="G314" s="27">
        <v>119.08</v>
      </c>
      <c r="H314" s="25">
        <v>40</v>
      </c>
      <c r="I314" s="28">
        <f t="shared" si="28"/>
        <v>642.32159231889568</v>
      </c>
      <c r="J314" s="29">
        <f t="shared" si="26"/>
        <v>491.13588685916301</v>
      </c>
      <c r="K314" s="29">
        <f t="shared" si="27"/>
        <v>880.26083121066392</v>
      </c>
      <c r="S314" s="33"/>
      <c r="T314" s="32"/>
    </row>
    <row r="315" spans="1:20" ht="18" customHeight="1">
      <c r="A315" s="9">
        <v>36495</v>
      </c>
      <c r="B315" s="60">
        <v>1.7090000000000001</v>
      </c>
      <c r="C315" s="30" t="str">
        <f t="shared" si="22"/>
        <v/>
      </c>
      <c r="D315" s="41" t="str">
        <f t="shared" si="24"/>
        <v/>
      </c>
      <c r="E315" s="41" t="str">
        <f t="shared" si="25"/>
        <v/>
      </c>
      <c r="F315" s="20">
        <v>1028</v>
      </c>
      <c r="G315" s="27">
        <v>130.02000000000001</v>
      </c>
      <c r="H315" s="26">
        <v>20</v>
      </c>
      <c r="I315" s="28">
        <f t="shared" si="28"/>
        <v>701.33232644695011</v>
      </c>
      <c r="J315" s="29">
        <f t="shared" si="26"/>
        <v>534.8386564525631</v>
      </c>
      <c r="K315" s="29">
        <f t="shared" si="27"/>
        <v>961.1312837924969</v>
      </c>
      <c r="R315" s="33"/>
      <c r="S315" s="33"/>
      <c r="T315" s="32"/>
    </row>
    <row r="316" spans="1:20" ht="18" customHeight="1">
      <c r="A316" s="9">
        <v>36465</v>
      </c>
      <c r="B316" s="60">
        <v>1.6579999999999999</v>
      </c>
      <c r="C316" s="30" t="str">
        <f t="shared" si="22"/>
        <v/>
      </c>
      <c r="D316" s="41" t="str">
        <f t="shared" si="24"/>
        <v/>
      </c>
      <c r="E316" s="41" t="str">
        <f t="shared" si="25"/>
        <v/>
      </c>
      <c r="F316" s="20">
        <v>997</v>
      </c>
      <c r="G316" s="27">
        <v>123.59</v>
      </c>
      <c r="H316" s="26">
        <v>20</v>
      </c>
      <c r="I316" s="28">
        <f t="shared" si="28"/>
        <v>666.6486865526731</v>
      </c>
      <c r="J316" s="29">
        <f t="shared" si="26"/>
        <v>518.71025338833215</v>
      </c>
      <c r="K316" s="29">
        <f t="shared" si="27"/>
        <v>913.59956440481994</v>
      </c>
      <c r="Q316" s="33"/>
      <c r="R316" s="33"/>
      <c r="S316" s="33"/>
      <c r="T316" s="32"/>
    </row>
    <row r="317" spans="1:20" ht="18" customHeight="1">
      <c r="A317" s="9">
        <v>36434</v>
      </c>
      <c r="B317" s="60">
        <v>1.387</v>
      </c>
      <c r="C317" s="30" t="str">
        <f t="shared" si="22"/>
        <v/>
      </c>
      <c r="D317" s="41" t="str">
        <f t="shared" si="24"/>
        <v/>
      </c>
      <c r="E317" s="41" t="str">
        <f t="shared" si="25"/>
        <v/>
      </c>
      <c r="F317" s="20">
        <v>834</v>
      </c>
      <c r="G317" s="27">
        <v>100.19</v>
      </c>
      <c r="H317" s="26">
        <v>20</v>
      </c>
      <c r="I317" s="28">
        <f t="shared" si="28"/>
        <v>540.42828631533553</v>
      </c>
      <c r="J317" s="29">
        <f t="shared" si="26"/>
        <v>433.90606953447241</v>
      </c>
      <c r="K317" s="29">
        <f t="shared" si="27"/>
        <v>740.62254517128326</v>
      </c>
      <c r="P317" s="33"/>
      <c r="Q317" s="33"/>
      <c r="R317" s="33"/>
      <c r="S317" s="33"/>
      <c r="T317" s="32"/>
    </row>
    <row r="318" spans="1:20" ht="18" customHeight="1">
      <c r="A318" s="9">
        <v>36404</v>
      </c>
      <c r="B318" s="60">
        <v>1.39</v>
      </c>
      <c r="C318" s="30" t="str">
        <f t="shared" si="22"/>
        <v/>
      </c>
      <c r="D318" s="41" t="str">
        <f t="shared" si="24"/>
        <v/>
      </c>
      <c r="E318" s="41" t="str">
        <f t="shared" si="25"/>
        <v/>
      </c>
      <c r="F318" s="20">
        <v>836</v>
      </c>
      <c r="G318" s="27">
        <v>100.71</v>
      </c>
      <c r="H318" s="26">
        <v>20</v>
      </c>
      <c r="I318" s="28">
        <f t="shared" si="28"/>
        <v>543.23318409838748</v>
      </c>
      <c r="J318" s="29">
        <f t="shared" si="26"/>
        <v>434.9466116676486</v>
      </c>
      <c r="K318" s="29">
        <f t="shared" si="27"/>
        <v>744.46647893202851</v>
      </c>
      <c r="O318" s="33"/>
      <c r="P318" s="33"/>
      <c r="Q318" s="33"/>
      <c r="R318" s="33"/>
      <c r="S318" s="33"/>
      <c r="T318" s="32"/>
    </row>
    <row r="319" spans="1:20" ht="18" customHeight="1">
      <c r="A319" s="9">
        <v>36373</v>
      </c>
      <c r="B319" s="60">
        <v>1.56</v>
      </c>
      <c r="C319" s="30" t="str">
        <f t="shared" si="22"/>
        <v/>
      </c>
      <c r="D319" s="41" t="str">
        <f t="shared" si="24"/>
        <v/>
      </c>
      <c r="E319" s="41" t="str">
        <f t="shared" si="25"/>
        <v/>
      </c>
      <c r="F319" s="20">
        <v>938</v>
      </c>
      <c r="G319" s="27">
        <v>112.79</v>
      </c>
      <c r="H319" s="26">
        <v>20</v>
      </c>
      <c r="I319" s="28">
        <f t="shared" si="28"/>
        <v>608.39311721236356</v>
      </c>
      <c r="J319" s="29">
        <f t="shared" si="26"/>
        <v>488.01426045963439</v>
      </c>
      <c r="K319" s="29">
        <f t="shared" si="27"/>
        <v>833.76401706626461</v>
      </c>
      <c r="N319" s="33"/>
      <c r="O319" s="33"/>
      <c r="P319" s="33"/>
      <c r="Q319" s="33"/>
      <c r="R319" s="33"/>
      <c r="S319" s="33"/>
      <c r="T319" s="32"/>
    </row>
    <row r="320" spans="1:20" ht="18" customHeight="1">
      <c r="A320" s="9">
        <v>36342</v>
      </c>
      <c r="B320" s="60">
        <v>1.613</v>
      </c>
      <c r="C320" s="30" t="str">
        <f t="shared" si="22"/>
        <v/>
      </c>
      <c r="D320" s="41" t="str">
        <f t="shared" si="24"/>
        <v/>
      </c>
      <c r="E320" s="41" t="str">
        <f t="shared" si="25"/>
        <v/>
      </c>
      <c r="F320" s="20">
        <v>970</v>
      </c>
      <c r="G320" s="27">
        <v>116.14</v>
      </c>
      <c r="H320" s="26">
        <v>20</v>
      </c>
      <c r="I320" s="28">
        <f t="shared" si="28"/>
        <v>626.46313177625586</v>
      </c>
      <c r="J320" s="29">
        <f t="shared" si="26"/>
        <v>504.66293459045346</v>
      </c>
      <c r="K320" s="29">
        <f t="shared" si="27"/>
        <v>858.52782110183489</v>
      </c>
      <c r="M320" s="33"/>
      <c r="N320" s="33"/>
      <c r="O320" s="33"/>
      <c r="P320" s="33"/>
      <c r="Q320" s="33"/>
      <c r="R320" s="33"/>
      <c r="S320" s="32"/>
      <c r="T320" s="32"/>
    </row>
    <row r="321" spans="1:20" ht="18" customHeight="1">
      <c r="A321" s="9">
        <v>36312</v>
      </c>
      <c r="B321" s="60">
        <v>1.468</v>
      </c>
      <c r="C321" s="30" t="str">
        <f t="shared" si="22"/>
        <v/>
      </c>
      <c r="D321" s="41" t="str">
        <f t="shared" si="24"/>
        <v/>
      </c>
      <c r="E321" s="41" t="str">
        <f t="shared" si="25"/>
        <v/>
      </c>
      <c r="F321" s="20">
        <v>883</v>
      </c>
      <c r="G321" s="27">
        <v>105.47</v>
      </c>
      <c r="H321" s="26">
        <v>20</v>
      </c>
      <c r="I321" s="28">
        <f t="shared" si="28"/>
        <v>568.90878688170926</v>
      </c>
      <c r="J321" s="29">
        <f t="shared" si="26"/>
        <v>459.39935179728906</v>
      </c>
      <c r="K321" s="29">
        <f t="shared" si="27"/>
        <v>779.65325720346596</v>
      </c>
      <c r="L321" s="33"/>
      <c r="M321" s="33"/>
      <c r="N321" s="33"/>
      <c r="O321" s="33"/>
      <c r="P321" s="33"/>
      <c r="Q321" s="33"/>
      <c r="R321" s="33"/>
      <c r="S321" s="32"/>
      <c r="T321" s="32"/>
    </row>
    <row r="322" spans="1:20" ht="18" customHeight="1">
      <c r="A322" s="9">
        <v>36281</v>
      </c>
      <c r="B322" s="60">
        <v>1.224</v>
      </c>
      <c r="C322" s="30" t="str">
        <f t="shared" si="22"/>
        <v/>
      </c>
      <c r="D322" s="41" t="str">
        <f t="shared" si="24"/>
        <v/>
      </c>
      <c r="E322" s="41" t="str">
        <f t="shared" si="25"/>
        <v/>
      </c>
      <c r="F322" s="20">
        <v>736</v>
      </c>
      <c r="G322" s="27">
        <v>85.68</v>
      </c>
      <c r="H322" s="26">
        <v>20</v>
      </c>
      <c r="I322" s="28">
        <f t="shared" si="28"/>
        <v>462.16085009979003</v>
      </c>
      <c r="J322" s="29">
        <f t="shared" si="26"/>
        <v>382.91950500883888</v>
      </c>
      <c r="K322" s="29">
        <f t="shared" si="27"/>
        <v>633.36200888587246</v>
      </c>
      <c r="L322" s="33"/>
      <c r="M322" s="33"/>
      <c r="N322" s="33"/>
      <c r="O322" s="33"/>
      <c r="P322" s="33"/>
      <c r="Q322" s="33"/>
      <c r="R322" s="33"/>
      <c r="S322" s="32"/>
      <c r="T322" s="32"/>
    </row>
    <row r="323" spans="1:20" ht="18" customHeight="1">
      <c r="A323" s="9">
        <v>36251</v>
      </c>
      <c r="B323" s="60">
        <v>1.252</v>
      </c>
      <c r="C323" s="30" t="str">
        <f t="shared" si="22"/>
        <v/>
      </c>
      <c r="D323" s="41" t="str">
        <f t="shared" si="24"/>
        <v/>
      </c>
      <c r="E323" s="41" t="str">
        <f t="shared" si="25"/>
        <v/>
      </c>
      <c r="F323" s="20">
        <v>753</v>
      </c>
      <c r="G323" s="27">
        <v>87.15</v>
      </c>
      <c r="H323" s="26">
        <v>20</v>
      </c>
      <c r="I323" s="28">
        <f t="shared" si="28"/>
        <v>470.09008037110993</v>
      </c>
      <c r="J323" s="29">
        <f t="shared" si="26"/>
        <v>391.76411314083651</v>
      </c>
      <c r="K323" s="29">
        <f t="shared" si="27"/>
        <v>644.22851394028692</v>
      </c>
      <c r="L323" s="33"/>
      <c r="M323" s="33"/>
      <c r="N323" s="33"/>
      <c r="O323" s="33"/>
      <c r="P323" s="33"/>
      <c r="Q323" s="33"/>
      <c r="R323" s="33"/>
      <c r="S323" s="32"/>
      <c r="T323" s="32"/>
    </row>
    <row r="324" spans="1:20" ht="18" customHeight="1">
      <c r="A324" s="9">
        <v>36220</v>
      </c>
      <c r="B324" s="60">
        <v>1.0289999999999999</v>
      </c>
      <c r="C324" s="30" t="str">
        <f t="shared" ref="C324:C326" si="31">IF(B324&lt;=C$1, "Risk", "")</f>
        <v/>
      </c>
      <c r="D324" s="41" t="str">
        <f t="shared" si="24"/>
        <v/>
      </c>
      <c r="E324" s="41" t="str">
        <f t="shared" si="25"/>
        <v/>
      </c>
      <c r="F324" s="20">
        <v>619</v>
      </c>
      <c r="G324" s="27">
        <v>71.84</v>
      </c>
      <c r="H324" s="26">
        <v>20</v>
      </c>
      <c r="I324" s="28">
        <f t="shared" si="28"/>
        <v>387.50741679702281</v>
      </c>
      <c r="J324" s="29">
        <f t="shared" si="26"/>
        <v>322.04779021803165</v>
      </c>
      <c r="K324" s="29">
        <f t="shared" si="27"/>
        <v>531.05423340757557</v>
      </c>
      <c r="L324" s="33"/>
      <c r="M324" s="33"/>
      <c r="N324" s="33"/>
      <c r="O324" s="33"/>
      <c r="P324" s="33"/>
      <c r="Q324" s="33"/>
      <c r="R324" s="33"/>
      <c r="S324" s="32"/>
      <c r="T324" s="32"/>
    </row>
    <row r="325" spans="1:20" ht="18" customHeight="1">
      <c r="A325" s="9">
        <v>36192</v>
      </c>
      <c r="B325" s="60">
        <v>0.86499999999999999</v>
      </c>
      <c r="C325" s="30" t="str">
        <f t="shared" si="31"/>
        <v>Risk</v>
      </c>
      <c r="D325" s="41" t="str">
        <f t="shared" ref="D325:D326" si="32">IF(B325&lt;=D$1, "Risk", "")</f>
        <v>Risk</v>
      </c>
      <c r="E325" s="41" t="str">
        <f t="shared" ref="E325:E326" si="33">IF(B325&lt;=E$1, "Risk", "")</f>
        <v/>
      </c>
      <c r="F325" s="20">
        <v>520</v>
      </c>
      <c r="G325" s="27">
        <v>60.28</v>
      </c>
      <c r="H325" s="26">
        <v>20</v>
      </c>
      <c r="I325" s="28">
        <f t="shared" si="28"/>
        <v>325.15238146609875</v>
      </c>
      <c r="J325" s="29">
        <f t="shared" si="26"/>
        <v>270.54095462581012</v>
      </c>
      <c r="K325" s="29">
        <f t="shared" si="27"/>
        <v>445.60062903408482</v>
      </c>
      <c r="L325" s="35">
        <f>1+(($I321/$I325)-1)*2</f>
        <v>2.4993364299933645</v>
      </c>
      <c r="M325" s="35">
        <f>1+(($I320/$I325)-1)*2</f>
        <v>2.8533510285335097</v>
      </c>
      <c r="N325" s="35">
        <f>1+(($I319/$I325)-1)*2</f>
        <v>2.7422030524220302</v>
      </c>
      <c r="O325" s="35">
        <f>1+(($I318/$I325)-1)*2</f>
        <v>2.3414067684140671</v>
      </c>
      <c r="P325" s="35">
        <f>1+(($I317/$I325)-1)*2</f>
        <v>2.3241539482415385</v>
      </c>
      <c r="Q325" s="35">
        <f>1+(($I316/$I325)-1)*2</f>
        <v>3.1005308560053075</v>
      </c>
      <c r="R325" s="35">
        <f>1+(($I315/$I325)-1)*2</f>
        <v>3.3138686131386859</v>
      </c>
      <c r="S325" s="35">
        <f>1+(($I314/$I325)-1)*2</f>
        <v>2.9508958195089576</v>
      </c>
      <c r="T325" s="35">
        <f>1+(($I313/$I325)-1)*2</f>
        <v>2.4230258792302584</v>
      </c>
    </row>
    <row r="326" spans="1:20" ht="18" customHeight="1">
      <c r="A326" s="9">
        <v>36161</v>
      </c>
      <c r="B326" s="60">
        <v>0.94899999999999995</v>
      </c>
      <c r="C326" s="30" t="str">
        <f t="shared" si="31"/>
        <v>Risk</v>
      </c>
      <c r="D326" s="41" t="str">
        <f t="shared" si="32"/>
        <v/>
      </c>
      <c r="E326" s="41" t="str">
        <f t="shared" si="33"/>
        <v/>
      </c>
      <c r="F326" s="20">
        <v>571</v>
      </c>
      <c r="G326" s="27">
        <v>65.72</v>
      </c>
      <c r="H326" s="26">
        <v>20</v>
      </c>
      <c r="I326" s="28">
        <f t="shared" si="28"/>
        <v>354.4959275041806</v>
      </c>
      <c r="J326" s="29">
        <f t="shared" si="26"/>
        <v>297.07477902180307</v>
      </c>
      <c r="K326" s="29">
        <f t="shared" si="27"/>
        <v>485.81408991572744</v>
      </c>
      <c r="L326" s="34">
        <f>$I325/$I326</f>
        <v>0.91722458916615957</v>
      </c>
      <c r="M326" s="34">
        <f t="shared" ref="M326:T326" si="34">$I325/$I326</f>
        <v>0.91722458916615957</v>
      </c>
      <c r="N326" s="34">
        <f t="shared" si="34"/>
        <v>0.91722458916615957</v>
      </c>
      <c r="O326" s="34">
        <f t="shared" si="34"/>
        <v>0.91722458916615957</v>
      </c>
      <c r="P326" s="34">
        <f t="shared" si="34"/>
        <v>0.91722458916615957</v>
      </c>
      <c r="Q326" s="34">
        <f t="shared" si="34"/>
        <v>0.91722458916615957</v>
      </c>
      <c r="R326" s="34">
        <f t="shared" si="34"/>
        <v>0.91722458916615957</v>
      </c>
      <c r="S326" s="34">
        <f t="shared" si="34"/>
        <v>0.91722458916615957</v>
      </c>
      <c r="T326" s="34">
        <f t="shared" si="34"/>
        <v>0.91722458916615957</v>
      </c>
    </row>
  </sheetData>
  <phoneticPr fontId="1" type="noConversion"/>
  <conditionalFormatting sqref="C1:E1048576">
    <cfRule type="containsText" dxfId="56" priority="2" operator="containsText" text="Risk">
      <formula>NOT(ISERROR(SEARCH("Risk",C1)))</formula>
    </cfRule>
  </conditionalFormatting>
  <conditionalFormatting sqref="L4:T326">
    <cfRule type="cellIs" dxfId="55" priority="1" operator="lessThan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D8F8-BF07-4F7D-A525-690FB45C5530}">
  <dimension ref="A1:U326"/>
  <sheetViews>
    <sheetView zoomScale="85" zoomScaleNormal="85" workbookViewId="0">
      <pane ySplit="1" topLeftCell="A2" activePane="bottomLeft" state="frozen"/>
      <selection pane="bottomLeft" activeCell="Q1" sqref="Q1"/>
    </sheetView>
  </sheetViews>
  <sheetFormatPr defaultColWidth="21" defaultRowHeight="16.5"/>
  <cols>
    <col min="1" max="1" width="11.625" style="2" customWidth="1"/>
    <col min="2" max="2" width="9.875" style="61" customWidth="1"/>
    <col min="3" max="4" width="7.75" style="31" customWidth="1"/>
    <col min="5" max="5" width="9.125" style="6" customWidth="1"/>
    <col min="6" max="6" width="11.625" style="6" hidden="1" customWidth="1"/>
    <col min="7" max="8" width="11.625" style="6" customWidth="1"/>
    <col min="9" max="10" width="11.625" style="2" hidden="1" customWidth="1"/>
    <col min="11" max="19" width="8.75" style="2" customWidth="1"/>
    <col min="20" max="16384" width="21" style="2"/>
  </cols>
  <sheetData>
    <row r="1" spans="1:20" ht="18" customHeight="1">
      <c r="A1" s="10" t="s">
        <v>3</v>
      </c>
      <c r="B1" s="55" t="s">
        <v>2</v>
      </c>
      <c r="C1" s="70">
        <v>1</v>
      </c>
      <c r="D1" s="70">
        <v>0.95</v>
      </c>
      <c r="E1" s="47" t="s">
        <v>0</v>
      </c>
      <c r="F1" s="47" t="s">
        <v>1</v>
      </c>
      <c r="G1" s="47" t="s">
        <v>4</v>
      </c>
      <c r="H1" s="48" t="s">
        <v>5</v>
      </c>
      <c r="I1" s="49" t="s">
        <v>6</v>
      </c>
      <c r="J1" s="49" t="s">
        <v>7</v>
      </c>
      <c r="K1" s="49" t="s">
        <v>9</v>
      </c>
      <c r="L1" s="49" t="s">
        <v>10</v>
      </c>
      <c r="M1" s="49" t="s">
        <v>8</v>
      </c>
      <c r="N1" s="49" t="s">
        <v>11</v>
      </c>
      <c r="O1" s="49" t="s">
        <v>12</v>
      </c>
      <c r="P1" s="49" t="s">
        <v>13</v>
      </c>
      <c r="Q1" s="54" t="s">
        <v>14</v>
      </c>
      <c r="R1" s="49" t="s">
        <v>15</v>
      </c>
      <c r="S1" s="49" t="s">
        <v>16</v>
      </c>
      <c r="T1" s="53" t="s">
        <v>17</v>
      </c>
    </row>
    <row r="2" spans="1:20" ht="18" customHeight="1">
      <c r="A2" s="10"/>
      <c r="B2" s="55"/>
      <c r="C2" s="46" t="s">
        <v>21</v>
      </c>
      <c r="D2" s="46" t="s">
        <v>20</v>
      </c>
      <c r="E2" s="47"/>
      <c r="F2" s="47"/>
      <c r="G2" s="47"/>
      <c r="H2" s="48"/>
      <c r="I2" s="49"/>
      <c r="J2" s="49"/>
      <c r="K2" s="50">
        <f>PRODUCT(K4:K326)</f>
        <v>11.219386821718407</v>
      </c>
      <c r="L2" s="50">
        <f t="shared" ref="L2:S2" si="0">PRODUCT(L4:L326)</f>
        <v>35.506213893138259</v>
      </c>
      <c r="M2" s="50">
        <f t="shared" si="0"/>
        <v>77.3777470210442</v>
      </c>
      <c r="N2" s="50">
        <f t="shared" si="0"/>
        <v>187.17695193720218</v>
      </c>
      <c r="O2" s="50">
        <f t="shared" si="0"/>
        <v>81.583135493546237</v>
      </c>
      <c r="P2" s="50">
        <f t="shared" si="0"/>
        <v>74.230551056650341</v>
      </c>
      <c r="Q2" s="51">
        <f t="shared" si="0"/>
        <v>145.21503799533994</v>
      </c>
      <c r="R2" s="50">
        <f t="shared" si="0"/>
        <v>111.65003214644418</v>
      </c>
      <c r="S2" s="50">
        <f t="shared" si="0"/>
        <v>84.364159592415945</v>
      </c>
      <c r="T2" s="78">
        <f>Q2^(1/27)-1</f>
        <v>0.20247070137980661</v>
      </c>
    </row>
    <row r="3" spans="1:20" ht="18" customHeight="1">
      <c r="A3" s="10"/>
      <c r="B3" s="62"/>
      <c r="C3" s="63"/>
      <c r="D3" s="63"/>
      <c r="E3" s="64"/>
      <c r="F3" s="64"/>
      <c r="G3" s="64"/>
      <c r="H3" s="65"/>
      <c r="I3" s="66"/>
      <c r="J3" s="66"/>
      <c r="K3" s="67">
        <f>COUNTIF(K4:K326, "&lt;1")</f>
        <v>10</v>
      </c>
      <c r="L3" s="67">
        <f t="shared" ref="L3:S3" si="1">COUNTIF(L4:L326, "&lt;1")</f>
        <v>8</v>
      </c>
      <c r="M3" s="67">
        <f t="shared" si="1"/>
        <v>6</v>
      </c>
      <c r="N3" s="67">
        <f t="shared" si="1"/>
        <v>4</v>
      </c>
      <c r="O3" s="67">
        <f t="shared" si="1"/>
        <v>3</v>
      </c>
      <c r="P3" s="67">
        <f t="shared" si="1"/>
        <v>2</v>
      </c>
      <c r="Q3" s="67">
        <f t="shared" si="1"/>
        <v>4</v>
      </c>
      <c r="R3" s="67">
        <f t="shared" si="1"/>
        <v>3</v>
      </c>
      <c r="S3" s="67">
        <f t="shared" si="1"/>
        <v>2</v>
      </c>
      <c r="T3" s="1" t="s">
        <v>18</v>
      </c>
    </row>
    <row r="4" spans="1:20" ht="18" customHeight="1">
      <c r="A4" s="9">
        <v>45962</v>
      </c>
      <c r="B4" s="56">
        <v>1.29</v>
      </c>
      <c r="C4" s="41" t="str">
        <f t="shared" ref="C4:C67" si="2">IF(B4&lt;=C$1, "Risk", "")</f>
        <v/>
      </c>
      <c r="D4" s="41" t="str">
        <f>IF(B4&lt;=D$1, "Risk", "")</f>
        <v/>
      </c>
      <c r="E4" s="42">
        <v>3853.26</v>
      </c>
      <c r="F4" s="42">
        <v>540.36</v>
      </c>
      <c r="G4" s="42">
        <v>41.88</v>
      </c>
      <c r="H4" s="42">
        <v>2666.12</v>
      </c>
      <c r="I4" s="43">
        <v>863.95</v>
      </c>
      <c r="J4" s="43">
        <v>1517.92</v>
      </c>
      <c r="N4" s="32"/>
    </row>
    <row r="5" spans="1:20" ht="18" customHeight="1">
      <c r="A5" s="9">
        <v>45931</v>
      </c>
      <c r="B5" s="3">
        <v>1.38</v>
      </c>
      <c r="C5" s="30" t="str">
        <f t="shared" si="2"/>
        <v/>
      </c>
      <c r="D5" s="41" t="str">
        <f t="shared" ref="D5:D68" si="3">IF(B5&lt;=D$1, "Risk", "")</f>
        <v/>
      </c>
      <c r="E5" s="16">
        <v>4107.5</v>
      </c>
      <c r="F5" s="16">
        <v>579.46</v>
      </c>
      <c r="G5" s="16">
        <v>30.4</v>
      </c>
      <c r="H5" s="16">
        <v>2862.4</v>
      </c>
      <c r="I5" s="14">
        <v>900.42</v>
      </c>
      <c r="J5" s="14">
        <v>1549.34</v>
      </c>
      <c r="M5" s="32"/>
      <c r="N5" s="32"/>
    </row>
    <row r="6" spans="1:20" ht="18" customHeight="1">
      <c r="A6" s="9">
        <v>45901</v>
      </c>
      <c r="B6" s="3">
        <v>1.146595</v>
      </c>
      <c r="C6" s="30" t="str">
        <f t="shared" si="2"/>
        <v/>
      </c>
      <c r="D6" s="41" t="str">
        <f t="shared" si="3"/>
        <v/>
      </c>
      <c r="E6" s="16">
        <v>3424.6</v>
      </c>
      <c r="F6" s="16">
        <v>474.03</v>
      </c>
      <c r="G6" s="16">
        <v>20.62</v>
      </c>
      <c r="H6" s="16">
        <v>2343.75</v>
      </c>
      <c r="I6" s="14">
        <v>841.99</v>
      </c>
      <c r="J6" s="14">
        <v>1407.18</v>
      </c>
      <c r="M6" s="32"/>
      <c r="N6" s="32"/>
      <c r="S6" s="32"/>
    </row>
    <row r="7" spans="1:20" ht="18" customHeight="1">
      <c r="A7" s="9">
        <v>45870</v>
      </c>
      <c r="B7" s="3">
        <v>1.072565</v>
      </c>
      <c r="C7" s="30" t="str">
        <f t="shared" si="2"/>
        <v/>
      </c>
      <c r="D7" s="41" t="str">
        <f t="shared" si="3"/>
        <v/>
      </c>
      <c r="E7" s="16">
        <v>3186.01</v>
      </c>
      <c r="F7" s="16">
        <v>430.12</v>
      </c>
      <c r="G7" s="16">
        <v>19.52</v>
      </c>
      <c r="H7" s="16">
        <v>2127.69</v>
      </c>
      <c r="I7" s="14">
        <v>796.91</v>
      </c>
      <c r="J7" s="14">
        <v>1336.98</v>
      </c>
      <c r="L7" s="32"/>
      <c r="M7" s="32"/>
      <c r="N7" s="32"/>
      <c r="R7" s="33"/>
      <c r="S7" s="32"/>
    </row>
    <row r="8" spans="1:20" ht="18" customHeight="1">
      <c r="A8" s="9">
        <v>45839</v>
      </c>
      <c r="B8" s="3">
        <v>1.091499</v>
      </c>
      <c r="C8" s="30" t="str">
        <f t="shared" si="2"/>
        <v/>
      </c>
      <c r="D8" s="41" t="str">
        <f t="shared" si="3"/>
        <v/>
      </c>
      <c r="E8" s="16">
        <v>3245.44</v>
      </c>
      <c r="F8" s="16">
        <v>438.6</v>
      </c>
      <c r="G8" s="16">
        <v>21.85</v>
      </c>
      <c r="H8" s="16">
        <v>2163.7600000000002</v>
      </c>
      <c r="I8" s="14">
        <v>805.24</v>
      </c>
      <c r="J8" s="14">
        <v>1352.23</v>
      </c>
      <c r="L8" s="32"/>
      <c r="M8" s="32"/>
      <c r="N8" s="32"/>
      <c r="Q8" s="33"/>
      <c r="R8" s="32"/>
      <c r="S8" s="32"/>
    </row>
    <row r="9" spans="1:20" ht="18" customHeight="1">
      <c r="A9" s="9">
        <v>45809</v>
      </c>
      <c r="B9" s="11">
        <v>1.032691</v>
      </c>
      <c r="C9" s="30" t="str">
        <f t="shared" si="2"/>
        <v/>
      </c>
      <c r="D9" s="41" t="str">
        <f t="shared" si="3"/>
        <v/>
      </c>
      <c r="E9" s="16">
        <v>3071.7</v>
      </c>
      <c r="F9" s="16">
        <v>414.6</v>
      </c>
      <c r="G9" s="16">
        <v>23.99</v>
      </c>
      <c r="H9" s="16">
        <v>2056.29</v>
      </c>
      <c r="I9" s="13">
        <v>781.5</v>
      </c>
      <c r="J9" s="14">
        <v>1267.1300000000001</v>
      </c>
      <c r="K9" s="33"/>
      <c r="L9" s="32"/>
      <c r="M9" s="32"/>
      <c r="N9" s="32"/>
      <c r="O9" s="33"/>
      <c r="P9" s="33"/>
      <c r="Q9" s="33"/>
      <c r="R9" s="32"/>
      <c r="S9" s="32"/>
    </row>
    <row r="10" spans="1:20" ht="18" customHeight="1">
      <c r="A10" s="9">
        <v>45778</v>
      </c>
      <c r="B10" s="11">
        <v>0.91562399999999999</v>
      </c>
      <c r="C10" s="30" t="str">
        <f t="shared" si="2"/>
        <v>Risk</v>
      </c>
      <c r="D10" s="41" t="str">
        <f t="shared" si="3"/>
        <v>Risk</v>
      </c>
      <c r="E10" s="16">
        <v>2697.67</v>
      </c>
      <c r="F10" s="16">
        <v>359.62</v>
      </c>
      <c r="G10" s="16">
        <v>22.55</v>
      </c>
      <c r="H10" s="16">
        <v>1782.88</v>
      </c>
      <c r="I10" s="14">
        <v>734.35</v>
      </c>
      <c r="J10" s="14">
        <v>1194.26</v>
      </c>
      <c r="K10" s="33"/>
      <c r="L10" s="32"/>
      <c r="M10" s="32"/>
      <c r="N10" s="35">
        <f>1+(($H4/$H10)-1)*2</f>
        <v>1.9908013999820513</v>
      </c>
      <c r="O10" s="33"/>
      <c r="P10" s="33"/>
      <c r="Q10" s="33"/>
      <c r="R10" s="32"/>
      <c r="S10" s="32"/>
    </row>
    <row r="11" spans="1:20" ht="18" customHeight="1">
      <c r="A11" s="9">
        <v>45748</v>
      </c>
      <c r="B11" s="11">
        <v>0.89342200000000005</v>
      </c>
      <c r="C11" s="30" t="str">
        <f t="shared" si="2"/>
        <v>Risk</v>
      </c>
      <c r="D11" s="41" t="str">
        <f t="shared" si="3"/>
        <v>Risk</v>
      </c>
      <c r="E11" s="16">
        <v>2556.61</v>
      </c>
      <c r="F11" s="16">
        <v>338.74</v>
      </c>
      <c r="G11" s="16">
        <v>20.74</v>
      </c>
      <c r="H11" s="16">
        <v>1677.67</v>
      </c>
      <c r="I11" s="14">
        <v>717.24</v>
      </c>
      <c r="J11" s="14">
        <v>1169.69</v>
      </c>
      <c r="K11" s="32"/>
      <c r="L11" s="32"/>
      <c r="M11" s="35">
        <f>1+(($H5/$H11)-1)*2</f>
        <v>2.4123516543777979</v>
      </c>
      <c r="N11" s="33"/>
      <c r="O11" s="33"/>
      <c r="P11" s="33"/>
      <c r="Q11" s="33"/>
      <c r="R11" s="32"/>
      <c r="S11" s="32"/>
    </row>
    <row r="12" spans="1:20" ht="18" customHeight="1">
      <c r="A12" s="9">
        <v>45717</v>
      </c>
      <c r="B12" s="11">
        <v>0.86726999999999999</v>
      </c>
      <c r="C12" s="30" t="str">
        <f t="shared" si="2"/>
        <v>Risk</v>
      </c>
      <c r="D12" s="41" t="str">
        <f t="shared" si="3"/>
        <v>Risk</v>
      </c>
      <c r="E12" s="16">
        <v>2481.12</v>
      </c>
      <c r="F12" s="16">
        <v>332.4</v>
      </c>
      <c r="G12" s="16">
        <v>25.35</v>
      </c>
      <c r="H12" s="16">
        <v>1652.67</v>
      </c>
      <c r="I12" s="14">
        <v>672.85</v>
      </c>
      <c r="J12" s="14">
        <v>1112.8900000000001</v>
      </c>
      <c r="K12" s="32"/>
      <c r="L12" s="35">
        <f>1+(($H7/$H12)-1)*2</f>
        <v>1.5748516037684475</v>
      </c>
      <c r="M12" s="32"/>
      <c r="N12" s="32"/>
      <c r="O12" s="36"/>
      <c r="P12" s="33"/>
      <c r="Q12" s="33"/>
      <c r="R12" s="32"/>
      <c r="S12" s="32"/>
    </row>
    <row r="13" spans="1:20" ht="18" customHeight="1">
      <c r="A13" s="9">
        <v>45689</v>
      </c>
      <c r="B13" s="11">
        <v>0.88822400000000001</v>
      </c>
      <c r="C13" s="30" t="str">
        <f t="shared" si="2"/>
        <v>Risk</v>
      </c>
      <c r="D13" s="41" t="str">
        <f t="shared" si="3"/>
        <v>Risk</v>
      </c>
      <c r="E13" s="16">
        <v>2532.7800000000002</v>
      </c>
      <c r="F13" s="16">
        <v>334.27</v>
      </c>
      <c r="G13" s="16">
        <v>22.86</v>
      </c>
      <c r="H13" s="16">
        <v>1648.2</v>
      </c>
      <c r="I13" s="14">
        <v>743.96</v>
      </c>
      <c r="J13" s="14">
        <v>1262.71</v>
      </c>
      <c r="K13" s="35">
        <f>1+(($H9/$H13)-1)*2</f>
        <v>1.4951947579177283</v>
      </c>
      <c r="L13" s="32"/>
      <c r="M13" s="32"/>
      <c r="N13" s="32"/>
      <c r="O13" s="36"/>
      <c r="P13" s="33"/>
      <c r="Q13" s="33"/>
      <c r="R13" s="32"/>
      <c r="S13" s="32"/>
    </row>
    <row r="14" spans="1:20" ht="18" customHeight="1">
      <c r="A14" s="9">
        <v>45658</v>
      </c>
      <c r="B14" s="11">
        <v>0.88211099999999998</v>
      </c>
      <c r="C14" s="30" t="str">
        <f t="shared" si="2"/>
        <v>Risk</v>
      </c>
      <c r="D14" s="41" t="str">
        <f t="shared" si="3"/>
        <v>Risk</v>
      </c>
      <c r="E14" s="16">
        <v>2517.37</v>
      </c>
      <c r="F14" s="16">
        <v>333.36</v>
      </c>
      <c r="G14" s="16">
        <v>18.79</v>
      </c>
      <c r="H14" s="16">
        <v>1642.77</v>
      </c>
      <c r="I14" s="14">
        <v>728.29</v>
      </c>
      <c r="J14" s="14">
        <v>1233.1600000000001</v>
      </c>
      <c r="K14" s="32"/>
      <c r="L14" s="33"/>
      <c r="M14" s="32"/>
      <c r="N14" s="32"/>
      <c r="O14" s="36"/>
      <c r="P14" s="33"/>
      <c r="Q14" s="33"/>
      <c r="R14" s="32"/>
      <c r="S14" s="32"/>
    </row>
    <row r="15" spans="1:20" ht="18" customHeight="1">
      <c r="A15" s="9">
        <v>45627</v>
      </c>
      <c r="B15" s="3">
        <v>0.84027300000000005</v>
      </c>
      <c r="C15" s="30" t="str">
        <f t="shared" si="2"/>
        <v>Risk</v>
      </c>
      <c r="D15" s="41" t="str">
        <f t="shared" si="3"/>
        <v>Risk</v>
      </c>
      <c r="E15" s="16">
        <v>2399.4899999999998</v>
      </c>
      <c r="F15" s="16">
        <v>317.82</v>
      </c>
      <c r="G15" s="16">
        <v>21.14</v>
      </c>
      <c r="H15" s="16">
        <v>1575.57</v>
      </c>
      <c r="I15" s="14">
        <v>678.19</v>
      </c>
      <c r="J15" s="13">
        <v>1129.8</v>
      </c>
      <c r="K15" s="32"/>
      <c r="L15" s="33"/>
      <c r="M15" s="32"/>
      <c r="N15" s="32"/>
      <c r="O15" s="36"/>
      <c r="P15" s="33"/>
      <c r="Q15" s="33"/>
      <c r="R15" s="32"/>
      <c r="S15" s="32"/>
    </row>
    <row r="16" spans="1:20" ht="18" customHeight="1">
      <c r="A16" s="9">
        <v>45597</v>
      </c>
      <c r="B16" s="3">
        <v>0.86388699999999996</v>
      </c>
      <c r="C16" s="30" t="str">
        <f t="shared" si="2"/>
        <v>Risk</v>
      </c>
      <c r="D16" s="41" t="str">
        <f t="shared" si="3"/>
        <v>Risk</v>
      </c>
      <c r="E16" s="16">
        <v>2455.91</v>
      </c>
      <c r="F16" s="16">
        <v>325.45</v>
      </c>
      <c r="G16" s="16">
        <v>19.34</v>
      </c>
      <c r="H16" s="16">
        <v>1612.46</v>
      </c>
      <c r="I16" s="14">
        <v>678.19</v>
      </c>
      <c r="J16" s="14">
        <v>1133.83</v>
      </c>
      <c r="K16" s="32"/>
      <c r="L16" s="33"/>
      <c r="M16" s="32"/>
      <c r="N16" s="32"/>
      <c r="O16" s="36"/>
      <c r="P16" s="33"/>
      <c r="Q16" s="33"/>
      <c r="R16" s="32"/>
      <c r="S16" s="32"/>
    </row>
    <row r="17" spans="1:19" ht="18" customHeight="1">
      <c r="A17" s="9">
        <v>45566</v>
      </c>
      <c r="B17" s="3">
        <v>0.89510699999999999</v>
      </c>
      <c r="C17" s="30" t="str">
        <f t="shared" si="2"/>
        <v>Risk</v>
      </c>
      <c r="D17" s="41" t="str">
        <f t="shared" si="3"/>
        <v>Risk</v>
      </c>
      <c r="E17" s="16">
        <v>2556.15</v>
      </c>
      <c r="F17" s="16">
        <v>339.32</v>
      </c>
      <c r="G17" s="16">
        <v>22.65</v>
      </c>
      <c r="H17" s="16">
        <v>1685.1</v>
      </c>
      <c r="I17" s="14">
        <v>743.06</v>
      </c>
      <c r="J17" s="14">
        <v>1273.29</v>
      </c>
      <c r="K17" s="32"/>
      <c r="L17" s="33"/>
      <c r="M17" s="32"/>
      <c r="N17" s="32"/>
      <c r="O17" s="35">
        <f>1+(($H9/$H17)-1)*2</f>
        <v>1.4405554566494572</v>
      </c>
      <c r="P17" s="33"/>
      <c r="Q17" s="33"/>
      <c r="R17" s="33"/>
      <c r="S17" s="32"/>
    </row>
    <row r="18" spans="1:19" ht="18" customHeight="1">
      <c r="A18" s="9">
        <v>45536</v>
      </c>
      <c r="B18" s="3">
        <v>0.90802499999999997</v>
      </c>
      <c r="C18" s="30" t="str">
        <f t="shared" si="2"/>
        <v>Risk</v>
      </c>
      <c r="D18" s="41" t="str">
        <f t="shared" si="3"/>
        <v>Risk</v>
      </c>
      <c r="E18" s="16">
        <v>2593.27</v>
      </c>
      <c r="F18" s="16">
        <v>344.76</v>
      </c>
      <c r="G18" s="16">
        <v>25.44</v>
      </c>
      <c r="H18" s="16">
        <v>1719.2</v>
      </c>
      <c r="I18" s="14">
        <v>763.88</v>
      </c>
      <c r="J18" s="14">
        <v>1288.3399999999999</v>
      </c>
      <c r="K18" s="35">
        <f>1+(($H14/$H18)-1)*2</f>
        <v>0.91108655188459742</v>
      </c>
      <c r="L18" s="35">
        <f>1+(($H13/$H18)-1)*2</f>
        <v>0.91740344346207547</v>
      </c>
      <c r="M18" s="35">
        <f>1+(($H12/$H18)-1)*2</f>
        <v>0.92260353652861804</v>
      </c>
      <c r="N18" s="71">
        <f>1+(($H11/$H18)-1)*2</f>
        <v>0.95168683108422525</v>
      </c>
      <c r="O18" s="32"/>
      <c r="P18" s="35">
        <f>1+(($H9/$H18)-1)*2</f>
        <v>1.3921475104699859</v>
      </c>
      <c r="Q18" s="35">
        <f>1+(($H8/$H18)-1)*2</f>
        <v>1.5171707771056306</v>
      </c>
      <c r="R18" s="35">
        <f>1+(($H7/$H18)-1)*2</f>
        <v>1.4752093997208005</v>
      </c>
      <c r="S18" s="35">
        <f>1+(($H6/$H18)-1)*2</f>
        <v>1.7265588645881804</v>
      </c>
    </row>
    <row r="19" spans="1:19" ht="18" customHeight="1">
      <c r="A19" s="9">
        <v>45505</v>
      </c>
      <c r="B19" s="3">
        <v>0.95820899999999998</v>
      </c>
      <c r="C19" s="30" t="str">
        <f t="shared" si="2"/>
        <v>Risk</v>
      </c>
      <c r="D19" s="41" t="str">
        <f t="shared" si="3"/>
        <v/>
      </c>
      <c r="E19" s="16">
        <v>2674.31</v>
      </c>
      <c r="F19" s="16">
        <v>361.55</v>
      </c>
      <c r="G19" s="16">
        <v>18.809999999999999</v>
      </c>
      <c r="H19" s="16">
        <v>1802.36</v>
      </c>
      <c r="I19" s="14">
        <v>767.66</v>
      </c>
      <c r="J19" s="14">
        <v>1294.69</v>
      </c>
      <c r="K19" s="32"/>
      <c r="L19" s="32"/>
      <c r="M19" s="32"/>
      <c r="N19" s="33"/>
      <c r="O19" s="32"/>
      <c r="P19" s="32"/>
      <c r="Q19" s="36"/>
      <c r="R19" s="33"/>
      <c r="S19" s="32"/>
    </row>
    <row r="20" spans="1:19" ht="18" customHeight="1">
      <c r="A20" s="9">
        <v>45474</v>
      </c>
      <c r="B20" s="3">
        <v>0.99315799999999999</v>
      </c>
      <c r="C20" s="30" t="str">
        <f t="shared" si="2"/>
        <v>Risk</v>
      </c>
      <c r="D20" s="41" t="str">
        <f t="shared" si="3"/>
        <v/>
      </c>
      <c r="E20" s="16">
        <v>2770.69</v>
      </c>
      <c r="F20" s="16">
        <v>380.49</v>
      </c>
      <c r="G20" s="16">
        <v>17.510000000000002</v>
      </c>
      <c r="H20" s="16">
        <v>1897.75</v>
      </c>
      <c r="I20" s="14">
        <v>803.15</v>
      </c>
      <c r="J20" s="14">
        <v>1338.75</v>
      </c>
      <c r="K20" s="32"/>
      <c r="L20" s="34">
        <f>$H18/$H20</f>
        <v>0.9059148992227638</v>
      </c>
      <c r="M20" s="32"/>
      <c r="N20" s="72">
        <f>$H18/$H20</f>
        <v>0.9059148992227638</v>
      </c>
      <c r="O20" s="32"/>
      <c r="P20" s="32"/>
      <c r="Q20" s="36"/>
      <c r="R20" s="34">
        <f>$H18/$H20</f>
        <v>0.9059148992227638</v>
      </c>
      <c r="S20" s="32"/>
    </row>
    <row r="21" spans="1:19" ht="18" customHeight="1">
      <c r="A21" s="9">
        <v>45444</v>
      </c>
      <c r="B21" s="3">
        <v>1.001382</v>
      </c>
      <c r="C21" s="30" t="str">
        <f t="shared" si="2"/>
        <v/>
      </c>
      <c r="D21" s="41" t="str">
        <f t="shared" si="3"/>
        <v/>
      </c>
      <c r="E21" s="16">
        <v>2797.82</v>
      </c>
      <c r="F21" s="16">
        <v>384.02</v>
      </c>
      <c r="G21" s="16">
        <v>16.100000000000001</v>
      </c>
      <c r="H21" s="16">
        <v>1919.36</v>
      </c>
      <c r="I21" s="14">
        <v>840.44</v>
      </c>
      <c r="J21" s="14">
        <v>1361.54</v>
      </c>
      <c r="K21" s="32"/>
      <c r="L21" s="32"/>
      <c r="M21" s="32"/>
      <c r="O21" s="32"/>
      <c r="P21" s="36"/>
      <c r="Q21" s="33"/>
      <c r="R21" s="32"/>
      <c r="S21" s="32"/>
    </row>
    <row r="22" spans="1:19" ht="18" customHeight="1">
      <c r="A22" s="9">
        <v>45413</v>
      </c>
      <c r="B22" s="3">
        <v>0.95718300000000001</v>
      </c>
      <c r="C22" s="30" t="str">
        <f t="shared" si="2"/>
        <v>Risk</v>
      </c>
      <c r="D22" s="41" t="str">
        <f t="shared" si="3"/>
        <v/>
      </c>
      <c r="E22" s="16">
        <v>2636.52</v>
      </c>
      <c r="F22" s="16">
        <v>358.21</v>
      </c>
      <c r="G22" s="16">
        <v>16.899999999999999</v>
      </c>
      <c r="H22" s="16">
        <v>1799.7</v>
      </c>
      <c r="I22" s="14">
        <v>839.98</v>
      </c>
      <c r="J22" s="14">
        <v>1338.55</v>
      </c>
      <c r="K22" s="32"/>
      <c r="L22" s="32"/>
      <c r="M22" s="32"/>
      <c r="N22" s="33"/>
      <c r="O22" s="32"/>
      <c r="P22" s="36"/>
      <c r="Q22" s="34">
        <f>$H18/$H22</f>
        <v>0.95527032283158309</v>
      </c>
      <c r="R22" s="32"/>
      <c r="S22" s="32"/>
    </row>
    <row r="23" spans="1:19" ht="18" customHeight="1">
      <c r="A23" s="9">
        <v>45383</v>
      </c>
      <c r="B23" s="57">
        <v>0.98</v>
      </c>
      <c r="C23" s="30" t="str">
        <f t="shared" si="2"/>
        <v>Risk</v>
      </c>
      <c r="D23" s="41" t="str">
        <f t="shared" si="3"/>
        <v/>
      </c>
      <c r="E23" s="16">
        <v>2692.06</v>
      </c>
      <c r="F23" s="16">
        <v>365.13</v>
      </c>
      <c r="G23" s="16">
        <v>18.14</v>
      </c>
      <c r="H23" s="16">
        <v>1836.69</v>
      </c>
      <c r="I23" s="14">
        <v>868.93</v>
      </c>
      <c r="J23" s="14">
        <v>1442.22</v>
      </c>
      <c r="K23" s="34">
        <f>$H19/$H23</f>
        <v>0.98130876740222894</v>
      </c>
      <c r="L23" s="32"/>
      <c r="M23" s="32"/>
      <c r="N23" s="33"/>
      <c r="O23" s="32"/>
      <c r="P23" s="36"/>
      <c r="Q23" s="33"/>
      <c r="R23" s="32"/>
      <c r="S23" s="32"/>
    </row>
    <row r="24" spans="1:19" ht="18" customHeight="1">
      <c r="A24" s="9">
        <v>45352</v>
      </c>
      <c r="B24" s="57">
        <v>1</v>
      </c>
      <c r="C24" s="30" t="str">
        <f t="shared" si="2"/>
        <v>Risk</v>
      </c>
      <c r="D24" s="41" t="str">
        <f t="shared" si="3"/>
        <v/>
      </c>
      <c r="E24" s="16">
        <v>2746.63</v>
      </c>
      <c r="F24" s="16">
        <v>374.63</v>
      </c>
      <c r="G24" s="16">
        <v>16.84</v>
      </c>
      <c r="H24" s="16">
        <v>1884.17</v>
      </c>
      <c r="I24" s="13">
        <v>905.5</v>
      </c>
      <c r="J24" s="14">
        <v>1520.44</v>
      </c>
      <c r="K24" s="32"/>
      <c r="L24" s="32"/>
      <c r="M24" s="34">
        <f>$H18/$H24</f>
        <v>0.91244420620220046</v>
      </c>
      <c r="N24" s="33"/>
      <c r="O24" s="32"/>
      <c r="P24" s="36"/>
      <c r="Q24" s="33"/>
      <c r="R24" s="32"/>
      <c r="S24" s="32"/>
    </row>
    <row r="25" spans="1:19" ht="18" customHeight="1">
      <c r="A25" s="9">
        <v>45323</v>
      </c>
      <c r="B25" s="57">
        <v>0.96</v>
      </c>
      <c r="C25" s="30" t="str">
        <f t="shared" si="2"/>
        <v>Risk</v>
      </c>
      <c r="D25" s="41" t="str">
        <f t="shared" si="3"/>
        <v/>
      </c>
      <c r="E25" s="16">
        <v>2642.36</v>
      </c>
      <c r="F25" s="16">
        <v>355.57</v>
      </c>
      <c r="G25" s="16">
        <v>16.77</v>
      </c>
      <c r="H25" s="16">
        <v>1785.57</v>
      </c>
      <c r="I25" s="14">
        <v>862.96</v>
      </c>
      <c r="J25" s="14">
        <v>1402.26</v>
      </c>
      <c r="K25" s="33"/>
      <c r="L25" s="33"/>
      <c r="M25" s="32"/>
      <c r="N25" s="33"/>
      <c r="O25" s="32"/>
      <c r="P25" s="34">
        <f>1+(($H16/$H25)-1)</f>
        <v>0.90305056648577209</v>
      </c>
      <c r="Q25" s="33"/>
      <c r="R25" s="32"/>
      <c r="S25" s="32"/>
    </row>
    <row r="26" spans="1:19" ht="18" customHeight="1">
      <c r="A26" s="9">
        <v>45292</v>
      </c>
      <c r="B26" s="57">
        <v>0.91</v>
      </c>
      <c r="C26" s="30" t="str">
        <f t="shared" si="2"/>
        <v>Risk</v>
      </c>
      <c r="D26" s="41" t="str">
        <f t="shared" si="3"/>
        <v>Risk</v>
      </c>
      <c r="E26" s="16">
        <v>2497.09</v>
      </c>
      <c r="F26" s="16">
        <v>336.24</v>
      </c>
      <c r="G26" s="16">
        <v>17.02</v>
      </c>
      <c r="H26" s="16">
        <v>1691.46</v>
      </c>
      <c r="I26" s="14">
        <v>799.24</v>
      </c>
      <c r="J26" s="14">
        <v>1241.75</v>
      </c>
      <c r="K26" s="33"/>
      <c r="L26" s="35">
        <f>1+(($H21/$H26)-1)*2</f>
        <v>1.2694713442824539</v>
      </c>
      <c r="M26" s="32"/>
      <c r="N26" s="32"/>
      <c r="O26" s="35">
        <f>1+(($H18/$H26)-1)*2</f>
        <v>1.0328000662149859</v>
      </c>
      <c r="P26" s="33"/>
      <c r="Q26" s="33"/>
      <c r="R26" s="32"/>
      <c r="S26" s="32"/>
    </row>
    <row r="27" spans="1:19" ht="18" customHeight="1">
      <c r="A27" s="9">
        <v>45261</v>
      </c>
      <c r="B27" s="57">
        <v>0.96</v>
      </c>
      <c r="C27" s="30" t="str">
        <f t="shared" si="2"/>
        <v>Risk</v>
      </c>
      <c r="D27" s="41" t="str">
        <f t="shared" si="3"/>
        <v/>
      </c>
      <c r="E27" s="16">
        <v>2655.28</v>
      </c>
      <c r="F27" s="16">
        <v>357.99</v>
      </c>
      <c r="G27" s="16">
        <v>17.78</v>
      </c>
      <c r="H27" s="16">
        <v>1820.45</v>
      </c>
      <c r="I27" s="14">
        <v>866.57</v>
      </c>
      <c r="J27" s="14">
        <v>1393.46</v>
      </c>
      <c r="K27" s="33"/>
      <c r="L27" s="34">
        <f>$H26/$H27</f>
        <v>0.92914389299349065</v>
      </c>
      <c r="M27" s="32"/>
      <c r="N27" s="32"/>
      <c r="O27" s="34">
        <f>1+(($H19/$H27)-1)</f>
        <v>0.99006289653657054</v>
      </c>
      <c r="P27" s="33"/>
      <c r="Q27" s="33"/>
      <c r="R27" s="32"/>
      <c r="S27" s="32"/>
    </row>
    <row r="28" spans="1:19" ht="18" customHeight="1">
      <c r="A28" s="9">
        <v>45231</v>
      </c>
      <c r="B28" s="57">
        <v>0.92</v>
      </c>
      <c r="C28" s="30" t="str">
        <f t="shared" si="2"/>
        <v>Risk</v>
      </c>
      <c r="D28" s="41" t="str">
        <f t="shared" si="3"/>
        <v>Risk</v>
      </c>
      <c r="E28" s="16">
        <v>2535.29</v>
      </c>
      <c r="F28" s="16">
        <v>338.43</v>
      </c>
      <c r="G28" s="16">
        <v>14.46</v>
      </c>
      <c r="H28" s="16">
        <v>1698.8</v>
      </c>
      <c r="I28" s="14">
        <v>831.68</v>
      </c>
      <c r="J28" s="14">
        <v>1323.92</v>
      </c>
      <c r="K28" s="35">
        <f>1+(($H24/$H28)-1)*2</f>
        <v>1.2182364021662351</v>
      </c>
      <c r="L28" s="33"/>
      <c r="M28" s="32"/>
      <c r="N28" s="32"/>
      <c r="O28" s="36"/>
      <c r="P28" s="33"/>
      <c r="Q28" s="33"/>
      <c r="R28" s="32"/>
      <c r="S28" s="32"/>
    </row>
    <row r="29" spans="1:19" ht="18" customHeight="1">
      <c r="A29" s="9">
        <v>45200</v>
      </c>
      <c r="B29" s="3">
        <v>0.82694800000000002</v>
      </c>
      <c r="C29" s="30" t="str">
        <f t="shared" si="2"/>
        <v>Risk</v>
      </c>
      <c r="D29" s="41" t="str">
        <f t="shared" si="3"/>
        <v>Risk</v>
      </c>
      <c r="E29" s="16">
        <v>2277.9899999999998</v>
      </c>
      <c r="F29" s="16">
        <v>305.56</v>
      </c>
      <c r="G29" s="16">
        <v>19.89</v>
      </c>
      <c r="H29" s="16">
        <v>1538.26</v>
      </c>
      <c r="I29" s="13">
        <v>736.1</v>
      </c>
      <c r="J29" s="14">
        <v>1147.92</v>
      </c>
      <c r="K29" s="33"/>
      <c r="L29" s="33"/>
      <c r="M29" s="32"/>
      <c r="N29" s="35">
        <f>1+(($H22/$H29)-1)*2</f>
        <v>1.3399165290653077</v>
      </c>
      <c r="O29" s="36"/>
      <c r="P29" s="33"/>
      <c r="Q29" s="33"/>
      <c r="R29" s="32"/>
      <c r="S29" s="32"/>
    </row>
    <row r="30" spans="1:19" ht="18" customHeight="1">
      <c r="A30" s="9">
        <v>45170</v>
      </c>
      <c r="B30" s="3">
        <v>0.89318699999999995</v>
      </c>
      <c r="C30" s="30" t="str">
        <f t="shared" si="2"/>
        <v>Risk</v>
      </c>
      <c r="D30" s="41" t="str">
        <f t="shared" si="3"/>
        <v>Risk</v>
      </c>
      <c r="E30" s="16">
        <v>2465.0700000000002</v>
      </c>
      <c r="F30" s="16">
        <v>326.70999999999998</v>
      </c>
      <c r="G30" s="16">
        <v>15.08</v>
      </c>
      <c r="H30" s="16">
        <v>1647.96</v>
      </c>
      <c r="I30" s="14">
        <v>841.02</v>
      </c>
      <c r="J30" s="14">
        <v>1321.64</v>
      </c>
      <c r="K30" s="33"/>
      <c r="L30" s="33"/>
      <c r="M30" s="32"/>
      <c r="N30" s="32"/>
      <c r="O30" s="36"/>
      <c r="P30" s="33"/>
      <c r="Q30" s="33"/>
      <c r="R30" s="33"/>
      <c r="S30" s="32"/>
    </row>
    <row r="31" spans="1:19" ht="18" customHeight="1">
      <c r="A31" s="9">
        <v>45139</v>
      </c>
      <c r="B31" s="3">
        <v>0.93718599999999996</v>
      </c>
      <c r="C31" s="30" t="str">
        <f t="shared" si="2"/>
        <v>Risk</v>
      </c>
      <c r="D31" s="41" t="str">
        <f t="shared" si="3"/>
        <v>Risk</v>
      </c>
      <c r="E31" s="16">
        <v>2556.27</v>
      </c>
      <c r="F31" s="16">
        <v>334.75</v>
      </c>
      <c r="G31" s="16">
        <v>12.78</v>
      </c>
      <c r="H31" s="16">
        <v>1686.41</v>
      </c>
      <c r="I31" s="13">
        <v>928.4</v>
      </c>
      <c r="J31" s="14">
        <v>1483.08</v>
      </c>
      <c r="K31" s="33"/>
      <c r="L31" s="33"/>
      <c r="M31" s="35">
        <f>1+(($H25/$H31)-1)*2</f>
        <v>1.1175989231562906</v>
      </c>
      <c r="N31" s="32"/>
      <c r="O31" s="36"/>
      <c r="P31" s="33"/>
      <c r="Q31" s="33"/>
      <c r="R31" s="33"/>
      <c r="S31" s="35">
        <f>1+(($H19/$H31)-1)*2</f>
        <v>1.1375110441707532</v>
      </c>
    </row>
    <row r="32" spans="1:19" ht="18" customHeight="1">
      <c r="A32" s="9">
        <v>45108</v>
      </c>
      <c r="B32" s="3">
        <v>0.96419200000000005</v>
      </c>
      <c r="C32" s="30" t="str">
        <f t="shared" si="2"/>
        <v>Risk</v>
      </c>
      <c r="D32" s="41" t="str">
        <f t="shared" si="3"/>
        <v/>
      </c>
      <c r="E32" s="16">
        <v>2632.58</v>
      </c>
      <c r="F32" s="16">
        <v>345.62</v>
      </c>
      <c r="G32" s="16">
        <v>14.21</v>
      </c>
      <c r="H32" s="16">
        <v>1748.34</v>
      </c>
      <c r="I32" s="14">
        <v>935.97</v>
      </c>
      <c r="J32" s="14">
        <v>1551.24</v>
      </c>
      <c r="K32" s="33"/>
      <c r="L32" s="33"/>
      <c r="M32" s="32"/>
      <c r="N32" s="32"/>
      <c r="O32" s="36"/>
      <c r="P32" s="33"/>
      <c r="Q32" s="33"/>
      <c r="R32" s="33"/>
      <c r="S32" s="34">
        <f>$H31/$H32</f>
        <v>0.96457782811123705</v>
      </c>
    </row>
    <row r="33" spans="1:19" ht="18" customHeight="1">
      <c r="A33" s="9">
        <v>45078</v>
      </c>
      <c r="B33" s="3">
        <v>0.938608</v>
      </c>
      <c r="C33" s="30" t="str">
        <f t="shared" si="2"/>
        <v>Risk</v>
      </c>
      <c r="D33" s="41" t="str">
        <f t="shared" si="3"/>
        <v>Risk</v>
      </c>
      <c r="E33" s="16">
        <v>2564.2800000000002</v>
      </c>
      <c r="F33" s="16">
        <v>337.95</v>
      </c>
      <c r="G33" s="16">
        <v>12.59</v>
      </c>
      <c r="H33" s="16">
        <v>1714.36</v>
      </c>
      <c r="I33" s="14">
        <v>868.24</v>
      </c>
      <c r="J33" s="14">
        <v>1322.36</v>
      </c>
      <c r="K33" s="35">
        <f>1+(($H29/$H33)-1)*2</f>
        <v>0.79455890244756078</v>
      </c>
      <c r="L33" s="35">
        <f>1+(($H28/$H33)-1)*2</f>
        <v>0.98184745327702472</v>
      </c>
      <c r="M33" s="32"/>
      <c r="N33" s="32"/>
      <c r="O33" s="36"/>
      <c r="P33" s="33"/>
      <c r="Q33" s="35">
        <f>1+(($H23/$H33)-1)*2</f>
        <v>1.1427121491402041</v>
      </c>
      <c r="R33" s="35">
        <f>1+(($H22/$H33)-1)*2</f>
        <v>1.0995590191091722</v>
      </c>
      <c r="S33" s="32"/>
    </row>
    <row r="34" spans="1:19" ht="18" customHeight="1">
      <c r="A34" s="9">
        <v>45047</v>
      </c>
      <c r="B34" s="3">
        <v>0.98162400000000005</v>
      </c>
      <c r="C34" s="30" t="str">
        <f t="shared" si="2"/>
        <v>Risk</v>
      </c>
      <c r="D34" s="41" t="str">
        <f t="shared" si="3"/>
        <v/>
      </c>
      <c r="E34" s="16">
        <v>2577.12</v>
      </c>
      <c r="F34" s="16">
        <v>339.12</v>
      </c>
      <c r="G34" s="16">
        <v>14.8</v>
      </c>
      <c r="H34" s="16">
        <v>1714.7</v>
      </c>
      <c r="I34" s="14">
        <v>856.94</v>
      </c>
      <c r="J34" s="14">
        <v>1308.6500000000001</v>
      </c>
      <c r="K34" s="34">
        <f>$H33/$H34</f>
        <v>0.99980171458564171</v>
      </c>
      <c r="L34" s="33"/>
      <c r="M34" s="32"/>
      <c r="N34" s="32"/>
      <c r="O34" s="36"/>
      <c r="P34" s="33"/>
      <c r="Q34" s="34">
        <f>$H33/$H34</f>
        <v>0.99980171458564171</v>
      </c>
      <c r="R34" s="33"/>
      <c r="S34" s="32"/>
    </row>
    <row r="35" spans="1:19" ht="18" customHeight="1">
      <c r="A35" s="9">
        <v>45017</v>
      </c>
      <c r="B35" s="3">
        <v>0.94302699999999995</v>
      </c>
      <c r="C35" s="30" t="str">
        <f t="shared" si="2"/>
        <v>Risk</v>
      </c>
      <c r="D35" s="41" t="str">
        <f t="shared" si="3"/>
        <v>Risk</v>
      </c>
      <c r="E35" s="16">
        <v>2501.5300000000002</v>
      </c>
      <c r="F35" s="16">
        <v>326.45999999999998</v>
      </c>
      <c r="G35" s="16">
        <v>14.51</v>
      </c>
      <c r="H35" s="16">
        <v>1650.97</v>
      </c>
      <c r="I35" s="14">
        <v>842.83</v>
      </c>
      <c r="J35" s="14">
        <v>1299.28</v>
      </c>
      <c r="K35" s="32"/>
      <c r="L35" s="33"/>
      <c r="M35" s="32"/>
      <c r="N35" s="32"/>
      <c r="O35" s="36"/>
      <c r="P35" s="35">
        <f>1+(($H26/$H35)-1)*2</f>
        <v>1.0490499524521946</v>
      </c>
      <c r="Q35" s="33"/>
      <c r="R35" s="33"/>
      <c r="S35" s="32"/>
    </row>
    <row r="36" spans="1:19" ht="18" customHeight="1">
      <c r="A36" s="9">
        <v>44986</v>
      </c>
      <c r="B36" s="11">
        <v>0.93132300000000001</v>
      </c>
      <c r="C36" s="30" t="str">
        <f t="shared" si="2"/>
        <v>Risk</v>
      </c>
      <c r="D36" s="41" t="str">
        <f t="shared" si="3"/>
        <v>Risk</v>
      </c>
      <c r="E36" s="16">
        <v>2476.86</v>
      </c>
      <c r="F36" s="16">
        <v>322.02999999999997</v>
      </c>
      <c r="G36" s="16">
        <v>15.57</v>
      </c>
      <c r="H36" s="16">
        <v>1637.31</v>
      </c>
      <c r="I36" s="14">
        <v>847.52</v>
      </c>
      <c r="J36" s="14">
        <v>1260.21</v>
      </c>
      <c r="K36" s="32"/>
      <c r="L36" s="33"/>
      <c r="M36" s="32"/>
      <c r="N36" s="32"/>
      <c r="O36" s="35">
        <f>1+(($H28/$H36)-1)*2</f>
        <v>1.0751110052464101</v>
      </c>
      <c r="P36" s="33"/>
      <c r="Q36" s="33"/>
      <c r="R36" s="32"/>
      <c r="S36" s="32"/>
    </row>
    <row r="37" spans="1:19" ht="18" customHeight="1">
      <c r="A37" s="9">
        <v>44958</v>
      </c>
      <c r="B37" s="11">
        <v>0.90686500000000003</v>
      </c>
      <c r="C37" s="30" t="str">
        <f t="shared" si="2"/>
        <v>Risk</v>
      </c>
      <c r="D37" s="41" t="str">
        <f t="shared" si="3"/>
        <v>Risk</v>
      </c>
      <c r="E37" s="16">
        <v>2412.85</v>
      </c>
      <c r="F37" s="16">
        <v>314.8</v>
      </c>
      <c r="G37" s="16">
        <v>18.53</v>
      </c>
      <c r="H37" s="16">
        <v>1605.25</v>
      </c>
      <c r="I37" s="13">
        <v>791.6</v>
      </c>
      <c r="J37" s="14">
        <v>1143.05</v>
      </c>
      <c r="K37" s="33"/>
      <c r="L37" s="33"/>
      <c r="M37" s="32"/>
      <c r="N37" s="35">
        <f>1+(($H30/$H37)-1)*2</f>
        <v>1.0532128951876656</v>
      </c>
      <c r="O37" s="36"/>
      <c r="P37" s="33"/>
      <c r="Q37" s="33"/>
      <c r="R37" s="32"/>
      <c r="S37" s="32"/>
    </row>
    <row r="38" spans="1:19" ht="18" customHeight="1">
      <c r="A38" s="9">
        <v>44927</v>
      </c>
      <c r="B38" s="11">
        <v>0.91425400000000001</v>
      </c>
      <c r="C38" s="30" t="str">
        <f t="shared" si="2"/>
        <v>Risk</v>
      </c>
      <c r="D38" s="41" t="str">
        <f t="shared" si="3"/>
        <v>Risk</v>
      </c>
      <c r="E38" s="16">
        <v>2425.08</v>
      </c>
      <c r="F38" s="16">
        <v>317.26</v>
      </c>
      <c r="G38" s="16">
        <v>17.75</v>
      </c>
      <c r="H38" s="16">
        <v>1619.74</v>
      </c>
      <c r="I38" s="14">
        <v>740.49</v>
      </c>
      <c r="J38" s="13">
        <v>1021.6</v>
      </c>
      <c r="K38" s="33"/>
      <c r="L38" s="33"/>
      <c r="M38" s="35">
        <f>1+(($H32/$H38)-1)*2</f>
        <v>1.1587909170607626</v>
      </c>
      <c r="N38" s="33"/>
      <c r="O38" s="33"/>
      <c r="P38" s="33"/>
      <c r="Q38" s="33"/>
      <c r="R38" s="32"/>
      <c r="S38" s="32"/>
    </row>
    <row r="39" spans="1:19" ht="18" customHeight="1">
      <c r="A39" s="9">
        <v>44896</v>
      </c>
      <c r="B39" s="11">
        <v>0.84129799999999999</v>
      </c>
      <c r="C39" s="30" t="str">
        <f t="shared" si="2"/>
        <v>Risk</v>
      </c>
      <c r="D39" s="41" t="str">
        <f t="shared" si="3"/>
        <v>Risk</v>
      </c>
      <c r="E39" s="16">
        <v>2236.4</v>
      </c>
      <c r="F39" s="16">
        <v>291.10000000000002</v>
      </c>
      <c r="G39" s="16">
        <v>18.399999999999999</v>
      </c>
      <c r="H39" s="16">
        <v>1488.59</v>
      </c>
      <c r="I39" s="14">
        <v>679.29</v>
      </c>
      <c r="J39" s="14">
        <v>957.78</v>
      </c>
      <c r="K39" s="35">
        <f>1+(($H35/$H39)-1)*2</f>
        <v>1.2181661841071083</v>
      </c>
      <c r="L39" s="35">
        <f>1+(($H34/$H39)-1)*2</f>
        <v>1.3037908356229724</v>
      </c>
      <c r="M39" s="33"/>
      <c r="N39" s="33"/>
      <c r="O39" s="33"/>
      <c r="P39" s="33"/>
      <c r="Q39" s="33"/>
      <c r="R39" s="32"/>
      <c r="S39" s="32"/>
    </row>
    <row r="40" spans="1:19" ht="18" customHeight="1">
      <c r="A40" s="9">
        <v>44866</v>
      </c>
      <c r="B40" s="11">
        <v>0.95905799999999997</v>
      </c>
      <c r="C40" s="30" t="str">
        <f t="shared" si="2"/>
        <v>Risk</v>
      </c>
      <c r="D40" s="41" t="str">
        <f t="shared" si="3"/>
        <v/>
      </c>
      <c r="E40" s="16">
        <v>2472.5300000000002</v>
      </c>
      <c r="F40" s="16">
        <v>321</v>
      </c>
      <c r="G40" s="16">
        <v>17.78</v>
      </c>
      <c r="H40" s="16">
        <v>1616.28</v>
      </c>
      <c r="I40" s="14">
        <v>729.54</v>
      </c>
      <c r="J40" s="14">
        <v>1038.42</v>
      </c>
      <c r="K40" s="34">
        <f>$H39/$H40</f>
        <v>0.92099759942584203</v>
      </c>
      <c r="L40" s="33"/>
      <c r="M40" s="33"/>
      <c r="N40" s="33"/>
      <c r="O40" s="33"/>
      <c r="P40" s="33"/>
      <c r="Q40" s="33"/>
      <c r="R40" s="32"/>
      <c r="S40" s="32"/>
    </row>
    <row r="41" spans="1:19" ht="18" customHeight="1">
      <c r="A41" s="9">
        <v>44835</v>
      </c>
      <c r="B41" s="11">
        <v>0.88847299999999996</v>
      </c>
      <c r="C41" s="30" t="str">
        <f t="shared" si="2"/>
        <v>Risk</v>
      </c>
      <c r="D41" s="41" t="str">
        <f t="shared" si="3"/>
        <v>Risk</v>
      </c>
      <c r="E41" s="16">
        <v>2293.61</v>
      </c>
      <c r="F41" s="16">
        <v>299.58</v>
      </c>
      <c r="G41" s="16">
        <v>21.97</v>
      </c>
      <c r="H41" s="16">
        <v>1520.46</v>
      </c>
      <c r="I41" s="14">
        <v>695.33</v>
      </c>
      <c r="J41" s="14">
        <v>1006.82</v>
      </c>
      <c r="K41" s="32"/>
      <c r="L41" s="32"/>
      <c r="M41" s="32"/>
      <c r="N41" s="32"/>
      <c r="O41" s="32"/>
      <c r="P41" s="32"/>
      <c r="Q41" s="32"/>
      <c r="R41" s="32"/>
      <c r="S41" s="32"/>
    </row>
    <row r="42" spans="1:19" ht="18" customHeight="1">
      <c r="A42" s="9">
        <v>44805</v>
      </c>
      <c r="B42" s="3">
        <v>0.83385600000000004</v>
      </c>
      <c r="C42" s="30" t="str">
        <f t="shared" si="2"/>
        <v>Risk</v>
      </c>
      <c r="D42" s="41" t="str">
        <f t="shared" si="3"/>
        <v>Risk</v>
      </c>
      <c r="E42" s="16">
        <v>2155.4899999999998</v>
      </c>
      <c r="F42" s="16">
        <v>281.36</v>
      </c>
      <c r="G42" s="16">
        <v>27.19</v>
      </c>
      <c r="H42" s="16">
        <v>1428.18</v>
      </c>
      <c r="I42" s="14">
        <v>672.65</v>
      </c>
      <c r="J42" s="14">
        <v>956.48</v>
      </c>
      <c r="K42" s="32"/>
      <c r="L42" s="32"/>
      <c r="M42" s="32"/>
      <c r="N42" s="32"/>
      <c r="O42" s="32"/>
      <c r="P42" s="32"/>
      <c r="Q42" s="32"/>
      <c r="R42" s="32"/>
      <c r="S42" s="32"/>
    </row>
    <row r="43" spans="1:19" ht="18" customHeight="1">
      <c r="A43" s="9">
        <v>44774</v>
      </c>
      <c r="B43" s="3">
        <v>0.97728800000000005</v>
      </c>
      <c r="C43" s="30" t="str">
        <f t="shared" si="2"/>
        <v>Risk</v>
      </c>
      <c r="D43" s="41" t="str">
        <f t="shared" si="3"/>
        <v/>
      </c>
      <c r="E43" s="16">
        <v>2472.0500000000002</v>
      </c>
      <c r="F43" s="16">
        <v>322.95999999999998</v>
      </c>
      <c r="G43" s="16">
        <v>17.309999999999999</v>
      </c>
      <c r="H43" s="16">
        <v>1625.97</v>
      </c>
      <c r="I43" s="14">
        <v>807.04</v>
      </c>
      <c r="J43" s="14">
        <v>1155.03</v>
      </c>
      <c r="K43" s="32"/>
      <c r="L43" s="32"/>
      <c r="M43" s="32"/>
      <c r="N43" s="32"/>
      <c r="O43" s="32"/>
      <c r="P43" s="32"/>
      <c r="Q43" s="32"/>
      <c r="R43" s="32"/>
      <c r="S43" s="32"/>
    </row>
    <row r="44" spans="1:19" ht="18" customHeight="1">
      <c r="A44" s="9">
        <v>44743</v>
      </c>
      <c r="B44" s="3">
        <v>0.96806300000000001</v>
      </c>
      <c r="C44" s="30" t="str">
        <f t="shared" si="2"/>
        <v>Risk</v>
      </c>
      <c r="D44" s="41" t="str">
        <f t="shared" si="3"/>
        <v/>
      </c>
      <c r="E44" s="16">
        <v>2451.5</v>
      </c>
      <c r="F44" s="16">
        <v>323.31</v>
      </c>
      <c r="G44" s="16">
        <v>17.79</v>
      </c>
      <c r="H44" s="16">
        <v>1638.38</v>
      </c>
      <c r="I44" s="14">
        <v>803.62</v>
      </c>
      <c r="J44" s="13">
        <v>1151.8</v>
      </c>
      <c r="K44" s="32"/>
      <c r="L44" s="32"/>
      <c r="M44" s="32"/>
      <c r="N44" s="32"/>
      <c r="O44" s="32"/>
      <c r="P44" s="32"/>
      <c r="Q44" s="32"/>
      <c r="R44" s="32"/>
      <c r="S44" s="32"/>
    </row>
    <row r="45" spans="1:19" ht="18" customHeight="1">
      <c r="A45" s="9">
        <v>44713</v>
      </c>
      <c r="B45" s="3">
        <v>0.92029099999999997</v>
      </c>
      <c r="C45" s="30" t="str">
        <f t="shared" si="2"/>
        <v>Risk</v>
      </c>
      <c r="D45" s="41" t="str">
        <f t="shared" si="3"/>
        <v>Risk</v>
      </c>
      <c r="E45" s="16">
        <v>2332.64</v>
      </c>
      <c r="F45" s="16">
        <v>307.2</v>
      </c>
      <c r="G45" s="16">
        <v>23.9</v>
      </c>
      <c r="H45" s="16">
        <v>1557.34</v>
      </c>
      <c r="I45" s="14">
        <v>745.44</v>
      </c>
      <c r="J45" s="14">
        <v>1056.42</v>
      </c>
      <c r="K45" s="35">
        <f>1+(($H41/$H45)-1)*2</f>
        <v>0.95263718905312911</v>
      </c>
      <c r="L45" s="35">
        <f>1+(($H40/$H45)-1)*2</f>
        <v>1.0756931691217075</v>
      </c>
      <c r="M45" s="35">
        <f>1+(($H39/$H45)-1)*2</f>
        <v>0.91170842590571111</v>
      </c>
      <c r="N45" s="35">
        <f>1+(($H38/$H45)-1)*2</f>
        <v>1.0801366432506709</v>
      </c>
      <c r="O45" s="35">
        <f>1+(($H37/$H45)-1)*2</f>
        <v>1.0615279900342895</v>
      </c>
      <c r="P45" s="35">
        <f>1+(($H36/$H45)-1)*2</f>
        <v>1.1027007589864768</v>
      </c>
      <c r="Q45" s="35">
        <f>1+(($H35/$H45)-1)*2</f>
        <v>1.1202434921083388</v>
      </c>
      <c r="R45" s="35">
        <f>1+(($H34/$H45)-1)*2</f>
        <v>1.2020881759923974</v>
      </c>
      <c r="S45" s="35">
        <f>1+(($H33/$H45)-1)*2</f>
        <v>1.2016515340259675</v>
      </c>
    </row>
    <row r="46" spans="1:19" ht="18" customHeight="1">
      <c r="A46" s="9">
        <v>44682</v>
      </c>
      <c r="B46" s="3">
        <v>1.075215</v>
      </c>
      <c r="C46" s="30" t="str">
        <f t="shared" si="2"/>
        <v/>
      </c>
      <c r="D46" s="41" t="str">
        <f t="shared" si="3"/>
        <v/>
      </c>
      <c r="E46" s="16">
        <v>2685.9</v>
      </c>
      <c r="F46" s="16">
        <v>354.54</v>
      </c>
      <c r="G46" s="16">
        <v>17.260000000000002</v>
      </c>
      <c r="H46" s="16">
        <v>1793.38</v>
      </c>
      <c r="I46" s="14">
        <v>893.36</v>
      </c>
      <c r="J46" s="14">
        <v>1269.22</v>
      </c>
    </row>
    <row r="47" spans="1:19" ht="18" customHeight="1">
      <c r="A47" s="9">
        <v>44652</v>
      </c>
      <c r="B47" s="3">
        <v>1.097928</v>
      </c>
      <c r="C47" s="30" t="str">
        <f t="shared" si="2"/>
        <v/>
      </c>
      <c r="D47" s="41" t="str">
        <f t="shared" si="3"/>
        <v/>
      </c>
      <c r="E47" s="16">
        <v>2695.05</v>
      </c>
      <c r="F47" s="16">
        <v>355.08</v>
      </c>
      <c r="G47" s="16">
        <v>18.920000000000002</v>
      </c>
      <c r="H47" s="16">
        <v>1800.72</v>
      </c>
      <c r="I47" s="14">
        <v>904.75</v>
      </c>
      <c r="J47" s="14">
        <v>1261.29</v>
      </c>
    </row>
    <row r="48" spans="1:19" ht="18" customHeight="1">
      <c r="A48" s="9">
        <v>44621</v>
      </c>
      <c r="B48" s="3">
        <v>1.1232880000000001</v>
      </c>
      <c r="C48" s="30" t="str">
        <f t="shared" si="2"/>
        <v/>
      </c>
      <c r="D48" s="41" t="str">
        <f t="shared" si="3"/>
        <v/>
      </c>
      <c r="E48" s="16">
        <v>2757.65</v>
      </c>
      <c r="F48" s="16">
        <v>365.61</v>
      </c>
      <c r="G48" s="16">
        <v>17.14</v>
      </c>
      <c r="H48" s="16">
        <v>1851.87</v>
      </c>
      <c r="I48" s="14">
        <v>944.53</v>
      </c>
      <c r="J48" s="14">
        <v>1332.65</v>
      </c>
    </row>
    <row r="49" spans="1:19" ht="18" customHeight="1">
      <c r="A49" s="9">
        <v>44593</v>
      </c>
      <c r="B49" s="3">
        <v>1.0990470000000001</v>
      </c>
      <c r="C49" s="30" t="str">
        <f t="shared" si="2"/>
        <v/>
      </c>
      <c r="D49" s="41" t="str">
        <f t="shared" si="3"/>
        <v/>
      </c>
      <c r="E49" s="16">
        <v>2699.18</v>
      </c>
      <c r="F49" s="16">
        <v>361.54</v>
      </c>
      <c r="G49" s="16">
        <v>24.41</v>
      </c>
      <c r="H49" s="16">
        <v>1828.27</v>
      </c>
      <c r="I49" s="14">
        <v>881.07</v>
      </c>
      <c r="J49" s="14">
        <v>1257.1400000000001</v>
      </c>
    </row>
    <row r="50" spans="1:19" ht="18" customHeight="1">
      <c r="A50" s="9">
        <v>44562</v>
      </c>
      <c r="B50" s="3">
        <v>1.0827770000000001</v>
      </c>
      <c r="C50" s="30" t="str">
        <f t="shared" si="2"/>
        <v/>
      </c>
      <c r="D50" s="41" t="str">
        <f t="shared" si="3"/>
        <v/>
      </c>
      <c r="E50" s="16">
        <v>2663.34</v>
      </c>
      <c r="F50" s="16">
        <v>357.98</v>
      </c>
      <c r="G50" s="16">
        <v>23.97</v>
      </c>
      <c r="H50" s="16">
        <v>1804.99</v>
      </c>
      <c r="I50" s="14">
        <v>872.87</v>
      </c>
      <c r="J50" s="13">
        <v>1244.9000000000001</v>
      </c>
    </row>
    <row r="51" spans="1:19" ht="18" customHeight="1">
      <c r="A51" s="9">
        <v>44531</v>
      </c>
      <c r="B51" s="3">
        <v>1.1415519999999999</v>
      </c>
      <c r="C51" s="30" t="str">
        <f t="shared" si="2"/>
        <v/>
      </c>
      <c r="D51" s="41" t="str">
        <f t="shared" si="3"/>
        <v/>
      </c>
      <c r="E51" s="16">
        <v>2977.65</v>
      </c>
      <c r="F51" s="16">
        <v>394.19</v>
      </c>
      <c r="G51" s="16">
        <v>16.5</v>
      </c>
      <c r="H51" s="16">
        <v>1995.56</v>
      </c>
      <c r="I51" s="14">
        <v>1033.98</v>
      </c>
      <c r="J51" s="14">
        <v>1524.21</v>
      </c>
    </row>
    <row r="52" spans="1:19" ht="18" customHeight="1">
      <c r="A52" s="9">
        <v>44501</v>
      </c>
      <c r="B52" s="3">
        <v>1.1318319999999999</v>
      </c>
      <c r="C52" s="30" t="str">
        <f t="shared" si="2"/>
        <v/>
      </c>
      <c r="D52" s="41" t="str">
        <f t="shared" si="3"/>
        <v/>
      </c>
      <c r="E52" s="16">
        <v>2839.01</v>
      </c>
      <c r="F52" s="16">
        <v>373.24</v>
      </c>
      <c r="G52" s="16">
        <v>23.23</v>
      </c>
      <c r="H52" s="16">
        <v>1873.74</v>
      </c>
      <c r="I52" s="14">
        <v>965.63</v>
      </c>
      <c r="J52" s="14">
        <v>1448.84</v>
      </c>
    </row>
    <row r="53" spans="1:19" ht="18" customHeight="1">
      <c r="A53" s="9">
        <v>44470</v>
      </c>
      <c r="B53" s="3">
        <v>1.1723330000000001</v>
      </c>
      <c r="C53" s="30" t="str">
        <f t="shared" si="2"/>
        <v/>
      </c>
      <c r="D53" s="41" t="str">
        <f t="shared" si="3"/>
        <v/>
      </c>
      <c r="E53" s="16">
        <v>2970.68</v>
      </c>
      <c r="F53" s="16">
        <v>388.47</v>
      </c>
      <c r="G53" s="16">
        <v>18.55</v>
      </c>
      <c r="H53" s="16">
        <v>1948.02</v>
      </c>
      <c r="I53" s="14">
        <v>992.33</v>
      </c>
      <c r="J53" s="14">
        <v>1444.19</v>
      </c>
    </row>
    <row r="54" spans="1:19" ht="18" customHeight="1">
      <c r="A54" s="9">
        <v>44440</v>
      </c>
      <c r="B54" s="3">
        <v>1.2105570000000001</v>
      </c>
      <c r="C54" s="30" t="str">
        <f t="shared" si="2"/>
        <v/>
      </c>
      <c r="D54" s="41" t="str">
        <f t="shared" si="3"/>
        <v/>
      </c>
      <c r="E54" s="16">
        <v>3068.82</v>
      </c>
      <c r="F54" s="16">
        <v>401.3</v>
      </c>
      <c r="G54" s="16">
        <v>17.350000000000001</v>
      </c>
      <c r="H54" s="16">
        <v>2015.02</v>
      </c>
      <c r="I54" s="14">
        <v>1003.27</v>
      </c>
      <c r="J54" s="14">
        <v>1475.06</v>
      </c>
      <c r="R54" s="32"/>
    </row>
    <row r="55" spans="1:19" ht="18" customHeight="1">
      <c r="A55" s="9">
        <v>44409</v>
      </c>
      <c r="B55" s="3">
        <v>1.300484</v>
      </c>
      <c r="C55" s="30" t="str">
        <f t="shared" si="2"/>
        <v/>
      </c>
      <c r="D55" s="41" t="str">
        <f t="shared" si="3"/>
        <v/>
      </c>
      <c r="E55" s="16">
        <v>3199.27</v>
      </c>
      <c r="F55" s="16">
        <v>419.79</v>
      </c>
      <c r="G55" s="16">
        <v>14.76</v>
      </c>
      <c r="H55" s="16">
        <v>2103.6999999999998</v>
      </c>
      <c r="I55" s="14">
        <v>1038.33</v>
      </c>
      <c r="J55" s="14">
        <v>1512.05</v>
      </c>
      <c r="R55" s="32"/>
    </row>
    <row r="56" spans="1:19" ht="18" customHeight="1">
      <c r="A56" s="9">
        <v>44378</v>
      </c>
      <c r="B56" s="3">
        <v>1.2705679999999999</v>
      </c>
      <c r="C56" s="30" t="str">
        <f t="shared" si="2"/>
        <v/>
      </c>
      <c r="D56" s="41" t="str">
        <f t="shared" si="3"/>
        <v/>
      </c>
      <c r="E56" s="16">
        <v>3202.32</v>
      </c>
      <c r="F56" s="16">
        <v>423.91</v>
      </c>
      <c r="G56" s="16">
        <v>17.3</v>
      </c>
      <c r="H56" s="16">
        <v>2128.27</v>
      </c>
      <c r="I56" s="14">
        <v>1031.1400000000001</v>
      </c>
      <c r="J56" s="14">
        <v>1452.86</v>
      </c>
      <c r="Q56" s="32"/>
      <c r="R56" s="32"/>
    </row>
    <row r="57" spans="1:19" ht="18" customHeight="1">
      <c r="A57" s="9">
        <v>44348</v>
      </c>
      <c r="B57" s="3">
        <v>1.3026359999999999</v>
      </c>
      <c r="C57" s="30" t="str">
        <f t="shared" si="2"/>
        <v/>
      </c>
      <c r="D57" s="41" t="str">
        <f t="shared" si="3"/>
        <v/>
      </c>
      <c r="E57" s="16">
        <v>3296.68</v>
      </c>
      <c r="F57" s="16">
        <v>438.84</v>
      </c>
      <c r="G57" s="16">
        <v>14.17</v>
      </c>
      <c r="H57" s="16">
        <v>2200.7399999999998</v>
      </c>
      <c r="I57" s="14">
        <v>1029.96</v>
      </c>
      <c r="J57" s="14">
        <v>1464.08</v>
      </c>
      <c r="Q57" s="32"/>
      <c r="R57" s="32"/>
    </row>
    <row r="58" spans="1:19" ht="18" customHeight="1">
      <c r="A58" s="9">
        <v>44317</v>
      </c>
      <c r="B58" s="3">
        <v>1.2930200000000001</v>
      </c>
      <c r="C58" s="30" t="str">
        <f t="shared" si="2"/>
        <v/>
      </c>
      <c r="D58" s="41" t="str">
        <f t="shared" si="3"/>
        <v/>
      </c>
      <c r="E58" s="16">
        <v>3203.92</v>
      </c>
      <c r="F58" s="16">
        <v>427.91</v>
      </c>
      <c r="G58" s="16">
        <v>17.04</v>
      </c>
      <c r="H58" s="16">
        <v>2141.91</v>
      </c>
      <c r="I58" s="14">
        <v>981.78</v>
      </c>
      <c r="J58" s="13">
        <v>1399.6</v>
      </c>
      <c r="N58" s="32"/>
      <c r="Q58" s="32"/>
      <c r="R58" s="32"/>
    </row>
    <row r="59" spans="1:19" ht="18" customHeight="1">
      <c r="A59" s="9">
        <v>44287</v>
      </c>
      <c r="B59" s="3">
        <v>1.281185</v>
      </c>
      <c r="C59" s="30" t="str">
        <f t="shared" si="2"/>
        <v/>
      </c>
      <c r="D59" s="41" t="str">
        <f t="shared" si="3"/>
        <v/>
      </c>
      <c r="E59" s="16">
        <v>3147.86</v>
      </c>
      <c r="F59" s="16">
        <v>422.36</v>
      </c>
      <c r="G59" s="16">
        <v>18.84</v>
      </c>
      <c r="H59" s="16">
        <v>2113.87</v>
      </c>
      <c r="I59" s="14">
        <v>983.45</v>
      </c>
      <c r="J59" s="14">
        <v>1405.47</v>
      </c>
      <c r="N59" s="32"/>
      <c r="Q59" s="32"/>
      <c r="R59" s="32"/>
    </row>
    <row r="60" spans="1:19" ht="18" customHeight="1">
      <c r="A60" s="9">
        <v>44256</v>
      </c>
      <c r="B60" s="3">
        <v>1.2439530000000001</v>
      </c>
      <c r="C60" s="30" t="str">
        <f t="shared" si="2"/>
        <v/>
      </c>
      <c r="D60" s="41" t="str">
        <f t="shared" si="3"/>
        <v/>
      </c>
      <c r="E60" s="16">
        <v>3061.42</v>
      </c>
      <c r="F60" s="16">
        <v>415.04</v>
      </c>
      <c r="G60" s="16">
        <v>20.440000000000001</v>
      </c>
      <c r="H60" s="16">
        <v>2076.56</v>
      </c>
      <c r="I60" s="14">
        <v>956.17</v>
      </c>
      <c r="J60" s="13">
        <v>1423.2</v>
      </c>
      <c r="L60" s="32"/>
      <c r="N60" s="32"/>
      <c r="P60" s="32"/>
      <c r="Q60" s="32"/>
      <c r="R60" s="32"/>
    </row>
    <row r="61" spans="1:19" ht="18" customHeight="1">
      <c r="A61" s="9">
        <v>44228</v>
      </c>
      <c r="B61" s="3">
        <v>1.216664</v>
      </c>
      <c r="C61" s="30" t="str">
        <f t="shared" si="2"/>
        <v/>
      </c>
      <c r="D61" s="41" t="str">
        <f t="shared" si="3"/>
        <v/>
      </c>
      <c r="E61" s="16">
        <v>3012.95</v>
      </c>
      <c r="F61" s="16">
        <v>409.91</v>
      </c>
      <c r="G61" s="16">
        <v>31.34</v>
      </c>
      <c r="H61" s="16">
        <v>2049.71</v>
      </c>
      <c r="I61" s="14">
        <v>913.94</v>
      </c>
      <c r="J61" s="14">
        <v>1363.12</v>
      </c>
      <c r="L61" s="32"/>
      <c r="N61" s="32"/>
      <c r="P61" s="32"/>
      <c r="Q61" s="32"/>
      <c r="R61" s="32"/>
    </row>
    <row r="62" spans="1:19" ht="18" customHeight="1">
      <c r="A62" s="9">
        <v>44197</v>
      </c>
      <c r="B62" s="3">
        <v>1.200699</v>
      </c>
      <c r="C62" s="30" t="str">
        <f t="shared" si="2"/>
        <v/>
      </c>
      <c r="D62" s="41" t="str">
        <f t="shared" si="3"/>
        <v/>
      </c>
      <c r="E62" s="16">
        <v>2976.21</v>
      </c>
      <c r="F62" s="16">
        <v>404.56</v>
      </c>
      <c r="G62" s="16">
        <v>35.729999999999997</v>
      </c>
      <c r="H62" s="16">
        <v>2022.21</v>
      </c>
      <c r="I62" s="14">
        <v>928.73</v>
      </c>
      <c r="J62" s="14">
        <v>1427.72</v>
      </c>
      <c r="L62" s="32"/>
      <c r="M62" s="32"/>
      <c r="N62" s="32"/>
      <c r="P62" s="32"/>
      <c r="Q62" s="32"/>
      <c r="R62" s="32"/>
    </row>
    <row r="63" spans="1:19" ht="18" customHeight="1">
      <c r="A63" s="9">
        <v>44166</v>
      </c>
      <c r="B63" s="3">
        <v>1.1567099999999999</v>
      </c>
      <c r="C63" s="30" t="str">
        <f t="shared" si="2"/>
        <v/>
      </c>
      <c r="D63" s="41" t="str">
        <f t="shared" si="3"/>
        <v/>
      </c>
      <c r="E63" s="16">
        <v>2873.47</v>
      </c>
      <c r="F63" s="16">
        <v>389.29</v>
      </c>
      <c r="G63" s="16">
        <v>22.09</v>
      </c>
      <c r="H63" s="16">
        <v>1945.71</v>
      </c>
      <c r="I63" s="14">
        <v>968.42</v>
      </c>
      <c r="J63" s="14">
        <v>1532.52</v>
      </c>
      <c r="L63" s="32"/>
      <c r="M63" s="32"/>
      <c r="N63" s="32"/>
      <c r="O63" s="32"/>
      <c r="P63" s="32"/>
      <c r="Q63" s="32"/>
      <c r="R63" s="32"/>
    </row>
    <row r="64" spans="1:19" ht="18" customHeight="1">
      <c r="A64" s="9">
        <v>44136</v>
      </c>
      <c r="B64" s="3">
        <v>1.0639050000000001</v>
      </c>
      <c r="C64" s="30" t="str">
        <f t="shared" si="2"/>
        <v/>
      </c>
      <c r="D64" s="41" t="str">
        <f t="shared" si="3"/>
        <v/>
      </c>
      <c r="E64" s="16">
        <v>2591.34</v>
      </c>
      <c r="F64" s="16">
        <v>346.05</v>
      </c>
      <c r="G64" s="16">
        <v>20.77</v>
      </c>
      <c r="H64" s="16">
        <v>1713.2</v>
      </c>
      <c r="I64" s="14">
        <v>886.11</v>
      </c>
      <c r="J64" s="14">
        <v>1348.49</v>
      </c>
      <c r="L64" s="32"/>
      <c r="M64" s="32"/>
      <c r="N64" s="32"/>
      <c r="O64" s="32"/>
      <c r="P64" s="32"/>
      <c r="Q64" s="32"/>
      <c r="R64" s="32"/>
      <c r="S64" s="32"/>
    </row>
    <row r="65" spans="1:19" ht="18" customHeight="1">
      <c r="A65" s="9">
        <v>44105</v>
      </c>
      <c r="B65" s="3">
        <v>0.92899500000000002</v>
      </c>
      <c r="C65" s="30" t="str">
        <f t="shared" si="2"/>
        <v>Risk</v>
      </c>
      <c r="D65" s="41" t="str">
        <f t="shared" si="3"/>
        <v>Risk</v>
      </c>
      <c r="E65" s="16">
        <v>2267.15</v>
      </c>
      <c r="F65" s="16">
        <v>301.60000000000002</v>
      </c>
      <c r="G65" s="16">
        <v>31.97</v>
      </c>
      <c r="H65" s="16">
        <v>1488.97</v>
      </c>
      <c r="I65" s="14">
        <v>792.65</v>
      </c>
      <c r="J65" s="14">
        <v>1203.73</v>
      </c>
      <c r="K65" s="32"/>
      <c r="L65" s="35">
        <f>1+(($H60/$H65)-1)*2</f>
        <v>1.7892570031632604</v>
      </c>
      <c r="M65" s="32"/>
      <c r="N65" s="35">
        <f>1+(($H58/$H65)-1)*2</f>
        <v>1.8770358032734036</v>
      </c>
      <c r="O65" s="32"/>
      <c r="P65" s="32"/>
      <c r="Q65" s="32"/>
      <c r="R65" s="35">
        <f>1+(($H54/$H65)-1)*2</f>
        <v>1.7065958347045274</v>
      </c>
      <c r="S65" s="32"/>
    </row>
    <row r="66" spans="1:19" ht="18" customHeight="1">
      <c r="A66" s="9">
        <v>44075</v>
      </c>
      <c r="B66" s="12">
        <v>0.94691700000000001</v>
      </c>
      <c r="C66" s="30" t="str">
        <f t="shared" si="2"/>
        <v>Risk</v>
      </c>
      <c r="D66" s="41" t="str">
        <f t="shared" si="3"/>
        <v>Risk</v>
      </c>
      <c r="E66" s="16">
        <v>2327.89</v>
      </c>
      <c r="F66" s="16">
        <v>309.44</v>
      </c>
      <c r="G66" s="16">
        <v>24.15</v>
      </c>
      <c r="H66" s="16">
        <v>1529.18</v>
      </c>
      <c r="I66" s="14">
        <v>848.15</v>
      </c>
      <c r="J66" s="14">
        <v>1310.49</v>
      </c>
      <c r="K66" s="32"/>
      <c r="L66" s="32"/>
      <c r="M66" s="32"/>
      <c r="N66" s="32"/>
      <c r="O66" s="32"/>
      <c r="P66" s="32"/>
      <c r="Q66" s="35">
        <f>1+(($H56/$H66)-1)*2</f>
        <v>1.7835441216861323</v>
      </c>
      <c r="R66" s="32"/>
      <c r="S66" s="32"/>
    </row>
    <row r="67" spans="1:19" ht="18" customHeight="1">
      <c r="A67" s="9">
        <v>44044</v>
      </c>
      <c r="B67" s="12">
        <v>0.96567000000000003</v>
      </c>
      <c r="C67" s="30" t="str">
        <f t="shared" si="2"/>
        <v>Risk</v>
      </c>
      <c r="D67" s="41" t="str">
        <f t="shared" si="3"/>
        <v/>
      </c>
      <c r="E67" s="16">
        <v>2326.17</v>
      </c>
      <c r="F67" s="16">
        <v>307.14</v>
      </c>
      <c r="G67" s="16">
        <v>27.77</v>
      </c>
      <c r="H67" s="16">
        <v>1510.89</v>
      </c>
      <c r="I67" s="14">
        <v>848.24</v>
      </c>
      <c r="J67" s="14">
        <v>1336.94</v>
      </c>
      <c r="K67" s="32"/>
      <c r="L67" s="32"/>
      <c r="M67" s="32"/>
      <c r="N67" s="32"/>
      <c r="O67" s="32"/>
      <c r="P67" s="32"/>
      <c r="R67" s="32"/>
      <c r="S67" s="32"/>
    </row>
    <row r="68" spans="1:19" ht="18" customHeight="1">
      <c r="A68" s="9">
        <v>44013</v>
      </c>
      <c r="B68" s="12">
        <v>0.93300700000000003</v>
      </c>
      <c r="C68" s="30" t="str">
        <f t="shared" ref="C68:C131" si="4">IF(B68&lt;=C$1, "Risk", "")</f>
        <v>Risk</v>
      </c>
      <c r="D68" s="41" t="str">
        <f t="shared" si="3"/>
        <v>Risk</v>
      </c>
      <c r="E68" s="16">
        <v>2249.37</v>
      </c>
      <c r="F68" s="16">
        <v>299.32</v>
      </c>
      <c r="G68" s="16">
        <v>23.57</v>
      </c>
      <c r="H68" s="16">
        <v>1474.68</v>
      </c>
      <c r="I68" s="13">
        <v>815.3</v>
      </c>
      <c r="J68" s="14">
        <v>1277.58</v>
      </c>
      <c r="K68" s="32"/>
      <c r="L68" s="32"/>
      <c r="M68" s="35">
        <f>1+(($H62/$H68)-1)*2</f>
        <v>1.7425746602652779</v>
      </c>
      <c r="N68" s="32"/>
      <c r="O68" s="32"/>
      <c r="P68" s="32"/>
      <c r="Q68" s="32"/>
      <c r="R68" s="32"/>
      <c r="S68" s="32"/>
    </row>
    <row r="69" spans="1:19" ht="18" customHeight="1">
      <c r="A69" s="9">
        <v>43983</v>
      </c>
      <c r="B69" s="12">
        <v>0.86749100000000001</v>
      </c>
      <c r="C69" s="30" t="str">
        <f t="shared" si="4"/>
        <v>Risk</v>
      </c>
      <c r="D69" s="41" t="str">
        <f t="shared" ref="D69:D132" si="5">IF(B69&lt;=D$1, "Risk", "")</f>
        <v>Risk</v>
      </c>
      <c r="E69" s="16">
        <v>2108.33</v>
      </c>
      <c r="F69" s="16">
        <v>280.08999999999997</v>
      </c>
      <c r="G69" s="16">
        <v>31.07</v>
      </c>
      <c r="H69" s="16">
        <v>1383.3</v>
      </c>
      <c r="I69" s="14">
        <v>737.97</v>
      </c>
      <c r="J69" s="14">
        <v>1167.1400000000001</v>
      </c>
      <c r="K69" s="35">
        <f>1+(($H65/$H69)-1)*2</f>
        <v>1.1527795850502423</v>
      </c>
      <c r="L69" s="32"/>
      <c r="M69" s="32"/>
      <c r="N69" s="32"/>
      <c r="O69" s="32"/>
      <c r="P69" s="35">
        <f>1+(($H60/$H69)-1)*2</f>
        <v>2.002327766934143</v>
      </c>
      <c r="Q69" s="32"/>
      <c r="R69" s="32"/>
      <c r="S69" s="32"/>
    </row>
    <row r="70" spans="1:19" ht="18" customHeight="1">
      <c r="A70" s="9">
        <v>43952</v>
      </c>
      <c r="B70" s="12">
        <v>0.83083600000000002</v>
      </c>
      <c r="C70" s="30" t="str">
        <f t="shared" si="4"/>
        <v>Risk</v>
      </c>
      <c r="D70" s="41" t="str">
        <f t="shared" si="5"/>
        <v>Risk</v>
      </c>
      <c r="E70" s="16">
        <v>2029.6</v>
      </c>
      <c r="F70" s="16">
        <v>268.32</v>
      </c>
      <c r="G70" s="16">
        <v>25.64</v>
      </c>
      <c r="H70" s="16">
        <v>1311.92</v>
      </c>
      <c r="I70" s="14">
        <v>713.68</v>
      </c>
      <c r="J70" s="14">
        <v>1093.3800000000001</v>
      </c>
      <c r="K70" s="32"/>
      <c r="L70" s="32"/>
      <c r="M70" s="32"/>
      <c r="N70" s="32"/>
      <c r="O70" s="32"/>
      <c r="P70" s="32"/>
      <c r="Q70" s="32"/>
      <c r="R70" s="32"/>
      <c r="S70" s="32"/>
    </row>
    <row r="71" spans="1:19" ht="18" customHeight="1">
      <c r="A71" s="9">
        <v>43922</v>
      </c>
      <c r="B71" s="12">
        <v>0.79072900000000002</v>
      </c>
      <c r="C71" s="30" t="str">
        <f t="shared" si="4"/>
        <v>Risk</v>
      </c>
      <c r="D71" s="41" t="str">
        <f t="shared" si="5"/>
        <v>Risk</v>
      </c>
      <c r="E71" s="16">
        <v>1947.56</v>
      </c>
      <c r="F71" s="16">
        <v>258.14999999999998</v>
      </c>
      <c r="G71" s="16">
        <v>30.51</v>
      </c>
      <c r="H71" s="16">
        <v>1268.19</v>
      </c>
      <c r="I71" s="14">
        <v>645.17999999999995</v>
      </c>
      <c r="J71" s="13">
        <v>992.7</v>
      </c>
      <c r="K71" s="32"/>
      <c r="L71" s="35">
        <f>1+(($H66/$H71)-1)*2</f>
        <v>1.4115944771682476</v>
      </c>
      <c r="M71" s="32"/>
      <c r="N71" s="32"/>
      <c r="O71" s="35">
        <f>1+(($H63/$H71)-1)*2</f>
        <v>2.0684834291391669</v>
      </c>
      <c r="P71" s="32"/>
      <c r="Q71" s="32"/>
      <c r="R71" s="32"/>
      <c r="S71" s="32"/>
    </row>
    <row r="72" spans="1:19" ht="18" customHeight="1">
      <c r="A72" s="9">
        <v>43891</v>
      </c>
      <c r="B72" s="11">
        <v>0.71247499999999997</v>
      </c>
      <c r="C72" s="30" t="str">
        <f t="shared" si="4"/>
        <v>Risk</v>
      </c>
      <c r="D72" s="41" t="str">
        <f t="shared" si="5"/>
        <v>Risk</v>
      </c>
      <c r="E72" s="16">
        <v>1754.64</v>
      </c>
      <c r="F72" s="16">
        <v>236.82</v>
      </c>
      <c r="G72" s="16">
        <v>48.55</v>
      </c>
      <c r="H72" s="16">
        <v>1159.5999999999999</v>
      </c>
      <c r="I72" s="14">
        <v>569.07000000000005</v>
      </c>
      <c r="J72" s="13">
        <v>916.5</v>
      </c>
      <c r="K72" s="32"/>
      <c r="L72" s="32"/>
      <c r="M72" s="32"/>
      <c r="N72" s="32"/>
      <c r="O72" s="32"/>
      <c r="P72" s="32"/>
      <c r="Q72" s="32"/>
      <c r="R72" s="32"/>
      <c r="S72" s="32"/>
    </row>
    <row r="73" spans="1:19" ht="18" customHeight="1">
      <c r="A73" s="9">
        <v>43862</v>
      </c>
      <c r="B73" s="3">
        <v>0.806952</v>
      </c>
      <c r="C73" s="30" t="str">
        <f t="shared" si="4"/>
        <v>Risk</v>
      </c>
      <c r="D73" s="41" t="str">
        <f t="shared" si="5"/>
        <v>Risk</v>
      </c>
      <c r="E73" s="16">
        <v>1987.01</v>
      </c>
      <c r="F73" s="16">
        <v>268.02</v>
      </c>
      <c r="G73" s="16">
        <v>33.81</v>
      </c>
      <c r="H73" s="16">
        <v>1312.77</v>
      </c>
      <c r="I73" s="14">
        <v>610.73</v>
      </c>
      <c r="J73" s="14">
        <v>927.48</v>
      </c>
      <c r="K73" s="32"/>
      <c r="L73" s="32"/>
      <c r="M73" s="32"/>
      <c r="N73" s="35">
        <f>1+(($H66/$H73)-1)*2</f>
        <v>1.329699795089772</v>
      </c>
      <c r="O73" s="32"/>
      <c r="P73" s="32"/>
      <c r="Q73" s="32"/>
      <c r="R73" s="32"/>
      <c r="S73" s="32"/>
    </row>
    <row r="74" spans="1:19" ht="18" customHeight="1">
      <c r="A74" s="9">
        <v>43831</v>
      </c>
      <c r="B74" s="11">
        <v>0.85994499999999996</v>
      </c>
      <c r="C74" s="30" t="str">
        <f t="shared" si="4"/>
        <v>Risk</v>
      </c>
      <c r="D74" s="41" t="str">
        <f t="shared" si="5"/>
        <v>Risk</v>
      </c>
      <c r="E74" s="16">
        <v>2119.0100000000002</v>
      </c>
      <c r="F74" s="16">
        <v>284.52999999999997</v>
      </c>
      <c r="G74" s="16">
        <v>19.29</v>
      </c>
      <c r="H74" s="16">
        <v>1397.56</v>
      </c>
      <c r="I74" s="14">
        <v>642.48</v>
      </c>
      <c r="J74" s="14">
        <v>958.52</v>
      </c>
      <c r="K74" s="35">
        <f>1+(($H70/$H74)-1)*2</f>
        <v>0.87744354446320738</v>
      </c>
      <c r="L74" s="32"/>
      <c r="M74" s="32"/>
      <c r="N74" s="32"/>
      <c r="O74" s="32"/>
      <c r="P74" s="32"/>
      <c r="Q74" s="32"/>
      <c r="R74" s="32"/>
      <c r="S74" s="32"/>
    </row>
    <row r="75" spans="1:19" ht="18" customHeight="1">
      <c r="A75" s="9">
        <v>43800</v>
      </c>
      <c r="B75" s="11">
        <v>0.89135299999999995</v>
      </c>
      <c r="C75" s="30" t="str">
        <f t="shared" si="4"/>
        <v>Risk</v>
      </c>
      <c r="D75" s="41" t="str">
        <f t="shared" si="5"/>
        <v>Risk</v>
      </c>
      <c r="E75" s="16">
        <v>2197.67</v>
      </c>
      <c r="F75" s="16">
        <v>293.77</v>
      </c>
      <c r="G75" s="16">
        <v>14.69</v>
      </c>
      <c r="H75" s="16">
        <v>1446.82</v>
      </c>
      <c r="I75" s="14">
        <v>669.83</v>
      </c>
      <c r="J75" s="14">
        <v>1029.57</v>
      </c>
      <c r="K75" s="32"/>
      <c r="L75" s="32"/>
      <c r="M75" s="35">
        <f>1+(($H69/$H75)-1)*2</f>
        <v>0.91219363846228285</v>
      </c>
      <c r="N75" s="32"/>
      <c r="O75" s="32"/>
      <c r="P75" s="32"/>
      <c r="Q75" s="32"/>
      <c r="R75" s="32"/>
      <c r="S75" s="32"/>
    </row>
    <row r="76" spans="1:19" ht="18" customHeight="1">
      <c r="A76" s="9">
        <v>43770</v>
      </c>
      <c r="B76" s="11">
        <v>0.86090999999999995</v>
      </c>
      <c r="C76" s="30" t="str">
        <f t="shared" si="4"/>
        <v>Risk</v>
      </c>
      <c r="D76" s="41" t="str">
        <f t="shared" si="5"/>
        <v>Risk</v>
      </c>
      <c r="E76" s="16">
        <v>2087.96</v>
      </c>
      <c r="F76" s="16">
        <v>276.77999999999997</v>
      </c>
      <c r="G76" s="16">
        <v>13.96</v>
      </c>
      <c r="H76" s="16">
        <v>1347.44</v>
      </c>
      <c r="I76" s="14">
        <v>632.99</v>
      </c>
      <c r="J76" s="37">
        <v>946.89</v>
      </c>
      <c r="K76" s="32"/>
      <c r="L76" s="32"/>
      <c r="M76" s="32"/>
      <c r="N76" s="32"/>
      <c r="O76" s="32"/>
      <c r="P76" s="32"/>
      <c r="Q76" s="32"/>
      <c r="R76" s="32"/>
      <c r="S76" s="35">
        <f>1+(($H64/$H76)-1)*2</f>
        <v>1.5428961586415721</v>
      </c>
    </row>
    <row r="77" spans="1:19" ht="18" customHeight="1">
      <c r="A77" s="9">
        <v>43739</v>
      </c>
      <c r="B77" s="11">
        <v>0.85831400000000002</v>
      </c>
      <c r="C77" s="30" t="str">
        <f t="shared" si="4"/>
        <v>Risk</v>
      </c>
      <c r="D77" s="41" t="str">
        <f t="shared" si="5"/>
        <v>Risk</v>
      </c>
      <c r="E77" s="16">
        <v>2083.48</v>
      </c>
      <c r="F77" s="16">
        <v>275.82</v>
      </c>
      <c r="G77" s="16">
        <v>13.59</v>
      </c>
      <c r="H77" s="16">
        <v>1342.34</v>
      </c>
      <c r="I77" s="14">
        <v>658.52</v>
      </c>
      <c r="J77" s="14">
        <v>1016.62</v>
      </c>
      <c r="K77" s="32"/>
      <c r="L77" s="35">
        <f>1+(($H72/$H77)-1)*2</f>
        <v>0.7277291893261022</v>
      </c>
      <c r="M77" s="32"/>
      <c r="N77" s="32"/>
      <c r="O77" s="32"/>
      <c r="P77" s="32"/>
      <c r="Q77" s="32"/>
      <c r="R77" s="35">
        <f>1+(($H66/$H77)-1)*2</f>
        <v>1.2783795461656511</v>
      </c>
      <c r="S77" s="32"/>
    </row>
    <row r="78" spans="1:19" ht="18" customHeight="1">
      <c r="A78" s="9">
        <v>43709</v>
      </c>
      <c r="B78" s="11">
        <v>0.84934799999999999</v>
      </c>
      <c r="C78" s="30" t="str">
        <f t="shared" si="4"/>
        <v>Risk</v>
      </c>
      <c r="D78" s="41" t="str">
        <f t="shared" si="5"/>
        <v>Risk</v>
      </c>
      <c r="E78" s="16">
        <v>2063.0500000000002</v>
      </c>
      <c r="F78" s="16">
        <v>273.55</v>
      </c>
      <c r="G78" s="16">
        <v>15.15</v>
      </c>
      <c r="H78" s="16">
        <v>1330.93</v>
      </c>
      <c r="I78" s="14">
        <v>621.76</v>
      </c>
      <c r="J78" s="14">
        <v>894.36</v>
      </c>
      <c r="K78" s="32"/>
      <c r="L78" s="32"/>
      <c r="M78" s="32"/>
      <c r="N78" s="32"/>
      <c r="O78" s="32"/>
      <c r="P78" s="32"/>
      <c r="Q78" s="35">
        <f>1+(($H68/$H78)-1)*2</f>
        <v>1.2160143658945248</v>
      </c>
      <c r="R78" s="32"/>
      <c r="S78" s="32"/>
    </row>
    <row r="79" spans="1:19" ht="18" customHeight="1">
      <c r="A79" s="9">
        <v>43678</v>
      </c>
      <c r="B79" s="11">
        <v>0.826874</v>
      </c>
      <c r="C79" s="30" t="str">
        <f t="shared" si="4"/>
        <v>Risk</v>
      </c>
      <c r="D79" s="41" t="str">
        <f t="shared" si="5"/>
        <v>Risk</v>
      </c>
      <c r="E79" s="16">
        <v>1967.79</v>
      </c>
      <c r="F79" s="16">
        <v>259</v>
      </c>
      <c r="G79" s="16">
        <v>15.75</v>
      </c>
      <c r="H79" s="16">
        <v>1258.81</v>
      </c>
      <c r="I79" s="14">
        <v>610.54999999999995</v>
      </c>
      <c r="J79" s="14">
        <v>891.39</v>
      </c>
      <c r="K79" s="35">
        <f>1+(($H75/$H79)-1)*2</f>
        <v>1.2987106870774778</v>
      </c>
      <c r="L79" s="32"/>
      <c r="M79" s="32"/>
      <c r="N79" s="32"/>
      <c r="O79" s="32"/>
      <c r="P79" s="35">
        <f>1+(($H70/$H79)-1)*2</f>
        <v>1.0843812807333912</v>
      </c>
      <c r="Q79" s="32"/>
      <c r="R79" s="32"/>
      <c r="S79" s="32"/>
    </row>
    <row r="80" spans="1:19" ht="18" customHeight="1">
      <c r="A80" s="9">
        <v>43647</v>
      </c>
      <c r="B80" s="3">
        <v>0.85062599999999999</v>
      </c>
      <c r="C80" s="30" t="str">
        <f t="shared" si="4"/>
        <v>Risk</v>
      </c>
      <c r="D80" s="41" t="str">
        <f t="shared" si="5"/>
        <v>Risk</v>
      </c>
      <c r="E80" s="16">
        <v>2024.55</v>
      </c>
      <c r="F80" s="16">
        <v>266.33999999999997</v>
      </c>
      <c r="G80" s="16">
        <v>15.29</v>
      </c>
      <c r="H80" s="16">
        <v>1296.21</v>
      </c>
      <c r="I80" s="14">
        <v>630.17999999999995</v>
      </c>
      <c r="J80" s="14">
        <v>939.73</v>
      </c>
      <c r="K80" s="32"/>
      <c r="L80" s="32"/>
      <c r="M80" s="32"/>
      <c r="N80" s="32"/>
      <c r="O80" s="35">
        <f>1+(($H72/$H80)-1)*2</f>
        <v>0.78921625353916403</v>
      </c>
      <c r="P80" s="32"/>
      <c r="Q80" s="32"/>
      <c r="R80" s="32"/>
      <c r="S80" s="32"/>
    </row>
    <row r="81" spans="1:19" ht="18" customHeight="1">
      <c r="A81" s="9">
        <v>43617</v>
      </c>
      <c r="B81" s="3">
        <v>0.89509099999999997</v>
      </c>
      <c r="C81" s="30" t="str">
        <f t="shared" si="4"/>
        <v>Risk</v>
      </c>
      <c r="D81" s="41" t="str">
        <f t="shared" si="5"/>
        <v>Risk</v>
      </c>
      <c r="E81" s="16">
        <v>2130.62</v>
      </c>
      <c r="F81" s="16">
        <v>277.5</v>
      </c>
      <c r="G81" s="16">
        <v>14.43</v>
      </c>
      <c r="H81" s="16">
        <v>1352.31</v>
      </c>
      <c r="I81" s="14">
        <v>690.53</v>
      </c>
      <c r="J81" s="14">
        <v>1012.74</v>
      </c>
      <c r="K81" s="32"/>
      <c r="L81" s="32"/>
      <c r="M81" s="32"/>
      <c r="N81" s="35">
        <f>1+(($H74/$H81)-1)*2</f>
        <v>1.0669225251606509</v>
      </c>
      <c r="O81" s="32"/>
      <c r="P81" s="32"/>
      <c r="Q81" s="32"/>
      <c r="R81" s="32"/>
      <c r="S81" s="32"/>
    </row>
    <row r="82" spans="1:19" ht="18" customHeight="1">
      <c r="A82" s="9">
        <v>43586</v>
      </c>
      <c r="B82" s="3">
        <v>0.87327999999999995</v>
      </c>
      <c r="C82" s="30" t="str">
        <f t="shared" si="4"/>
        <v>Risk</v>
      </c>
      <c r="D82" s="41" t="str">
        <f t="shared" si="5"/>
        <v>Risk</v>
      </c>
      <c r="E82" s="16">
        <v>2041.74</v>
      </c>
      <c r="F82" s="16">
        <v>263.89</v>
      </c>
      <c r="G82" s="16">
        <v>17.32</v>
      </c>
      <c r="H82" s="16">
        <v>1280.67</v>
      </c>
      <c r="I82" s="14">
        <v>696.47</v>
      </c>
      <c r="J82" s="14">
        <v>1075.28</v>
      </c>
      <c r="K82" s="32"/>
      <c r="L82" s="32"/>
      <c r="M82" s="35">
        <f>1+(($H76/$H82)-1)*2</f>
        <v>1.1042735443166469</v>
      </c>
      <c r="N82" s="32"/>
      <c r="O82" s="32"/>
      <c r="P82" s="32"/>
      <c r="Q82" s="32"/>
      <c r="R82" s="32"/>
      <c r="S82" s="32"/>
    </row>
    <row r="83" spans="1:19" ht="18" customHeight="1">
      <c r="A83" s="9">
        <v>43556</v>
      </c>
      <c r="B83" s="3">
        <v>0.947048</v>
      </c>
      <c r="C83" s="30" t="str">
        <f t="shared" si="4"/>
        <v>Risk</v>
      </c>
      <c r="D83" s="41" t="str">
        <f t="shared" si="5"/>
        <v>Risk</v>
      </c>
      <c r="E83" s="16">
        <v>2203.59</v>
      </c>
      <c r="F83" s="16">
        <v>284.92</v>
      </c>
      <c r="G83" s="16">
        <v>13.28</v>
      </c>
      <c r="H83" s="16">
        <v>1387.11</v>
      </c>
      <c r="I83" s="14">
        <v>754.74</v>
      </c>
      <c r="J83" s="14">
        <v>1207.56</v>
      </c>
      <c r="K83" s="32"/>
      <c r="L83" s="35">
        <f>1+(($H78/$H83)-1)*2</f>
        <v>0.91899705142346333</v>
      </c>
      <c r="M83" s="32"/>
      <c r="N83" s="32"/>
      <c r="O83" s="32"/>
      <c r="P83" s="32"/>
      <c r="Q83" s="32"/>
      <c r="R83" s="32"/>
      <c r="S83" s="32"/>
    </row>
    <row r="84" spans="1:19" ht="18" customHeight="1">
      <c r="A84" s="9">
        <v>43525</v>
      </c>
      <c r="B84" s="3">
        <v>0.91991199999999995</v>
      </c>
      <c r="C84" s="30" t="str">
        <f t="shared" si="4"/>
        <v>Risk</v>
      </c>
      <c r="D84" s="41" t="str">
        <f t="shared" si="5"/>
        <v>Risk</v>
      </c>
      <c r="E84" s="16">
        <v>2140.67</v>
      </c>
      <c r="F84" s="16">
        <v>276.48</v>
      </c>
      <c r="G84" s="16">
        <v>14.29</v>
      </c>
      <c r="H84" s="16">
        <v>1347.26</v>
      </c>
      <c r="I84" s="14">
        <v>729.31</v>
      </c>
      <c r="J84" s="13">
        <v>1193.9000000000001</v>
      </c>
      <c r="K84" s="35">
        <f>1+(($H80/$H84)-1)*2</f>
        <v>0.92421655805115566</v>
      </c>
      <c r="L84" s="32"/>
      <c r="M84" s="32"/>
      <c r="N84" s="32"/>
      <c r="O84" s="32"/>
      <c r="P84" s="32"/>
      <c r="Q84" s="32"/>
      <c r="R84" s="32"/>
      <c r="S84" s="32"/>
    </row>
    <row r="85" spans="1:19" ht="18" customHeight="1">
      <c r="A85" s="9">
        <v>43497</v>
      </c>
      <c r="B85" s="3">
        <v>0.94048799999999999</v>
      </c>
      <c r="C85" s="30" t="str">
        <f t="shared" si="4"/>
        <v>Risk</v>
      </c>
      <c r="D85" s="41" t="str">
        <f t="shared" si="5"/>
        <v>Risk</v>
      </c>
      <c r="E85" s="16">
        <v>2195.44</v>
      </c>
      <c r="F85" s="16">
        <v>283.8</v>
      </c>
      <c r="G85" s="16">
        <v>15.49</v>
      </c>
      <c r="H85" s="16">
        <v>1383.39</v>
      </c>
      <c r="I85" s="14">
        <v>731.25</v>
      </c>
      <c r="J85" s="14">
        <v>1235.26</v>
      </c>
      <c r="K85" s="32"/>
      <c r="L85" s="32"/>
      <c r="M85" s="32"/>
      <c r="N85" s="32"/>
      <c r="O85" s="32"/>
      <c r="P85" s="32"/>
      <c r="Q85" s="32"/>
      <c r="R85" s="32"/>
      <c r="S85" s="32"/>
    </row>
    <row r="86" spans="1:19" ht="18" customHeight="1">
      <c r="A86" s="9">
        <v>43466</v>
      </c>
      <c r="B86" s="3">
        <v>0.93744499999999997</v>
      </c>
      <c r="C86" s="30" t="str">
        <f t="shared" si="4"/>
        <v>Risk</v>
      </c>
      <c r="D86" s="41" t="str">
        <f t="shared" si="5"/>
        <v>Risk</v>
      </c>
      <c r="E86" s="16">
        <v>2204.85</v>
      </c>
      <c r="F86" s="16">
        <v>285.89</v>
      </c>
      <c r="G86" s="16">
        <v>15.51</v>
      </c>
      <c r="H86" s="16">
        <v>1398.5</v>
      </c>
      <c r="I86" s="14">
        <v>716.86</v>
      </c>
      <c r="J86" s="14">
        <v>1191.47</v>
      </c>
      <c r="K86" s="32"/>
      <c r="L86" s="32"/>
      <c r="M86" s="32"/>
      <c r="N86" s="32"/>
      <c r="O86" s="32"/>
      <c r="P86" s="32"/>
      <c r="Q86" s="32"/>
      <c r="R86" s="32"/>
      <c r="S86" s="32"/>
    </row>
    <row r="87" spans="1:19" ht="18" customHeight="1">
      <c r="A87" s="9">
        <v>43435</v>
      </c>
      <c r="B87" s="3">
        <v>0.867363</v>
      </c>
      <c r="C87" s="30" t="str">
        <f t="shared" si="4"/>
        <v>Risk</v>
      </c>
      <c r="D87" s="41" t="str">
        <f t="shared" si="5"/>
        <v>Risk</v>
      </c>
      <c r="E87" s="16">
        <v>2041.04</v>
      </c>
      <c r="F87" s="16">
        <v>261.98</v>
      </c>
      <c r="G87" s="16">
        <v>18.989999999999998</v>
      </c>
      <c r="H87" s="16">
        <v>1276.9000000000001</v>
      </c>
      <c r="I87" s="14">
        <v>675.65</v>
      </c>
      <c r="J87" s="14">
        <v>1166.25</v>
      </c>
      <c r="K87" s="32"/>
      <c r="L87" s="32"/>
      <c r="M87" s="32"/>
      <c r="N87" s="32"/>
      <c r="O87" s="32"/>
      <c r="P87" s="32"/>
      <c r="Q87" s="32"/>
      <c r="R87" s="32"/>
      <c r="S87" s="32"/>
    </row>
    <row r="88" spans="1:19" ht="18" customHeight="1">
      <c r="A88" s="9">
        <v>43405</v>
      </c>
      <c r="B88" s="3">
        <v>0.92381400000000002</v>
      </c>
      <c r="C88" s="30" t="str">
        <f t="shared" si="4"/>
        <v>Risk</v>
      </c>
      <c r="D88" s="41" t="str">
        <f t="shared" si="5"/>
        <v>Risk</v>
      </c>
      <c r="E88" s="16">
        <v>2096.86</v>
      </c>
      <c r="F88" s="16">
        <v>271.35000000000002</v>
      </c>
      <c r="G88" s="16">
        <v>18.57</v>
      </c>
      <c r="H88" s="16">
        <v>1309.6300000000001</v>
      </c>
      <c r="I88" s="14">
        <v>695.76</v>
      </c>
      <c r="J88" s="14">
        <v>1186.6300000000001</v>
      </c>
      <c r="K88" s="32"/>
      <c r="L88" s="32"/>
      <c r="M88" s="32"/>
      <c r="N88" s="32"/>
      <c r="O88" s="32"/>
      <c r="P88" s="32"/>
      <c r="Q88" s="32"/>
      <c r="R88" s="32"/>
      <c r="S88" s="32"/>
    </row>
    <row r="89" spans="1:19" ht="18" customHeight="1">
      <c r="A89" s="9">
        <v>43374</v>
      </c>
      <c r="B89" s="3">
        <v>0.89380899999999996</v>
      </c>
      <c r="C89" s="30" t="str">
        <f t="shared" si="4"/>
        <v>Risk</v>
      </c>
      <c r="D89" s="41" t="str">
        <f t="shared" si="5"/>
        <v>Risk</v>
      </c>
      <c r="E89" s="16">
        <v>2029.69</v>
      </c>
      <c r="F89" s="16">
        <v>264.01</v>
      </c>
      <c r="G89" s="16">
        <v>20.49</v>
      </c>
      <c r="H89" s="16">
        <v>1273.47</v>
      </c>
      <c r="I89" s="14">
        <v>648.66999999999996</v>
      </c>
      <c r="J89" s="14">
        <v>1124.49</v>
      </c>
      <c r="K89" s="35">
        <f>1+(($H85/$H89)-1)*2</f>
        <v>1.1726306862352471</v>
      </c>
      <c r="L89" s="35">
        <f>1+(($H84/$H89)-1)*2</f>
        <v>1.1158880853102153</v>
      </c>
      <c r="M89" s="35">
        <f>1+(($H83/$H89)-1)*2</f>
        <v>1.1784729911187539</v>
      </c>
      <c r="N89" s="35">
        <f>1+(($H82/$H89)-1)*2</f>
        <v>1.0113076868713047</v>
      </c>
      <c r="O89" s="35">
        <f>1+(($H81/$H89)-1)*2</f>
        <v>1.123819171240783</v>
      </c>
      <c r="P89" s="35">
        <f>1+(($H80/$H89)-1)*2</f>
        <v>1.0357134443685365</v>
      </c>
      <c r="Q89" s="35">
        <f>1+(($H79/$H89)-1)*2</f>
        <v>0.97697629312037182</v>
      </c>
      <c r="R89" s="35">
        <f>1+(($H78/$H89)-1)*2</f>
        <v>1.0902416232812708</v>
      </c>
      <c r="S89" s="35">
        <f>1+(($H77/$H89)-1)*2</f>
        <v>1.1081611659481574</v>
      </c>
    </row>
    <row r="90" spans="1:19" ht="18" customHeight="1">
      <c r="A90" s="9">
        <v>43344</v>
      </c>
      <c r="B90" s="3">
        <v>1.030465</v>
      </c>
      <c r="C90" s="30" t="str">
        <f t="shared" si="4"/>
        <v/>
      </c>
      <c r="D90" s="41" t="str">
        <f t="shared" si="5"/>
        <v/>
      </c>
      <c r="E90" s="16">
        <v>2343.0700000000002</v>
      </c>
      <c r="F90" s="16">
        <v>300.51</v>
      </c>
      <c r="G90" s="16">
        <v>11.24</v>
      </c>
      <c r="H90" s="16">
        <v>1454.29</v>
      </c>
      <c r="I90" s="14">
        <v>822.27</v>
      </c>
      <c r="J90" s="14">
        <v>1411.73</v>
      </c>
    </row>
    <row r="91" spans="1:19" ht="18" customHeight="1">
      <c r="A91" s="9">
        <v>43313</v>
      </c>
      <c r="B91" s="3">
        <v>1.0442990000000001</v>
      </c>
      <c r="C91" s="30" t="str">
        <f t="shared" si="4"/>
        <v/>
      </c>
      <c r="D91" s="41" t="str">
        <f t="shared" si="5"/>
        <v/>
      </c>
      <c r="E91" s="16">
        <v>2322.88</v>
      </c>
      <c r="F91" s="16">
        <v>300.07</v>
      </c>
      <c r="G91" s="16">
        <v>11.64</v>
      </c>
      <c r="H91" s="16">
        <v>1445.99</v>
      </c>
      <c r="I91" s="14">
        <v>816.97</v>
      </c>
      <c r="J91" s="14">
        <v>1376.46</v>
      </c>
    </row>
    <row r="92" spans="1:19" ht="18" customHeight="1">
      <c r="A92" s="9">
        <v>43282</v>
      </c>
      <c r="B92" s="3">
        <v>1.0321480000000001</v>
      </c>
      <c r="C92" s="30" t="str">
        <f t="shared" si="4"/>
        <v/>
      </c>
      <c r="D92" s="41" t="str">
        <f t="shared" si="5"/>
        <v/>
      </c>
      <c r="E92" s="16">
        <v>2295.2600000000002</v>
      </c>
      <c r="F92" s="16">
        <v>297.45</v>
      </c>
      <c r="G92" s="16">
        <v>13.05</v>
      </c>
      <c r="H92" s="16">
        <v>1438.27</v>
      </c>
      <c r="I92" s="14">
        <v>775.52</v>
      </c>
      <c r="J92" s="14">
        <v>1265.58</v>
      </c>
    </row>
    <row r="93" spans="1:19" ht="18" customHeight="1">
      <c r="A93" s="9">
        <v>43252</v>
      </c>
      <c r="B93" s="3">
        <v>1.0479160000000001</v>
      </c>
      <c r="C93" s="30" t="str">
        <f t="shared" si="4"/>
        <v/>
      </c>
      <c r="D93" s="41" t="str">
        <f t="shared" si="5"/>
        <v/>
      </c>
      <c r="E93" s="16">
        <v>2326.13</v>
      </c>
      <c r="F93" s="16">
        <v>299.66000000000003</v>
      </c>
      <c r="G93" s="16">
        <v>16.04</v>
      </c>
      <c r="H93" s="16">
        <v>1448.16</v>
      </c>
      <c r="I93" s="14">
        <v>818.22</v>
      </c>
      <c r="J93" s="14">
        <v>1391.83</v>
      </c>
    </row>
    <row r="94" spans="1:19" ht="18" customHeight="1">
      <c r="A94" s="9">
        <v>43221</v>
      </c>
      <c r="B94" s="3">
        <v>1.1065240000000001</v>
      </c>
      <c r="C94" s="30" t="str">
        <f t="shared" si="4"/>
        <v/>
      </c>
      <c r="D94" s="41" t="str">
        <f t="shared" si="5"/>
        <v/>
      </c>
      <c r="E94" s="16">
        <v>2423.0100000000002</v>
      </c>
      <c r="F94" s="16">
        <v>310.92</v>
      </c>
      <c r="G94" s="16">
        <v>14.55</v>
      </c>
      <c r="H94" s="16">
        <v>1498.26</v>
      </c>
      <c r="I94" s="14">
        <v>879.66</v>
      </c>
      <c r="J94" s="13">
        <v>1491.9</v>
      </c>
    </row>
    <row r="95" spans="1:19" ht="18" customHeight="1">
      <c r="A95" s="9">
        <v>43191</v>
      </c>
      <c r="B95" s="3">
        <v>1.1569799999999999</v>
      </c>
      <c r="C95" s="30" t="str">
        <f t="shared" si="4"/>
        <v/>
      </c>
      <c r="D95" s="41" t="str">
        <f t="shared" si="5"/>
        <v/>
      </c>
      <c r="E95" s="16">
        <v>2515.38</v>
      </c>
      <c r="F95" s="16">
        <v>323.56</v>
      </c>
      <c r="G95" s="16">
        <v>13.59</v>
      </c>
      <c r="H95" s="16">
        <v>1558.62</v>
      </c>
      <c r="I95" s="14">
        <v>875.95</v>
      </c>
      <c r="J95" s="14">
        <v>1495.09</v>
      </c>
    </row>
    <row r="96" spans="1:19" ht="18" customHeight="1">
      <c r="A96" s="9">
        <v>43160</v>
      </c>
      <c r="B96" s="3">
        <v>1.1228480000000001</v>
      </c>
      <c r="C96" s="30" t="str">
        <f t="shared" si="4"/>
        <v/>
      </c>
      <c r="D96" s="41" t="str">
        <f t="shared" si="5"/>
        <v/>
      </c>
      <c r="E96" s="16">
        <v>2445.85</v>
      </c>
      <c r="F96" s="16">
        <v>314.61</v>
      </c>
      <c r="G96" s="16">
        <v>17.54</v>
      </c>
      <c r="H96" s="16">
        <v>1524.33</v>
      </c>
      <c r="I96" s="14">
        <v>871.09</v>
      </c>
      <c r="J96" s="14">
        <v>1551.48</v>
      </c>
    </row>
    <row r="97" spans="1:19" ht="18" customHeight="1">
      <c r="A97" s="9">
        <v>43132</v>
      </c>
      <c r="B97" s="3">
        <v>1.113524</v>
      </c>
      <c r="C97" s="30" t="str">
        <f t="shared" si="4"/>
        <v/>
      </c>
      <c r="D97" s="41" t="str">
        <f t="shared" si="5"/>
        <v/>
      </c>
      <c r="E97" s="16">
        <v>2427.36</v>
      </c>
      <c r="F97" s="16">
        <v>312.86</v>
      </c>
      <c r="G97" s="16">
        <v>15.55</v>
      </c>
      <c r="H97" s="16">
        <v>1515.9</v>
      </c>
      <c r="I97" s="14">
        <v>857.06</v>
      </c>
      <c r="J97" s="13">
        <v>1535.3</v>
      </c>
    </row>
    <row r="98" spans="1:19" ht="18" customHeight="1">
      <c r="A98" s="9">
        <v>43101</v>
      </c>
      <c r="B98" s="3">
        <v>1.152892</v>
      </c>
      <c r="C98" s="30" t="str">
        <f t="shared" si="4"/>
        <v/>
      </c>
      <c r="D98" s="41" t="str">
        <f t="shared" si="5"/>
        <v/>
      </c>
      <c r="E98" s="16">
        <v>2566.46</v>
      </c>
      <c r="F98" s="16">
        <v>333.38</v>
      </c>
      <c r="G98" s="16">
        <v>14.54</v>
      </c>
      <c r="H98" s="16">
        <v>1622.47</v>
      </c>
      <c r="I98" s="14">
        <v>913.57</v>
      </c>
      <c r="J98" s="14">
        <v>1664.36</v>
      </c>
    </row>
    <row r="99" spans="1:19" ht="18" customHeight="1">
      <c r="A99" s="9">
        <v>43070</v>
      </c>
      <c r="B99" s="3">
        <v>1.1098110000000001</v>
      </c>
      <c r="C99" s="30" t="str">
        <f t="shared" si="4"/>
        <v/>
      </c>
      <c r="D99" s="41" t="str">
        <f t="shared" si="5"/>
        <v/>
      </c>
      <c r="E99" s="16">
        <v>2467.4899999999998</v>
      </c>
      <c r="F99" s="16">
        <v>324.74</v>
      </c>
      <c r="G99" s="16">
        <v>12.06</v>
      </c>
      <c r="H99" s="16">
        <v>1579.84</v>
      </c>
      <c r="I99" s="14">
        <v>798.42</v>
      </c>
      <c r="J99" s="13">
        <v>1413.8</v>
      </c>
    </row>
    <row r="100" spans="1:19" ht="18" customHeight="1">
      <c r="A100" s="9">
        <v>43040</v>
      </c>
      <c r="B100" s="3">
        <v>1.1375059999999999</v>
      </c>
      <c r="C100" s="30" t="str">
        <f t="shared" si="4"/>
        <v/>
      </c>
      <c r="D100" s="41" t="str">
        <f t="shared" si="5"/>
        <v/>
      </c>
      <c r="E100" s="16">
        <v>2476.37</v>
      </c>
      <c r="F100" s="16">
        <v>325.25</v>
      </c>
      <c r="G100" s="16">
        <v>13.2</v>
      </c>
      <c r="H100" s="16">
        <v>1565.29</v>
      </c>
      <c r="I100" s="14">
        <v>771.42</v>
      </c>
      <c r="J100" s="14">
        <v>1348.84</v>
      </c>
    </row>
    <row r="101" spans="1:19" ht="18" customHeight="1">
      <c r="A101" s="9">
        <v>43009</v>
      </c>
      <c r="B101" s="3">
        <v>1.1598539999999999</v>
      </c>
      <c r="C101" s="30" t="str">
        <f t="shared" si="4"/>
        <v/>
      </c>
      <c r="D101" s="41" t="str">
        <f t="shared" si="5"/>
        <v/>
      </c>
      <c r="E101" s="16">
        <v>2523.4299999999998</v>
      </c>
      <c r="F101" s="16">
        <v>333.57</v>
      </c>
      <c r="G101" s="16">
        <v>12.06</v>
      </c>
      <c r="H101" s="16">
        <v>1607.59</v>
      </c>
      <c r="I101" s="13">
        <v>694.2</v>
      </c>
      <c r="J101" s="14">
        <v>1196.8599999999999</v>
      </c>
      <c r="S101" s="32"/>
    </row>
    <row r="102" spans="1:19" ht="18" customHeight="1">
      <c r="A102" s="9">
        <v>42979</v>
      </c>
      <c r="B102" s="3">
        <v>1.1000099999999999</v>
      </c>
      <c r="C102" s="30" t="str">
        <f t="shared" si="4"/>
        <v/>
      </c>
      <c r="D102" s="41" t="str">
        <f t="shared" si="5"/>
        <v/>
      </c>
      <c r="E102" s="16">
        <v>2394.4699999999998</v>
      </c>
      <c r="F102" s="16">
        <v>316.27</v>
      </c>
      <c r="G102" s="16">
        <v>13.41</v>
      </c>
      <c r="H102" s="16">
        <v>1527.07</v>
      </c>
      <c r="I102" s="14">
        <v>652.82000000000005</v>
      </c>
      <c r="J102" s="14">
        <v>1074.79</v>
      </c>
      <c r="R102" s="32"/>
      <c r="S102" s="32"/>
    </row>
    <row r="103" spans="1:19" ht="18" customHeight="1">
      <c r="A103" s="9">
        <v>42948</v>
      </c>
      <c r="B103" s="3">
        <v>1.1288959999999999</v>
      </c>
      <c r="C103" s="30" t="str">
        <f t="shared" si="4"/>
        <v/>
      </c>
      <c r="D103" s="41" t="str">
        <f t="shared" si="5"/>
        <v/>
      </c>
      <c r="E103" s="16">
        <v>2363.19</v>
      </c>
      <c r="F103" s="16">
        <v>308.27999999999997</v>
      </c>
      <c r="G103" s="16">
        <v>13.64</v>
      </c>
      <c r="H103" s="16">
        <v>1485.29</v>
      </c>
      <c r="I103" s="14">
        <v>657.83</v>
      </c>
      <c r="J103" s="14">
        <v>1034.49</v>
      </c>
      <c r="Q103" s="33"/>
      <c r="R103" s="32"/>
      <c r="S103" s="32"/>
    </row>
    <row r="104" spans="1:19" ht="18" customHeight="1">
      <c r="A104" s="9">
        <v>42917</v>
      </c>
      <c r="B104" s="3">
        <v>1.1488400000000001</v>
      </c>
      <c r="C104" s="30" t="str">
        <f t="shared" si="4"/>
        <v/>
      </c>
      <c r="D104" s="41" t="str">
        <f t="shared" si="5"/>
        <v/>
      </c>
      <c r="E104" s="16">
        <v>2402.71</v>
      </c>
      <c r="F104" s="16">
        <v>314.60000000000002</v>
      </c>
      <c r="G104" s="16">
        <v>12.79</v>
      </c>
      <c r="H104" s="16">
        <v>1518.56</v>
      </c>
      <c r="I104" s="14">
        <v>650.47</v>
      </c>
      <c r="J104" s="14">
        <v>1008.63</v>
      </c>
      <c r="P104" s="33"/>
      <c r="Q104" s="33"/>
      <c r="R104" s="32"/>
      <c r="S104" s="32"/>
    </row>
    <row r="105" spans="1:19" ht="18" customHeight="1">
      <c r="A105" s="9">
        <v>42887</v>
      </c>
      <c r="B105" s="3">
        <v>1.144647</v>
      </c>
      <c r="C105" s="30" t="str">
        <f t="shared" si="4"/>
        <v/>
      </c>
      <c r="D105" s="41" t="str">
        <f t="shared" si="5"/>
        <v/>
      </c>
      <c r="E105" s="16">
        <v>2391.79</v>
      </c>
      <c r="F105" s="16">
        <v>311.76</v>
      </c>
      <c r="G105" s="16">
        <v>12</v>
      </c>
      <c r="H105" s="16">
        <v>1508.92</v>
      </c>
      <c r="I105" s="14">
        <v>669.04</v>
      </c>
      <c r="J105" s="14">
        <v>1031.51</v>
      </c>
      <c r="O105" s="33"/>
      <c r="P105" s="33"/>
      <c r="Q105" s="33"/>
      <c r="R105" s="32"/>
      <c r="S105" s="32"/>
    </row>
    <row r="106" spans="1:19" ht="18" customHeight="1">
      <c r="A106" s="9">
        <v>42856</v>
      </c>
      <c r="B106" s="3">
        <v>1.1169709999999999</v>
      </c>
      <c r="C106" s="30" t="str">
        <f t="shared" si="4"/>
        <v/>
      </c>
      <c r="D106" s="41" t="str">
        <f t="shared" si="5"/>
        <v/>
      </c>
      <c r="E106" s="16">
        <v>2347.38</v>
      </c>
      <c r="F106" s="16">
        <v>304.67</v>
      </c>
      <c r="G106" s="16">
        <v>13.18</v>
      </c>
      <c r="H106" s="16">
        <v>1475.69</v>
      </c>
      <c r="I106" s="14">
        <v>652.04</v>
      </c>
      <c r="J106" s="14">
        <v>988.04</v>
      </c>
      <c r="N106" s="33"/>
      <c r="O106" s="33"/>
      <c r="P106" s="33"/>
      <c r="Q106" s="33"/>
      <c r="R106" s="32"/>
      <c r="S106" s="32"/>
    </row>
    <row r="107" spans="1:19" ht="18" customHeight="1">
      <c r="A107" s="9">
        <v>42826</v>
      </c>
      <c r="B107" s="3">
        <v>1.0832040000000001</v>
      </c>
      <c r="C107" s="30" t="str">
        <f t="shared" si="4"/>
        <v/>
      </c>
      <c r="D107" s="41" t="str">
        <f t="shared" si="5"/>
        <v/>
      </c>
      <c r="E107" s="16">
        <v>2205.44</v>
      </c>
      <c r="F107" s="16">
        <v>287.20999999999998</v>
      </c>
      <c r="G107" s="16">
        <v>12.27</v>
      </c>
      <c r="H107" s="16">
        <v>1392.27</v>
      </c>
      <c r="I107" s="14">
        <v>628.24</v>
      </c>
      <c r="J107" s="14">
        <v>940.33</v>
      </c>
      <c r="M107" s="33"/>
      <c r="N107" s="33"/>
      <c r="O107" s="33"/>
      <c r="P107" s="33"/>
      <c r="Q107" s="33"/>
      <c r="R107" s="32"/>
      <c r="S107" s="32"/>
    </row>
    <row r="108" spans="1:19" ht="18" customHeight="1">
      <c r="A108" s="9">
        <v>42795</v>
      </c>
      <c r="B108" s="3">
        <v>1.062262</v>
      </c>
      <c r="C108" s="30" t="str">
        <f t="shared" si="4"/>
        <v/>
      </c>
      <c r="D108" s="41" t="str">
        <f t="shared" si="5"/>
        <v/>
      </c>
      <c r="E108" s="16">
        <v>2160.23</v>
      </c>
      <c r="F108" s="16">
        <v>280.64</v>
      </c>
      <c r="G108" s="16">
        <v>11.06</v>
      </c>
      <c r="H108" s="16">
        <v>1362.28</v>
      </c>
      <c r="I108" s="14">
        <v>619.28</v>
      </c>
      <c r="J108" s="14">
        <v>921.26</v>
      </c>
      <c r="L108" s="33"/>
      <c r="M108" s="33"/>
      <c r="N108" s="33"/>
      <c r="O108" s="33"/>
      <c r="P108" s="33"/>
      <c r="Q108" s="33"/>
      <c r="R108" s="32"/>
      <c r="S108" s="32"/>
    </row>
    <row r="109" spans="1:19" ht="18" customHeight="1">
      <c r="A109" s="9">
        <v>42767</v>
      </c>
      <c r="B109" s="3">
        <v>1.0296369999999999</v>
      </c>
      <c r="C109" s="30" t="str">
        <f t="shared" si="4"/>
        <v/>
      </c>
      <c r="D109" s="41" t="str">
        <f t="shared" si="5"/>
        <v/>
      </c>
      <c r="E109" s="16">
        <v>2091.64</v>
      </c>
      <c r="F109" s="16">
        <v>270.06</v>
      </c>
      <c r="G109" s="16">
        <v>10.64</v>
      </c>
      <c r="H109" s="16">
        <v>1307.68</v>
      </c>
      <c r="I109" s="13">
        <v>612.20000000000005</v>
      </c>
      <c r="J109" s="14">
        <v>916.75</v>
      </c>
      <c r="K109" s="33"/>
      <c r="L109" s="33"/>
      <c r="M109" s="33"/>
      <c r="N109" s="33"/>
      <c r="O109" s="33"/>
      <c r="P109" s="33"/>
      <c r="Q109" s="33"/>
      <c r="R109" s="32"/>
      <c r="S109" s="32"/>
    </row>
    <row r="110" spans="1:19" ht="18" customHeight="1">
      <c r="A110" s="9">
        <v>42736</v>
      </c>
      <c r="B110" s="3">
        <v>1.0175460000000001</v>
      </c>
      <c r="C110" s="30" t="str">
        <f t="shared" si="4"/>
        <v/>
      </c>
      <c r="D110" s="41" t="str">
        <f t="shared" si="5"/>
        <v/>
      </c>
      <c r="E110" s="16">
        <v>2067.5700000000002</v>
      </c>
      <c r="F110" s="16">
        <v>268.08999999999997</v>
      </c>
      <c r="G110" s="16">
        <v>12.53</v>
      </c>
      <c r="H110" s="16">
        <v>1305.02</v>
      </c>
      <c r="I110" s="14">
        <v>616.13</v>
      </c>
      <c r="J110" s="14">
        <v>904.84</v>
      </c>
      <c r="K110" s="33"/>
      <c r="L110" s="33"/>
      <c r="M110" s="33"/>
      <c r="N110" s="33"/>
      <c r="O110" s="33"/>
      <c r="P110" s="33"/>
      <c r="Q110" s="33"/>
      <c r="R110" s="32"/>
      <c r="S110" s="32"/>
    </row>
    <row r="111" spans="1:19" ht="18" customHeight="1">
      <c r="A111" s="9">
        <v>42705</v>
      </c>
      <c r="B111" s="3">
        <v>0.99650899999999998</v>
      </c>
      <c r="C111" s="30" t="str">
        <f t="shared" si="4"/>
        <v>Risk</v>
      </c>
      <c r="D111" s="41" t="str">
        <f t="shared" si="5"/>
        <v/>
      </c>
      <c r="E111" s="16">
        <v>2026.46</v>
      </c>
      <c r="F111" s="16">
        <v>260.01</v>
      </c>
      <c r="G111" s="16">
        <v>11.51</v>
      </c>
      <c r="H111" s="16">
        <v>1260.6600000000001</v>
      </c>
      <c r="I111" s="14">
        <v>631.44000000000005</v>
      </c>
      <c r="J111" s="14">
        <v>936.09</v>
      </c>
      <c r="K111" s="33"/>
      <c r="L111" s="33"/>
      <c r="M111" s="33"/>
      <c r="N111" s="33"/>
      <c r="O111" s="33"/>
      <c r="P111" s="33"/>
      <c r="Q111" s="33"/>
      <c r="R111" s="32"/>
      <c r="S111" s="32"/>
    </row>
    <row r="112" spans="1:19" ht="18" customHeight="1">
      <c r="A112" s="9">
        <v>42675</v>
      </c>
      <c r="B112" s="3">
        <v>0.98469499999999999</v>
      </c>
      <c r="C112" s="30" t="str">
        <f t="shared" si="4"/>
        <v>Risk</v>
      </c>
      <c r="D112" s="41" t="str">
        <f t="shared" si="5"/>
        <v/>
      </c>
      <c r="E112" s="16">
        <v>1983.48</v>
      </c>
      <c r="F112" s="16">
        <v>254.26</v>
      </c>
      <c r="G112" s="16">
        <v>12.8</v>
      </c>
      <c r="H112" s="16">
        <v>1218.23</v>
      </c>
      <c r="I112" s="14">
        <v>596.11</v>
      </c>
      <c r="J112" s="14">
        <v>892.08</v>
      </c>
      <c r="K112" s="33"/>
      <c r="L112" s="33"/>
      <c r="M112" s="33"/>
      <c r="N112" s="33"/>
      <c r="O112" s="33"/>
      <c r="P112" s="33"/>
      <c r="Q112" s="33"/>
      <c r="R112" s="32"/>
      <c r="S112" s="32"/>
    </row>
    <row r="113" spans="1:19" ht="18" customHeight="1">
      <c r="A113" s="9">
        <v>42644</v>
      </c>
      <c r="B113" s="3">
        <v>0.99016099999999996</v>
      </c>
      <c r="C113" s="30" t="str">
        <f t="shared" si="4"/>
        <v>Risk</v>
      </c>
      <c r="D113" s="41" t="str">
        <f t="shared" si="5"/>
        <v/>
      </c>
      <c r="E113" s="16">
        <v>2008.19</v>
      </c>
      <c r="F113" s="16">
        <v>255.93</v>
      </c>
      <c r="G113" s="16">
        <v>14.61</v>
      </c>
      <c r="H113" s="16">
        <v>1229.5</v>
      </c>
      <c r="I113" s="14">
        <v>624.67999999999995</v>
      </c>
      <c r="J113" s="14">
        <v>939.76</v>
      </c>
      <c r="K113" s="34">
        <f>$H109/$H113</f>
        <v>1.0635868239121595</v>
      </c>
      <c r="L113" s="34">
        <f>$H108/$H113</f>
        <v>1.1079951199674665</v>
      </c>
      <c r="M113" s="34">
        <f>$H107/$H113</f>
        <v>1.1323871492476616</v>
      </c>
      <c r="N113" s="34">
        <f>$H106/$H113</f>
        <v>1.2002358682391217</v>
      </c>
      <c r="O113" s="34">
        <f>$H105/$H113</f>
        <v>1.227263115087434</v>
      </c>
      <c r="P113" s="34">
        <f>$H104/$H113</f>
        <v>1.2351037006913379</v>
      </c>
      <c r="Q113" s="34">
        <f>$H103/$H113</f>
        <v>1.2080439202928019</v>
      </c>
      <c r="R113" s="34">
        <f>$H102/$H113</f>
        <v>1.2420252135014234</v>
      </c>
      <c r="S113" s="34">
        <f>$H101/$H113</f>
        <v>1.3075152501016674</v>
      </c>
    </row>
    <row r="114" spans="1:19" ht="18" customHeight="1">
      <c r="A114" s="9">
        <v>42614</v>
      </c>
      <c r="B114" s="3">
        <v>1.081105</v>
      </c>
      <c r="C114" s="30" t="str">
        <f t="shared" si="4"/>
        <v/>
      </c>
      <c r="D114" s="41" t="str">
        <f t="shared" si="5"/>
        <v/>
      </c>
      <c r="E114" s="16">
        <v>2043.63</v>
      </c>
      <c r="F114" s="16">
        <v>257.49</v>
      </c>
      <c r="G114" s="16">
        <v>14.11</v>
      </c>
      <c r="H114" s="16">
        <v>1237.6400000000001</v>
      </c>
      <c r="I114" s="14">
        <v>681.21</v>
      </c>
      <c r="J114" s="14">
        <v>1010.18</v>
      </c>
    </row>
    <row r="115" spans="1:19" ht="18" customHeight="1">
      <c r="A115" s="9">
        <v>42583</v>
      </c>
      <c r="B115" s="3">
        <v>1.076362</v>
      </c>
      <c r="C115" s="30" t="str">
        <f t="shared" si="4"/>
        <v/>
      </c>
      <c r="D115" s="41" t="str">
        <f t="shared" si="5"/>
        <v/>
      </c>
      <c r="E115" s="16">
        <v>2034.65</v>
      </c>
      <c r="F115" s="16">
        <v>256.87</v>
      </c>
      <c r="G115" s="16">
        <v>11.56</v>
      </c>
      <c r="H115" s="16">
        <v>1234.47</v>
      </c>
      <c r="I115" s="14">
        <v>663.69</v>
      </c>
      <c r="J115" s="13">
        <v>997.9</v>
      </c>
    </row>
    <row r="116" spans="1:19" ht="18" customHeight="1">
      <c r="A116" s="9">
        <v>42552</v>
      </c>
      <c r="B116" s="3">
        <v>1.0668260000000001</v>
      </c>
      <c r="C116" s="30" t="str">
        <f t="shared" si="4"/>
        <v/>
      </c>
      <c r="D116" s="41" t="str">
        <f t="shared" si="5"/>
        <v/>
      </c>
      <c r="E116" s="16">
        <v>2016.19</v>
      </c>
      <c r="F116" s="16">
        <v>251.48</v>
      </c>
      <c r="G116" s="16">
        <v>12.6</v>
      </c>
      <c r="H116" s="16">
        <v>1214.74</v>
      </c>
      <c r="I116" s="14">
        <v>706.24</v>
      </c>
      <c r="J116" s="15">
        <v>1058</v>
      </c>
    </row>
    <row r="117" spans="1:19" ht="18" customHeight="1">
      <c r="A117" s="9">
        <v>42522</v>
      </c>
      <c r="B117" s="3">
        <v>1.0395460000000001</v>
      </c>
      <c r="C117" s="30" t="str">
        <f t="shared" si="4"/>
        <v/>
      </c>
      <c r="D117" s="41" t="str">
        <f t="shared" si="5"/>
        <v/>
      </c>
      <c r="E117" s="16">
        <v>1970.35</v>
      </c>
      <c r="F117" s="16">
        <v>244.14</v>
      </c>
      <c r="G117" s="16">
        <v>13.9</v>
      </c>
      <c r="H117" s="16">
        <v>1175.52</v>
      </c>
      <c r="I117" s="14">
        <v>675.09</v>
      </c>
      <c r="J117" s="14">
        <v>1032.75</v>
      </c>
    </row>
    <row r="118" spans="1:19" ht="18" customHeight="1">
      <c r="A118" s="9">
        <v>42491</v>
      </c>
      <c r="B118" s="3">
        <v>1.0459909999999999</v>
      </c>
      <c r="C118" s="30" t="str">
        <f t="shared" si="4"/>
        <v/>
      </c>
      <c r="D118" s="41" t="str">
        <f t="shared" si="5"/>
        <v/>
      </c>
      <c r="E118" s="16">
        <v>1983.4</v>
      </c>
      <c r="F118" s="16">
        <v>243.63</v>
      </c>
      <c r="G118" s="16">
        <v>11.81</v>
      </c>
      <c r="H118" s="16">
        <v>1175.94</v>
      </c>
      <c r="I118" s="14">
        <v>698.45</v>
      </c>
      <c r="J118" s="14">
        <v>1068.73</v>
      </c>
    </row>
    <row r="119" spans="1:19" ht="18" customHeight="1">
      <c r="A119" s="9">
        <v>42461</v>
      </c>
      <c r="B119" s="3">
        <v>1.123364</v>
      </c>
      <c r="C119" s="30" t="str">
        <f t="shared" si="4"/>
        <v/>
      </c>
      <c r="D119" s="41" t="str">
        <f t="shared" si="5"/>
        <v/>
      </c>
      <c r="E119" s="16">
        <v>1994.15</v>
      </c>
      <c r="F119" s="16">
        <v>245.2</v>
      </c>
      <c r="G119" s="16">
        <v>12.42</v>
      </c>
      <c r="H119" s="16">
        <v>1185.6099999999999</v>
      </c>
      <c r="I119" s="14">
        <v>699.77</v>
      </c>
      <c r="J119" s="14">
        <v>1065.27</v>
      </c>
    </row>
    <row r="120" spans="1:19" ht="18" customHeight="1">
      <c r="A120" s="9">
        <v>42430</v>
      </c>
      <c r="B120" s="3">
        <v>1.1237200000000001</v>
      </c>
      <c r="C120" s="30" t="str">
        <f t="shared" si="4"/>
        <v/>
      </c>
      <c r="D120" s="41" t="str">
        <f t="shared" si="5"/>
        <v/>
      </c>
      <c r="E120" s="16">
        <v>1995.85</v>
      </c>
      <c r="F120" s="16">
        <v>245.86</v>
      </c>
      <c r="G120" s="16">
        <v>12.33</v>
      </c>
      <c r="H120" s="16">
        <v>1190.68</v>
      </c>
      <c r="I120" s="14">
        <v>688.38</v>
      </c>
      <c r="J120" s="14">
        <v>1073.68</v>
      </c>
    </row>
    <row r="121" spans="1:19" ht="18" customHeight="1">
      <c r="A121" s="9">
        <v>42401</v>
      </c>
      <c r="B121" s="3">
        <v>1.0790029999999999</v>
      </c>
      <c r="C121" s="30" t="str">
        <f t="shared" si="4"/>
        <v/>
      </c>
      <c r="D121" s="41" t="str">
        <f t="shared" si="5"/>
        <v/>
      </c>
      <c r="E121" s="16">
        <v>1916.66</v>
      </c>
      <c r="F121" s="16">
        <v>234.63</v>
      </c>
      <c r="G121" s="16">
        <v>17.559999999999999</v>
      </c>
      <c r="H121" s="16">
        <v>1142.04</v>
      </c>
      <c r="I121" s="14">
        <v>651.62</v>
      </c>
      <c r="J121" s="14">
        <v>1045.53</v>
      </c>
    </row>
    <row r="122" spans="1:19" ht="18" customHeight="1">
      <c r="A122" s="9">
        <v>42370</v>
      </c>
      <c r="B122" s="3">
        <v>1.0715060000000001</v>
      </c>
      <c r="C122" s="30" t="str">
        <f t="shared" si="4"/>
        <v/>
      </c>
      <c r="D122" s="41" t="str">
        <f t="shared" si="5"/>
        <v/>
      </c>
      <c r="E122" s="16">
        <v>1912.06</v>
      </c>
      <c r="F122" s="16">
        <v>232.1</v>
      </c>
      <c r="G122" s="16">
        <v>17.93</v>
      </c>
      <c r="H122" s="16">
        <v>1127.96</v>
      </c>
      <c r="I122" s="13">
        <v>682.8</v>
      </c>
      <c r="J122" s="14">
        <v>1128.24</v>
      </c>
    </row>
    <row r="123" spans="1:19" ht="18" customHeight="1">
      <c r="A123" s="9">
        <v>42339</v>
      </c>
      <c r="B123" s="3">
        <v>1.1016900000000001</v>
      </c>
      <c r="C123" s="30" t="str">
        <f t="shared" si="4"/>
        <v/>
      </c>
      <c r="D123" s="41" t="str">
        <f t="shared" si="5"/>
        <v/>
      </c>
      <c r="E123" s="16">
        <v>1961.31</v>
      </c>
      <c r="F123" s="16">
        <v>240.38</v>
      </c>
      <c r="G123" s="16">
        <v>14.18</v>
      </c>
      <c r="H123" s="16">
        <v>1167.53</v>
      </c>
      <c r="I123" s="14">
        <v>682.35</v>
      </c>
      <c r="J123" s="14">
        <v>1095.46</v>
      </c>
    </row>
    <row r="124" spans="1:19" ht="18" customHeight="1">
      <c r="A124" s="9">
        <v>42309</v>
      </c>
      <c r="B124" s="3">
        <v>1.1182080000000001</v>
      </c>
      <c r="C124" s="30" t="str">
        <f t="shared" si="4"/>
        <v/>
      </c>
      <c r="D124" s="41" t="str">
        <f t="shared" si="5"/>
        <v/>
      </c>
      <c r="E124" s="16">
        <v>1991.97</v>
      </c>
      <c r="F124" s="16">
        <v>244.24</v>
      </c>
      <c r="G124" s="16">
        <v>14.37</v>
      </c>
      <c r="H124" s="16">
        <v>1176.8</v>
      </c>
      <c r="I124" s="14">
        <v>688.38</v>
      </c>
      <c r="J124" s="14">
        <v>1102.28</v>
      </c>
    </row>
    <row r="125" spans="1:19" ht="18" customHeight="1">
      <c r="A125" s="9">
        <v>42278</v>
      </c>
      <c r="B125" s="3">
        <v>1.1388529999999999</v>
      </c>
      <c r="C125" s="30" t="str">
        <f t="shared" si="4"/>
        <v/>
      </c>
      <c r="D125" s="41" t="str">
        <f t="shared" si="5"/>
        <v/>
      </c>
      <c r="E125" s="16">
        <v>2029.47</v>
      </c>
      <c r="F125" s="16">
        <v>249.41</v>
      </c>
      <c r="G125" s="16">
        <v>14.22</v>
      </c>
      <c r="H125" s="16">
        <v>1207.32</v>
      </c>
      <c r="I125" s="14">
        <v>683.63</v>
      </c>
      <c r="J125" s="14">
        <v>1069.95</v>
      </c>
    </row>
    <row r="126" spans="1:19" ht="18" customHeight="1">
      <c r="A126" s="9">
        <v>42248</v>
      </c>
      <c r="B126" s="3">
        <v>1.100371</v>
      </c>
      <c r="C126" s="30" t="str">
        <f t="shared" si="4"/>
        <v/>
      </c>
      <c r="D126" s="41" t="str">
        <f t="shared" si="5"/>
        <v/>
      </c>
      <c r="E126" s="16">
        <v>1962.81</v>
      </c>
      <c r="F126" s="16">
        <v>236.71</v>
      </c>
      <c r="G126" s="16">
        <v>20.48</v>
      </c>
      <c r="H126" s="16">
        <v>1136.19</v>
      </c>
      <c r="I126" s="14">
        <v>678.48</v>
      </c>
      <c r="J126" s="14">
        <v>1068.3499999999999</v>
      </c>
    </row>
    <row r="127" spans="1:19" ht="18" customHeight="1">
      <c r="A127" s="9">
        <v>42217</v>
      </c>
      <c r="B127" s="3">
        <v>1.076578</v>
      </c>
      <c r="C127" s="30" t="str">
        <f t="shared" si="4"/>
        <v/>
      </c>
      <c r="D127" s="41" t="str">
        <f t="shared" si="5"/>
        <v/>
      </c>
      <c r="E127" s="16">
        <v>1941.49</v>
      </c>
      <c r="F127" s="16">
        <v>232.8</v>
      </c>
      <c r="G127" s="16">
        <v>19.75</v>
      </c>
      <c r="H127" s="16">
        <v>1113.48</v>
      </c>
      <c r="I127" s="14">
        <v>687.11</v>
      </c>
      <c r="J127" s="14">
        <v>1115.31</v>
      </c>
    </row>
    <row r="128" spans="1:19" ht="18" customHeight="1">
      <c r="A128" s="9">
        <v>42186</v>
      </c>
      <c r="B128" s="3">
        <v>1.118217</v>
      </c>
      <c r="C128" s="30" t="str">
        <f t="shared" si="4"/>
        <v/>
      </c>
      <c r="D128" s="41" t="str">
        <f t="shared" si="5"/>
        <v/>
      </c>
      <c r="E128" s="16">
        <v>2030.16</v>
      </c>
      <c r="F128" s="16">
        <v>244.3</v>
      </c>
      <c r="G128" s="16">
        <v>13.54</v>
      </c>
      <c r="H128" s="16">
        <v>1173</v>
      </c>
      <c r="I128" s="14">
        <v>725.06</v>
      </c>
      <c r="J128" s="14">
        <v>1163.3599999999999</v>
      </c>
    </row>
    <row r="129" spans="1:10" ht="18" customHeight="1">
      <c r="A129" s="9">
        <v>42156</v>
      </c>
      <c r="B129" s="3">
        <v>1.1449069999999999</v>
      </c>
      <c r="C129" s="30" t="str">
        <f t="shared" si="4"/>
        <v/>
      </c>
      <c r="D129" s="41" t="str">
        <f t="shared" si="5"/>
        <v/>
      </c>
      <c r="E129" s="16">
        <v>2074.1999999999998</v>
      </c>
      <c r="F129" s="16">
        <v>252.27</v>
      </c>
      <c r="G129" s="16">
        <v>14.45</v>
      </c>
      <c r="H129" s="16">
        <v>1215.6500000000001</v>
      </c>
      <c r="I129" s="14">
        <v>742.27</v>
      </c>
      <c r="J129" s="14">
        <v>1139.1500000000001</v>
      </c>
    </row>
    <row r="130" spans="1:10" ht="18" customHeight="1">
      <c r="A130" s="9">
        <v>42125</v>
      </c>
      <c r="B130" s="3">
        <v>1.1653309999999999</v>
      </c>
      <c r="C130" s="30" t="str">
        <f t="shared" si="4"/>
        <v/>
      </c>
      <c r="D130" s="41" t="str">
        <f t="shared" si="5"/>
        <v/>
      </c>
      <c r="E130" s="16">
        <v>2114.8000000000002</v>
      </c>
      <c r="F130" s="16">
        <v>260.39</v>
      </c>
      <c r="G130" s="16">
        <v>12.59</v>
      </c>
      <c r="H130" s="16">
        <v>1262.31</v>
      </c>
      <c r="I130" s="14">
        <v>711.39</v>
      </c>
      <c r="J130" s="14">
        <v>1129.76</v>
      </c>
    </row>
    <row r="131" spans="1:10" ht="18" customHeight="1">
      <c r="A131" s="9">
        <v>42095</v>
      </c>
      <c r="B131" s="3">
        <v>1.2403200000000001</v>
      </c>
      <c r="C131" s="30" t="str">
        <f t="shared" si="4"/>
        <v/>
      </c>
      <c r="D131" s="41" t="str">
        <f t="shared" si="5"/>
        <v/>
      </c>
      <c r="E131" s="16">
        <v>2127.17</v>
      </c>
      <c r="F131" s="16">
        <v>266.42</v>
      </c>
      <c r="G131" s="16">
        <v>11.76</v>
      </c>
      <c r="H131" s="16">
        <v>1295.9000000000001</v>
      </c>
      <c r="I131" s="14">
        <v>689.01</v>
      </c>
      <c r="J131" s="13">
        <v>1104.2</v>
      </c>
    </row>
    <row r="132" spans="1:10" ht="18" customHeight="1">
      <c r="A132" s="9">
        <v>42064</v>
      </c>
      <c r="B132" s="3">
        <v>1.1897869999999999</v>
      </c>
      <c r="C132" s="30" t="str">
        <f t="shared" ref="C132:C195" si="6">IF(B132&lt;=C$1, "Risk", "")</f>
        <v/>
      </c>
      <c r="D132" s="41" t="str">
        <f t="shared" si="5"/>
        <v/>
      </c>
      <c r="E132" s="16">
        <v>2041.03</v>
      </c>
      <c r="F132" s="16">
        <v>257.27999999999997</v>
      </c>
      <c r="G132" s="16">
        <v>11.09</v>
      </c>
      <c r="H132" s="16">
        <v>1244.9100000000001</v>
      </c>
      <c r="I132" s="14">
        <v>650.49</v>
      </c>
      <c r="J132" s="14">
        <v>1050.1199999999999</v>
      </c>
    </row>
    <row r="133" spans="1:10" ht="18" customHeight="1">
      <c r="A133" s="9">
        <v>42036</v>
      </c>
      <c r="B133" s="3">
        <v>1.1522790000000001</v>
      </c>
      <c r="C133" s="30" t="str">
        <f t="shared" si="6"/>
        <v/>
      </c>
      <c r="D133" s="41" t="str">
        <f t="shared" ref="D133:D196" si="7">IF(B133&lt;=D$1, "Risk", "")</f>
        <v/>
      </c>
      <c r="E133" s="16">
        <v>1985.8</v>
      </c>
      <c r="F133" s="16">
        <v>251.46</v>
      </c>
      <c r="G133" s="16">
        <v>11.11</v>
      </c>
      <c r="H133" s="16">
        <v>1223.93</v>
      </c>
      <c r="I133" s="14">
        <v>624.55999999999995</v>
      </c>
      <c r="J133" s="13">
        <v>1021.6</v>
      </c>
    </row>
    <row r="134" spans="1:10" ht="18" customHeight="1">
      <c r="A134" s="9">
        <v>42005</v>
      </c>
      <c r="B134" s="3">
        <v>1.1316949999999999</v>
      </c>
      <c r="C134" s="30" t="str">
        <f t="shared" si="6"/>
        <v/>
      </c>
      <c r="D134" s="41" t="str">
        <f t="shared" si="7"/>
        <v/>
      </c>
      <c r="E134" s="16">
        <v>1949.26</v>
      </c>
      <c r="F134" s="16">
        <v>249.88</v>
      </c>
      <c r="G134" s="16">
        <v>13.67</v>
      </c>
      <c r="H134" s="16">
        <v>1219.56</v>
      </c>
      <c r="I134" s="14">
        <v>591.58000000000004</v>
      </c>
      <c r="J134" s="14">
        <v>965.87</v>
      </c>
    </row>
    <row r="135" spans="1:10" ht="18" customHeight="1">
      <c r="A135" s="9">
        <v>41974</v>
      </c>
      <c r="B135" s="3">
        <v>1.1122719999999999</v>
      </c>
      <c r="C135" s="30" t="str">
        <f t="shared" si="6"/>
        <v/>
      </c>
      <c r="D135" s="41" t="str">
        <f t="shared" si="7"/>
        <v/>
      </c>
      <c r="E135" s="16">
        <v>1915.59</v>
      </c>
      <c r="F135" s="16">
        <v>244.05</v>
      </c>
      <c r="G135" s="16">
        <v>12.97</v>
      </c>
      <c r="H135" s="16">
        <v>1184.5999999999999</v>
      </c>
      <c r="I135" s="14">
        <v>542.97</v>
      </c>
      <c r="J135" s="14">
        <v>894.44</v>
      </c>
    </row>
    <row r="136" spans="1:10" ht="18" customHeight="1">
      <c r="A136" s="9">
        <v>41944</v>
      </c>
      <c r="B136" s="3">
        <v>1.139229</v>
      </c>
      <c r="C136" s="30" t="str">
        <f t="shared" si="6"/>
        <v/>
      </c>
      <c r="D136" s="41" t="str">
        <f t="shared" si="7"/>
        <v/>
      </c>
      <c r="E136" s="16">
        <v>1980.78</v>
      </c>
      <c r="F136" s="16">
        <v>253.7</v>
      </c>
      <c r="G136" s="16">
        <v>11.59</v>
      </c>
      <c r="H136" s="16">
        <v>1226.24</v>
      </c>
      <c r="I136" s="14">
        <v>545.08000000000004</v>
      </c>
      <c r="J136" s="14">
        <v>896.82</v>
      </c>
    </row>
    <row r="137" spans="1:10" ht="18" customHeight="1">
      <c r="A137" s="9">
        <v>41913</v>
      </c>
      <c r="B137" s="3">
        <v>1.113874</v>
      </c>
      <c r="C137" s="30" t="str">
        <f t="shared" si="6"/>
        <v/>
      </c>
      <c r="D137" s="41" t="str">
        <f t="shared" si="7"/>
        <v/>
      </c>
      <c r="E137" s="16">
        <v>1964.43</v>
      </c>
      <c r="F137" s="16">
        <v>250.45</v>
      </c>
      <c r="G137" s="16">
        <v>13.99</v>
      </c>
      <c r="H137" s="16">
        <v>1207.9000000000001</v>
      </c>
      <c r="I137" s="13">
        <v>558.70000000000005</v>
      </c>
      <c r="J137" s="14">
        <v>920.41</v>
      </c>
    </row>
    <row r="138" spans="1:10" ht="18" customHeight="1">
      <c r="A138" s="9">
        <v>41883</v>
      </c>
      <c r="B138" s="3">
        <v>1.145802</v>
      </c>
      <c r="C138" s="30" t="str">
        <f t="shared" si="6"/>
        <v/>
      </c>
      <c r="D138" s="41" t="str">
        <f t="shared" si="7"/>
        <v/>
      </c>
      <c r="E138" s="16">
        <v>2020.09</v>
      </c>
      <c r="F138" s="16">
        <v>256.77</v>
      </c>
      <c r="G138" s="16">
        <v>12.69</v>
      </c>
      <c r="H138" s="16">
        <v>1240.73</v>
      </c>
      <c r="I138" s="14">
        <v>573.22</v>
      </c>
      <c r="J138" s="14">
        <v>954.34</v>
      </c>
    </row>
    <row r="139" spans="1:10" ht="18" customHeight="1">
      <c r="A139" s="9">
        <v>41852</v>
      </c>
      <c r="B139" s="3">
        <v>1.1735180000000001</v>
      </c>
      <c r="C139" s="30" t="str">
        <f t="shared" si="6"/>
        <v/>
      </c>
      <c r="D139" s="41" t="str">
        <f t="shared" si="7"/>
        <v/>
      </c>
      <c r="E139" s="16">
        <v>2068.54</v>
      </c>
      <c r="F139" s="16">
        <v>265.41000000000003</v>
      </c>
      <c r="G139" s="16">
        <v>10.86</v>
      </c>
      <c r="H139" s="16">
        <v>1288.7</v>
      </c>
      <c r="I139" s="13">
        <v>570.20000000000005</v>
      </c>
      <c r="J139" s="14">
        <v>944.48</v>
      </c>
    </row>
    <row r="140" spans="1:10" ht="18" customHeight="1">
      <c r="A140" s="9">
        <v>41821</v>
      </c>
      <c r="B140" s="3">
        <v>1.176464</v>
      </c>
      <c r="C140" s="30" t="str">
        <f t="shared" si="6"/>
        <v/>
      </c>
      <c r="D140" s="41" t="str">
        <f t="shared" si="7"/>
        <v/>
      </c>
      <c r="E140" s="16">
        <v>2076.12</v>
      </c>
      <c r="F140" s="16">
        <v>269.68</v>
      </c>
      <c r="G140" s="16">
        <v>12.69</v>
      </c>
      <c r="H140" s="16">
        <v>1318.05</v>
      </c>
      <c r="I140" s="14">
        <v>536.32000000000005</v>
      </c>
      <c r="J140" s="14">
        <v>877.17</v>
      </c>
    </row>
    <row r="141" spans="1:10" ht="18" customHeight="1">
      <c r="A141" s="9">
        <v>41791</v>
      </c>
      <c r="B141" s="3">
        <v>1.14174</v>
      </c>
      <c r="C141" s="30" t="str">
        <f t="shared" si="6"/>
        <v/>
      </c>
      <c r="D141" s="41" t="str">
        <f t="shared" si="7"/>
        <v/>
      </c>
      <c r="E141" s="16">
        <v>2002.21</v>
      </c>
      <c r="F141" s="16">
        <v>260.56</v>
      </c>
      <c r="G141" s="16">
        <v>11.48</v>
      </c>
      <c r="H141" s="16">
        <v>1264.44</v>
      </c>
      <c r="I141" s="14">
        <v>537.05999999999995</v>
      </c>
      <c r="J141" s="14">
        <v>885.49</v>
      </c>
    </row>
    <row r="142" spans="1:10" ht="18" customHeight="1">
      <c r="A142" s="9">
        <v>41760</v>
      </c>
      <c r="B142" s="3">
        <v>1.137718</v>
      </c>
      <c r="C142" s="30" t="str">
        <f t="shared" si="6"/>
        <v/>
      </c>
      <c r="D142" s="41" t="str">
        <f t="shared" si="7"/>
        <v/>
      </c>
      <c r="E142" s="16">
        <v>1994.96</v>
      </c>
      <c r="F142" s="16">
        <v>259.94</v>
      </c>
      <c r="G142" s="16">
        <v>10.86</v>
      </c>
      <c r="H142" s="16">
        <v>1273.0899999999999</v>
      </c>
      <c r="I142" s="14">
        <v>546.53</v>
      </c>
      <c r="J142" s="14">
        <v>900.98</v>
      </c>
    </row>
    <row r="143" spans="1:10" ht="18" customHeight="1">
      <c r="A143" s="9">
        <v>41730</v>
      </c>
      <c r="B143" s="3">
        <v>1.091137</v>
      </c>
      <c r="C143" s="30" t="str">
        <f t="shared" si="6"/>
        <v/>
      </c>
      <c r="D143" s="41" t="str">
        <f t="shared" si="7"/>
        <v/>
      </c>
      <c r="E143" s="16">
        <v>1961.79</v>
      </c>
      <c r="F143" s="16">
        <v>255.33</v>
      </c>
      <c r="G143" s="16">
        <v>11.6</v>
      </c>
      <c r="H143" s="16">
        <v>1246.49</v>
      </c>
      <c r="I143" s="14">
        <v>559.34</v>
      </c>
      <c r="J143" s="14">
        <v>933.77</v>
      </c>
    </row>
    <row r="144" spans="1:10" ht="18" customHeight="1">
      <c r="A144" s="9">
        <v>41699</v>
      </c>
      <c r="B144" s="3">
        <v>1.179996</v>
      </c>
      <c r="C144" s="30" t="str">
        <f t="shared" si="6"/>
        <v/>
      </c>
      <c r="D144" s="41" t="str">
        <f t="shared" si="7"/>
        <v/>
      </c>
      <c r="E144" s="16">
        <v>1985.61</v>
      </c>
      <c r="F144" s="16">
        <v>258.11</v>
      </c>
      <c r="G144" s="16">
        <v>13.82</v>
      </c>
      <c r="H144" s="16">
        <v>1261.1300000000001</v>
      </c>
      <c r="I144" s="14">
        <v>541.58000000000004</v>
      </c>
      <c r="J144" s="14">
        <v>903.93</v>
      </c>
    </row>
    <row r="145" spans="1:10" ht="18" customHeight="1">
      <c r="A145" s="9">
        <v>41671</v>
      </c>
      <c r="B145" s="3">
        <v>1.172771</v>
      </c>
      <c r="C145" s="30" t="str">
        <f t="shared" si="6"/>
        <v/>
      </c>
      <c r="D145" s="41" t="str">
        <f t="shared" si="7"/>
        <v/>
      </c>
      <c r="E145" s="16">
        <v>1979.99</v>
      </c>
      <c r="F145" s="16">
        <v>258.41000000000003</v>
      </c>
      <c r="G145" s="16">
        <v>13.49</v>
      </c>
      <c r="H145" s="16">
        <v>1263.67</v>
      </c>
      <c r="I145" s="14">
        <v>528.96</v>
      </c>
      <c r="J145" s="14">
        <v>896.99</v>
      </c>
    </row>
    <row r="146" spans="1:10" ht="18" customHeight="1">
      <c r="A146" s="9">
        <v>41640</v>
      </c>
      <c r="B146" s="3">
        <v>1.150638</v>
      </c>
      <c r="C146" s="30" t="str">
        <f t="shared" si="6"/>
        <v/>
      </c>
      <c r="D146" s="41" t="str">
        <f t="shared" si="7"/>
        <v/>
      </c>
      <c r="E146" s="16">
        <v>1941.15</v>
      </c>
      <c r="F146" s="16">
        <v>252.89</v>
      </c>
      <c r="G146" s="16">
        <v>14.43</v>
      </c>
      <c r="H146" s="16">
        <v>1248.94</v>
      </c>
      <c r="I146" s="13">
        <v>515.20000000000005</v>
      </c>
      <c r="J146" s="14">
        <v>884.82</v>
      </c>
    </row>
    <row r="147" spans="1:10" ht="18" customHeight="1">
      <c r="A147" s="9">
        <v>41609</v>
      </c>
      <c r="B147" s="3">
        <v>1.1950190000000001</v>
      </c>
      <c r="C147" s="30" t="str">
        <f t="shared" si="6"/>
        <v/>
      </c>
      <c r="D147" s="41" t="str">
        <f t="shared" si="7"/>
        <v/>
      </c>
      <c r="E147" s="16">
        <v>2011.34</v>
      </c>
      <c r="F147" s="16">
        <v>264.24</v>
      </c>
      <c r="G147" s="16">
        <v>12.84</v>
      </c>
      <c r="H147" s="16">
        <v>1303.6600000000001</v>
      </c>
      <c r="I147" s="14">
        <v>499.99</v>
      </c>
      <c r="J147" s="14">
        <v>855.88</v>
      </c>
    </row>
    <row r="148" spans="1:10" ht="18" customHeight="1">
      <c r="A148" s="9">
        <v>41579</v>
      </c>
      <c r="B148" s="3">
        <v>1.2160010000000001</v>
      </c>
      <c r="C148" s="30" t="str">
        <f t="shared" si="6"/>
        <v/>
      </c>
      <c r="D148" s="41" t="str">
        <f t="shared" si="7"/>
        <v/>
      </c>
      <c r="E148" s="16">
        <v>2044.87</v>
      </c>
      <c r="F148" s="16">
        <v>269.57</v>
      </c>
      <c r="G148" s="16">
        <v>14.42</v>
      </c>
      <c r="H148" s="16">
        <v>1322.13</v>
      </c>
      <c r="I148" s="14">
        <v>517.05999999999995</v>
      </c>
      <c r="J148" s="14">
        <v>885.35</v>
      </c>
    </row>
    <row r="149" spans="1:10" ht="18" customHeight="1">
      <c r="A149" s="9">
        <v>41548</v>
      </c>
      <c r="B149" s="3">
        <v>1.201624</v>
      </c>
      <c r="C149" s="30" t="str">
        <f t="shared" si="6"/>
        <v/>
      </c>
      <c r="D149" s="41" t="str">
        <f t="shared" si="7"/>
        <v/>
      </c>
      <c r="E149" s="16">
        <v>2030.09</v>
      </c>
      <c r="F149" s="16">
        <v>266.91000000000003</v>
      </c>
      <c r="G149" s="16">
        <v>14.41</v>
      </c>
      <c r="H149" s="16">
        <v>1315.77</v>
      </c>
      <c r="I149" s="14">
        <v>532.44000000000005</v>
      </c>
      <c r="J149" s="14">
        <v>910.62</v>
      </c>
    </row>
    <row r="150" spans="1:10" ht="18" customHeight="1">
      <c r="A150" s="9">
        <v>41518</v>
      </c>
      <c r="B150" s="3">
        <v>1.1809989999999999</v>
      </c>
      <c r="C150" s="30" t="str">
        <f t="shared" si="6"/>
        <v/>
      </c>
      <c r="D150" s="41" t="str">
        <f t="shared" si="7"/>
        <v/>
      </c>
      <c r="E150" s="16">
        <v>1996.96</v>
      </c>
      <c r="F150" s="16">
        <v>260.91000000000003</v>
      </c>
      <c r="G150" s="16">
        <v>15.38</v>
      </c>
      <c r="H150" s="16">
        <v>1287.3800000000001</v>
      </c>
      <c r="I150" s="14">
        <v>534.89</v>
      </c>
      <c r="J150" s="14">
        <v>917.72</v>
      </c>
    </row>
    <row r="151" spans="1:10" ht="18" customHeight="1">
      <c r="A151" s="9">
        <v>41487</v>
      </c>
      <c r="B151" s="3">
        <v>1.140471</v>
      </c>
      <c r="C151" s="30" t="str">
        <f t="shared" si="6"/>
        <v/>
      </c>
      <c r="D151" s="41" t="str">
        <f t="shared" si="7"/>
        <v/>
      </c>
      <c r="E151" s="16">
        <v>1926.36</v>
      </c>
      <c r="F151" s="16">
        <v>251.74</v>
      </c>
      <c r="G151" s="16">
        <v>15.73</v>
      </c>
      <c r="H151" s="16">
        <v>1237.3499999999999</v>
      </c>
      <c r="I151" s="14">
        <v>516.74</v>
      </c>
      <c r="J151" s="13">
        <v>874.7</v>
      </c>
    </row>
    <row r="152" spans="1:10" ht="18" customHeight="1">
      <c r="A152" s="9">
        <v>41456</v>
      </c>
      <c r="B152" s="3">
        <v>1.1277759999999999</v>
      </c>
      <c r="C152" s="30" t="str">
        <f t="shared" si="6"/>
        <v/>
      </c>
      <c r="D152" s="41" t="str">
        <f t="shared" si="7"/>
        <v/>
      </c>
      <c r="E152" s="16">
        <v>1914.03</v>
      </c>
      <c r="F152" s="16">
        <v>247.99</v>
      </c>
      <c r="G152" s="16">
        <v>16.260000000000002</v>
      </c>
      <c r="H152" s="16">
        <v>1224.78</v>
      </c>
      <c r="I152" s="14">
        <v>554.30999999999995</v>
      </c>
      <c r="J152" s="14">
        <v>961.94</v>
      </c>
    </row>
    <row r="153" spans="1:10" ht="18" customHeight="1">
      <c r="A153" s="9">
        <v>41426</v>
      </c>
      <c r="B153" s="3">
        <v>1.1070580000000001</v>
      </c>
      <c r="C153" s="30" t="str">
        <f t="shared" si="6"/>
        <v/>
      </c>
      <c r="D153" s="41" t="str">
        <f t="shared" si="7"/>
        <v/>
      </c>
      <c r="E153" s="16">
        <v>1863.32</v>
      </c>
      <c r="F153" s="16">
        <v>242.27</v>
      </c>
      <c r="G153" s="16">
        <v>17.11</v>
      </c>
      <c r="H153" s="16">
        <v>1193.22</v>
      </c>
      <c r="I153" s="14">
        <v>519.05999999999995</v>
      </c>
      <c r="J153" s="14">
        <v>886.36</v>
      </c>
    </row>
    <row r="154" spans="1:10" ht="18" customHeight="1">
      <c r="A154" s="9">
        <v>41395</v>
      </c>
      <c r="B154" s="3">
        <v>1.186987</v>
      </c>
      <c r="C154" s="30" t="str">
        <f t="shared" si="6"/>
        <v/>
      </c>
      <c r="D154" s="41" t="str">
        <f t="shared" si="7"/>
        <v/>
      </c>
      <c r="E154" s="16">
        <v>2001.05</v>
      </c>
      <c r="F154" s="16">
        <v>261.47000000000003</v>
      </c>
      <c r="G154" s="16">
        <v>14.16</v>
      </c>
      <c r="H154" s="16">
        <v>1300.8900000000001</v>
      </c>
      <c r="I154" s="14">
        <v>577.87</v>
      </c>
      <c r="J154" s="14">
        <v>980.29</v>
      </c>
    </row>
    <row r="155" spans="1:10" ht="18" customHeight="1">
      <c r="A155" s="9">
        <v>41365</v>
      </c>
      <c r="B155" s="3">
        <v>1.1660159999999999</v>
      </c>
      <c r="C155" s="30" t="str">
        <f t="shared" si="6"/>
        <v/>
      </c>
      <c r="D155" s="41" t="str">
        <f t="shared" si="7"/>
        <v/>
      </c>
      <c r="E155" s="16">
        <v>1963.95</v>
      </c>
      <c r="F155" s="16">
        <v>255.72</v>
      </c>
      <c r="G155" s="16">
        <v>14.74</v>
      </c>
      <c r="H155" s="16">
        <v>1275.3499999999999</v>
      </c>
      <c r="I155" s="14">
        <v>563.87</v>
      </c>
      <c r="J155" s="14">
        <v>962.25</v>
      </c>
    </row>
    <row r="156" spans="1:10" ht="18" customHeight="1">
      <c r="A156" s="9">
        <v>41334</v>
      </c>
      <c r="B156" s="3">
        <v>1.2511699999999999</v>
      </c>
      <c r="C156" s="30" t="str">
        <f t="shared" si="6"/>
        <v/>
      </c>
      <c r="D156" s="41" t="str">
        <f t="shared" si="7"/>
        <v/>
      </c>
      <c r="E156" s="16">
        <v>2004.89</v>
      </c>
      <c r="F156" s="16">
        <v>263.39</v>
      </c>
      <c r="G156" s="16">
        <v>14.34</v>
      </c>
      <c r="H156" s="16">
        <v>1313.78</v>
      </c>
      <c r="I156" s="14">
        <v>555.02</v>
      </c>
      <c r="J156" s="14">
        <v>973.03</v>
      </c>
    </row>
    <row r="157" spans="1:10" ht="18" customHeight="1">
      <c r="A157" s="9">
        <v>41306</v>
      </c>
      <c r="B157" s="3">
        <v>1.2645219999999999</v>
      </c>
      <c r="C157" s="30" t="str">
        <f t="shared" si="6"/>
        <v/>
      </c>
      <c r="D157" s="41" t="str">
        <f t="shared" si="7"/>
        <v/>
      </c>
      <c r="E157" s="16">
        <v>2026.49</v>
      </c>
      <c r="F157" s="16">
        <v>268.01</v>
      </c>
      <c r="G157" s="16">
        <v>15.19</v>
      </c>
      <c r="H157" s="16">
        <v>1344.57</v>
      </c>
      <c r="I157" s="14">
        <v>535.87</v>
      </c>
      <c r="J157" s="14">
        <v>944.37</v>
      </c>
    </row>
    <row r="158" spans="1:10" ht="18" customHeight="1">
      <c r="A158" s="9">
        <v>41275</v>
      </c>
      <c r="B158" s="3">
        <v>1.22597</v>
      </c>
      <c r="C158" s="30" t="str">
        <f t="shared" si="6"/>
        <v/>
      </c>
      <c r="D158" s="41" t="str">
        <f t="shared" si="7"/>
        <v/>
      </c>
      <c r="E158" s="16">
        <v>1961.94</v>
      </c>
      <c r="F158" s="16">
        <v>258.07</v>
      </c>
      <c r="G158" s="16">
        <v>15.18</v>
      </c>
      <c r="H158" s="16">
        <v>1290.6099999999999</v>
      </c>
      <c r="I158" s="14">
        <v>503.67</v>
      </c>
      <c r="J158" s="14">
        <v>883.56</v>
      </c>
    </row>
    <row r="159" spans="1:10" ht="18" customHeight="1">
      <c r="A159" s="9">
        <v>41244</v>
      </c>
      <c r="B159" s="3">
        <v>1.248632</v>
      </c>
      <c r="C159" s="30" t="str">
        <f t="shared" si="6"/>
        <v/>
      </c>
      <c r="D159" s="41" t="str">
        <f t="shared" si="7"/>
        <v/>
      </c>
      <c r="E159" s="16">
        <v>1997.05</v>
      </c>
      <c r="F159" s="16">
        <v>263.92</v>
      </c>
      <c r="G159" s="16">
        <v>15.89</v>
      </c>
      <c r="H159" s="16">
        <v>1329.58</v>
      </c>
      <c r="I159" s="14">
        <v>496.32</v>
      </c>
      <c r="J159" s="13">
        <v>880.2</v>
      </c>
    </row>
    <row r="160" spans="1:10" ht="18" customHeight="1">
      <c r="A160" s="9">
        <v>41214</v>
      </c>
      <c r="B160" s="3">
        <v>1.2084109999999999</v>
      </c>
      <c r="C160" s="30" t="str">
        <f t="shared" si="6"/>
        <v/>
      </c>
      <c r="D160" s="41" t="str">
        <f t="shared" si="7"/>
        <v/>
      </c>
      <c r="E160" s="16">
        <v>1932.9</v>
      </c>
      <c r="F160" s="16">
        <v>254.25</v>
      </c>
      <c r="G160" s="16">
        <v>14.87</v>
      </c>
      <c r="H160" s="16">
        <v>1273.51</v>
      </c>
      <c r="I160" s="14">
        <v>499.37</v>
      </c>
      <c r="J160" s="14">
        <v>876.85</v>
      </c>
    </row>
    <row r="161" spans="1:10" ht="18" customHeight="1">
      <c r="A161" s="9">
        <v>41183</v>
      </c>
      <c r="B161" s="3">
        <v>1.194307</v>
      </c>
      <c r="C161" s="30" t="str">
        <f t="shared" si="6"/>
        <v/>
      </c>
      <c r="D161" s="41" t="str">
        <f t="shared" si="7"/>
        <v/>
      </c>
      <c r="E161" s="16">
        <v>1912.06</v>
      </c>
      <c r="F161" s="16">
        <v>250.18</v>
      </c>
      <c r="G161" s="16">
        <v>18.37</v>
      </c>
      <c r="H161" s="16">
        <v>1249.08</v>
      </c>
      <c r="I161" s="14">
        <v>508.31</v>
      </c>
      <c r="J161" s="14">
        <v>893.42</v>
      </c>
    </row>
    <row r="162" spans="1:10" ht="18" customHeight="1">
      <c r="A162" s="9">
        <v>41153</v>
      </c>
      <c r="B162" s="3">
        <v>1.2496210000000001</v>
      </c>
      <c r="C162" s="30" t="str">
        <f t="shared" si="6"/>
        <v/>
      </c>
      <c r="D162" s="41" t="str">
        <f t="shared" si="7"/>
        <v/>
      </c>
      <c r="E162" s="16">
        <v>1996.21</v>
      </c>
      <c r="F162" s="16">
        <v>262.49</v>
      </c>
      <c r="G162" s="16">
        <v>17.23</v>
      </c>
      <c r="H162" s="16">
        <v>1317.13</v>
      </c>
      <c r="I162" s="14">
        <v>523.78</v>
      </c>
      <c r="J162" s="14">
        <v>925.14</v>
      </c>
    </row>
    <row r="163" spans="1:10" ht="18" customHeight="1">
      <c r="A163" s="9">
        <v>41122</v>
      </c>
      <c r="B163" s="3">
        <v>1.1915880000000001</v>
      </c>
      <c r="C163" s="30" t="str">
        <f t="shared" si="6"/>
        <v/>
      </c>
      <c r="D163" s="41" t="str">
        <f t="shared" si="7"/>
        <v/>
      </c>
      <c r="E163" s="16">
        <v>1905.12</v>
      </c>
      <c r="F163" s="16">
        <v>250.56</v>
      </c>
      <c r="G163" s="16">
        <v>20.350000000000001</v>
      </c>
      <c r="H163" s="16">
        <v>1254.68</v>
      </c>
      <c r="I163" s="14">
        <v>508.35</v>
      </c>
      <c r="J163" s="14">
        <v>922.68</v>
      </c>
    </row>
    <row r="164" spans="1:10" ht="18" customHeight="1">
      <c r="A164" s="9">
        <v>41091</v>
      </c>
      <c r="B164" s="3">
        <v>1.1835039999999999</v>
      </c>
      <c r="C164" s="30" t="str">
        <f t="shared" si="6"/>
        <v/>
      </c>
      <c r="D164" s="41" t="str">
        <f t="shared" si="7"/>
        <v/>
      </c>
      <c r="E164" s="16">
        <v>1881.99</v>
      </c>
      <c r="F164" s="16">
        <v>250.08</v>
      </c>
      <c r="G164" s="16">
        <v>20.32</v>
      </c>
      <c r="H164" s="16">
        <v>1256.44</v>
      </c>
      <c r="I164" s="14">
        <v>467.61</v>
      </c>
      <c r="J164" s="14">
        <v>841.13</v>
      </c>
    </row>
    <row r="165" spans="1:10" ht="18" customHeight="1">
      <c r="A165" s="9">
        <v>41061</v>
      </c>
      <c r="B165" s="3">
        <v>1.165116</v>
      </c>
      <c r="C165" s="30" t="str">
        <f t="shared" si="6"/>
        <v/>
      </c>
      <c r="D165" s="41" t="str">
        <f t="shared" si="7"/>
        <v/>
      </c>
      <c r="E165" s="16">
        <v>1854.01</v>
      </c>
      <c r="F165" s="16">
        <v>244.9</v>
      </c>
      <c r="G165" s="16">
        <v>20.03</v>
      </c>
      <c r="H165" s="16">
        <v>1232.6099999999999</v>
      </c>
      <c r="I165" s="14">
        <v>489.16</v>
      </c>
      <c r="J165" s="13">
        <v>882.8</v>
      </c>
    </row>
    <row r="166" spans="1:10" ht="18" customHeight="1">
      <c r="A166" s="9">
        <v>41030</v>
      </c>
      <c r="B166" s="3">
        <v>1.158393</v>
      </c>
      <c r="C166" s="30" t="str">
        <f t="shared" si="6"/>
        <v/>
      </c>
      <c r="D166" s="41" t="str">
        <f t="shared" si="7"/>
        <v/>
      </c>
      <c r="E166" s="16">
        <v>1843.47</v>
      </c>
      <c r="F166" s="16">
        <v>244.05</v>
      </c>
      <c r="G166" s="16">
        <v>22.69</v>
      </c>
      <c r="H166" s="16">
        <v>1228.04</v>
      </c>
      <c r="I166" s="14">
        <v>471.94</v>
      </c>
      <c r="J166" s="14">
        <v>873.73</v>
      </c>
    </row>
    <row r="167" spans="1:10" ht="18" customHeight="1">
      <c r="A167" s="9">
        <v>41000</v>
      </c>
      <c r="B167" s="3">
        <v>1.2452559999999999</v>
      </c>
      <c r="C167" s="30" t="str">
        <f t="shared" si="6"/>
        <v/>
      </c>
      <c r="D167" s="41" t="str">
        <f t="shared" si="7"/>
        <v/>
      </c>
      <c r="E167" s="16">
        <v>1981.99</v>
      </c>
      <c r="F167" s="16">
        <v>264.35000000000002</v>
      </c>
      <c r="G167" s="16">
        <v>17.309999999999999</v>
      </c>
      <c r="H167" s="16">
        <v>1339.72</v>
      </c>
      <c r="I167" s="14">
        <v>478.89</v>
      </c>
      <c r="J167" s="14">
        <v>864.72</v>
      </c>
    </row>
    <row r="168" spans="1:10" ht="18" customHeight="1">
      <c r="A168" s="9">
        <v>40969</v>
      </c>
      <c r="B168" s="3">
        <v>1.3139989999999999</v>
      </c>
      <c r="C168" s="30" t="str">
        <f t="shared" si="6"/>
        <v/>
      </c>
      <c r="D168" s="41" t="str">
        <f t="shared" si="7"/>
        <v/>
      </c>
      <c r="E168" s="16">
        <v>2014.04</v>
      </c>
      <c r="F168" s="16">
        <v>266.58</v>
      </c>
      <c r="G168" s="16">
        <v>17.559999999999999</v>
      </c>
      <c r="H168" s="16">
        <v>1353.11</v>
      </c>
      <c r="I168" s="14">
        <v>519.55999999999995</v>
      </c>
      <c r="J168" s="14">
        <v>943.42</v>
      </c>
    </row>
    <row r="169" spans="1:10" ht="18" customHeight="1">
      <c r="A169" s="9">
        <v>40940</v>
      </c>
      <c r="B169" s="3">
        <v>1.3252440000000001</v>
      </c>
      <c r="C169" s="30" t="str">
        <f t="shared" si="6"/>
        <v/>
      </c>
      <c r="D169" s="41" t="str">
        <f t="shared" si="7"/>
        <v/>
      </c>
      <c r="E169" s="16">
        <v>2030.25</v>
      </c>
      <c r="F169" s="16">
        <v>267.13</v>
      </c>
      <c r="G169" s="16">
        <v>19.399999999999999</v>
      </c>
      <c r="H169" s="16">
        <v>1361.87</v>
      </c>
      <c r="I169" s="13">
        <v>542.29999999999995</v>
      </c>
      <c r="J169" s="14">
        <v>988.15</v>
      </c>
    </row>
    <row r="170" spans="1:10" ht="18" customHeight="1">
      <c r="A170" s="9">
        <v>40909</v>
      </c>
      <c r="B170" s="3">
        <v>1.2748459999999999</v>
      </c>
      <c r="C170" s="30" t="str">
        <f t="shared" si="6"/>
        <v/>
      </c>
      <c r="D170" s="41" t="str">
        <f t="shared" si="7"/>
        <v/>
      </c>
      <c r="E170" s="16">
        <v>1955.79</v>
      </c>
      <c r="F170" s="16">
        <v>256.89999999999998</v>
      </c>
      <c r="G170" s="16">
        <v>23.36</v>
      </c>
      <c r="H170" s="16">
        <v>1316.01</v>
      </c>
      <c r="I170" s="14">
        <v>513.99</v>
      </c>
      <c r="J170" s="14">
        <v>966.47</v>
      </c>
    </row>
    <row r="171" spans="1:10" ht="18" customHeight="1">
      <c r="A171" s="9">
        <v>40878</v>
      </c>
      <c r="B171" s="3">
        <v>1.1906669999999999</v>
      </c>
      <c r="C171" s="30" t="str">
        <f t="shared" si="6"/>
        <v/>
      </c>
      <c r="D171" s="41" t="str">
        <f t="shared" si="7"/>
        <v/>
      </c>
      <c r="E171" s="16">
        <v>1825.74</v>
      </c>
      <c r="F171" s="16">
        <v>238.08</v>
      </c>
      <c r="G171" s="16">
        <v>26.4</v>
      </c>
      <c r="H171" s="16">
        <v>1215.8800000000001</v>
      </c>
      <c r="I171" s="14">
        <v>500.18</v>
      </c>
      <c r="J171" s="14">
        <v>965.62</v>
      </c>
    </row>
    <row r="172" spans="1:10" ht="18" customHeight="1">
      <c r="A172" s="9">
        <v>40848</v>
      </c>
      <c r="B172" s="3">
        <v>1.2039150000000001</v>
      </c>
      <c r="C172" s="30" t="str">
        <f t="shared" si="6"/>
        <v/>
      </c>
      <c r="D172" s="41" t="str">
        <f t="shared" si="7"/>
        <v/>
      </c>
      <c r="E172" s="16">
        <v>1847.51</v>
      </c>
      <c r="F172" s="16">
        <v>241.19</v>
      </c>
      <c r="G172" s="16">
        <v>29.04</v>
      </c>
      <c r="H172" s="16">
        <v>1223.58</v>
      </c>
      <c r="I172" s="14">
        <v>492.81</v>
      </c>
      <c r="J172" s="14">
        <v>973.91</v>
      </c>
    </row>
    <row r="173" spans="1:10" ht="18" customHeight="1">
      <c r="A173" s="9">
        <v>40817</v>
      </c>
      <c r="B173" s="3">
        <v>1.2442869999999999</v>
      </c>
      <c r="C173" s="30" t="str">
        <f t="shared" si="6"/>
        <v/>
      </c>
      <c r="D173" s="41" t="str">
        <f t="shared" si="7"/>
        <v/>
      </c>
      <c r="E173" s="16">
        <v>1909.03</v>
      </c>
      <c r="F173" s="16">
        <v>249.88</v>
      </c>
      <c r="G173" s="16">
        <v>31.02</v>
      </c>
      <c r="H173" s="16">
        <v>1276.67</v>
      </c>
      <c r="I173" s="14">
        <v>490.69</v>
      </c>
      <c r="J173" s="13">
        <v>983.8</v>
      </c>
    </row>
    <row r="174" spans="1:10" ht="18" customHeight="1">
      <c r="A174" s="9">
        <v>40787</v>
      </c>
      <c r="B174" s="3">
        <v>1.151486</v>
      </c>
      <c r="C174" s="30" t="str">
        <f t="shared" si="6"/>
        <v/>
      </c>
      <c r="D174" s="41" t="str">
        <f t="shared" si="7"/>
        <v/>
      </c>
      <c r="E174" s="16">
        <v>1769.65</v>
      </c>
      <c r="F174" s="16">
        <v>230.41</v>
      </c>
      <c r="G174" s="16">
        <v>40.56</v>
      </c>
      <c r="H174" s="16">
        <v>1162.3599999999999</v>
      </c>
      <c r="I174" s="14">
        <v>449.66</v>
      </c>
      <c r="J174" s="14">
        <v>916.17</v>
      </c>
    </row>
    <row r="175" spans="1:10" ht="18" customHeight="1">
      <c r="A175" s="9">
        <v>40756</v>
      </c>
      <c r="B175" s="3">
        <v>1.224227</v>
      </c>
      <c r="C175" s="30" t="str">
        <f t="shared" si="6"/>
        <v/>
      </c>
      <c r="D175" s="41" t="str">
        <f t="shared" si="7"/>
        <v/>
      </c>
      <c r="E175" s="16">
        <v>1880.11</v>
      </c>
      <c r="F175" s="16">
        <v>242.16</v>
      </c>
      <c r="G175" s="16">
        <v>28.05</v>
      </c>
      <c r="H175" s="16">
        <v>1216.98</v>
      </c>
      <c r="I175" s="14">
        <v>493.44</v>
      </c>
      <c r="J175" s="13">
        <v>987.9</v>
      </c>
    </row>
    <row r="176" spans="1:10" ht="18" customHeight="1">
      <c r="A176" s="9">
        <v>40725</v>
      </c>
      <c r="B176" s="3">
        <v>1.3914200000000001</v>
      </c>
      <c r="C176" s="30" t="str">
        <f t="shared" si="6"/>
        <v/>
      </c>
      <c r="D176" s="41" t="str">
        <f t="shared" si="7"/>
        <v/>
      </c>
      <c r="E176" s="16">
        <v>2133.21</v>
      </c>
      <c r="F176" s="16">
        <v>277.11</v>
      </c>
      <c r="G176" s="16">
        <v>21</v>
      </c>
      <c r="H176" s="16">
        <v>1401.67</v>
      </c>
      <c r="I176" s="14">
        <v>536.04999999999995</v>
      </c>
      <c r="J176" s="14">
        <v>1070.3900000000001</v>
      </c>
    </row>
    <row r="177" spans="1:10" ht="18" customHeight="1">
      <c r="A177" s="9">
        <v>40695</v>
      </c>
      <c r="B177" s="3">
        <v>1.3809899999999999</v>
      </c>
      <c r="C177" s="30" t="str">
        <f t="shared" si="6"/>
        <v/>
      </c>
      <c r="D177" s="41" t="str">
        <f t="shared" si="7"/>
        <v/>
      </c>
      <c r="E177" s="16">
        <v>2100.69</v>
      </c>
      <c r="F177" s="16">
        <v>275.17</v>
      </c>
      <c r="G177" s="16">
        <v>19.239999999999998</v>
      </c>
      <c r="H177" s="16">
        <v>1393.86</v>
      </c>
      <c r="I177" s="14">
        <v>479.55</v>
      </c>
      <c r="J177" s="14">
        <v>952.97</v>
      </c>
    </row>
    <row r="178" spans="1:10" ht="18" customHeight="1">
      <c r="A178" s="9">
        <v>40664</v>
      </c>
      <c r="B178" s="3">
        <v>1.4063650000000001</v>
      </c>
      <c r="C178" s="30" t="str">
        <f t="shared" si="6"/>
        <v/>
      </c>
      <c r="D178" s="41" t="str">
        <f t="shared" si="7"/>
        <v/>
      </c>
      <c r="E178" s="16">
        <v>2142.4699999999998</v>
      </c>
      <c r="F178" s="16">
        <v>282.76</v>
      </c>
      <c r="G178" s="16">
        <v>18.559999999999999</v>
      </c>
      <c r="H178" s="16">
        <v>1429.99</v>
      </c>
      <c r="I178" s="14">
        <v>484.54</v>
      </c>
      <c r="J178" s="14">
        <v>948.75</v>
      </c>
    </row>
    <row r="179" spans="1:10" ht="18" customHeight="1">
      <c r="A179" s="9">
        <v>40634</v>
      </c>
      <c r="B179" s="3">
        <v>1.4379519999999999</v>
      </c>
      <c r="C179" s="30" t="str">
        <f t="shared" si="6"/>
        <v/>
      </c>
      <c r="D179" s="41" t="str">
        <f t="shared" si="7"/>
        <v/>
      </c>
      <c r="E179" s="16">
        <v>2192.36</v>
      </c>
      <c r="F179" s="16">
        <v>290.39</v>
      </c>
      <c r="G179" s="16">
        <v>18.36</v>
      </c>
      <c r="H179" s="16">
        <v>1470.69</v>
      </c>
      <c r="I179" s="15">
        <v>511</v>
      </c>
      <c r="J179" s="14">
        <v>994.75</v>
      </c>
    </row>
    <row r="180" spans="1:10" ht="18" customHeight="1">
      <c r="A180" s="9">
        <v>40603</v>
      </c>
      <c r="B180" s="3">
        <v>1.549609</v>
      </c>
      <c r="C180" s="30" t="str">
        <f t="shared" si="6"/>
        <v/>
      </c>
      <c r="D180" s="41" t="str">
        <f t="shared" si="7"/>
        <v/>
      </c>
      <c r="E180" s="16">
        <v>2106.6999999999998</v>
      </c>
      <c r="F180" s="16">
        <v>278.87</v>
      </c>
      <c r="G180" s="16">
        <v>16.57</v>
      </c>
      <c r="H180" s="16">
        <v>1419.37</v>
      </c>
      <c r="I180" s="14">
        <v>525.41999999999996</v>
      </c>
      <c r="J180" s="14">
        <v>1033.07</v>
      </c>
    </row>
    <row r="181" spans="1:10" ht="18" customHeight="1">
      <c r="A181" s="9">
        <v>40575</v>
      </c>
      <c r="B181" s="3">
        <v>1.4250750000000001</v>
      </c>
      <c r="C181" s="30" t="str">
        <f t="shared" si="6"/>
        <v/>
      </c>
      <c r="D181" s="41" t="str">
        <f t="shared" si="7"/>
        <v/>
      </c>
      <c r="E181" s="16">
        <v>1939.3</v>
      </c>
      <c r="F181" s="16">
        <v>256.36</v>
      </c>
      <c r="G181" s="16">
        <v>20.059999999999999</v>
      </c>
      <c r="H181" s="16">
        <v>1298.24</v>
      </c>
      <c r="I181" s="14">
        <v>504.46</v>
      </c>
      <c r="J181" s="14">
        <v>999.69</v>
      </c>
    </row>
    <row r="182" spans="1:10" ht="18" customHeight="1">
      <c r="A182" s="9">
        <v>40544</v>
      </c>
      <c r="B182" s="3">
        <v>1.521261</v>
      </c>
      <c r="C182" s="30" t="str">
        <f t="shared" si="6"/>
        <v/>
      </c>
      <c r="D182" s="41" t="str">
        <f t="shared" si="7"/>
        <v/>
      </c>
      <c r="E182" s="16">
        <v>2069.73</v>
      </c>
      <c r="F182" s="16">
        <v>273.12</v>
      </c>
      <c r="G182" s="16">
        <v>16.3</v>
      </c>
      <c r="H182" s="16">
        <v>1392.19</v>
      </c>
      <c r="I182" s="14">
        <v>521.38</v>
      </c>
      <c r="J182" s="14">
        <v>1037.72</v>
      </c>
    </row>
    <row r="183" spans="1:10" ht="18" customHeight="1">
      <c r="A183" s="9">
        <v>40513</v>
      </c>
      <c r="B183" s="3">
        <v>1.5031829999999999</v>
      </c>
      <c r="C183" s="30" t="str">
        <f t="shared" si="6"/>
        <v/>
      </c>
      <c r="D183" s="41" t="str">
        <f t="shared" si="7"/>
        <v/>
      </c>
      <c r="E183" s="16">
        <v>2051</v>
      </c>
      <c r="F183" s="16">
        <v>271.19</v>
      </c>
      <c r="G183" s="16">
        <v>15.83</v>
      </c>
      <c r="H183" s="16">
        <v>1391.42</v>
      </c>
      <c r="I183" s="14">
        <v>510.69</v>
      </c>
      <c r="J183" s="13">
        <v>997.9</v>
      </c>
    </row>
    <row r="184" spans="1:10" ht="18" customHeight="1">
      <c r="A184" s="9">
        <v>40483</v>
      </c>
      <c r="B184" s="3">
        <v>1.3943779999999999</v>
      </c>
      <c r="C184" s="30" t="str">
        <f t="shared" si="6"/>
        <v/>
      </c>
      <c r="D184" s="41" t="str">
        <f t="shared" si="7"/>
        <v/>
      </c>
      <c r="E184" s="16">
        <v>1904.63</v>
      </c>
      <c r="F184" s="16">
        <v>249.64</v>
      </c>
      <c r="G184" s="16">
        <v>22.76</v>
      </c>
      <c r="H184" s="16">
        <v>1269.1500000000001</v>
      </c>
      <c r="I184" s="14">
        <v>498.39</v>
      </c>
      <c r="J184" s="14">
        <v>971.73</v>
      </c>
    </row>
    <row r="185" spans="1:10" ht="18" customHeight="1">
      <c r="A185" s="9">
        <v>40452</v>
      </c>
      <c r="B185" s="3">
        <v>1.3795040000000001</v>
      </c>
      <c r="C185" s="30" t="str">
        <f t="shared" si="6"/>
        <v/>
      </c>
      <c r="D185" s="41" t="str">
        <f t="shared" si="7"/>
        <v/>
      </c>
      <c r="E185" s="16">
        <v>1882.95</v>
      </c>
      <c r="F185" s="16">
        <v>242.98</v>
      </c>
      <c r="G185" s="16">
        <v>18.600000000000001</v>
      </c>
      <c r="H185" s="16">
        <v>1226.1099999999999</v>
      </c>
      <c r="I185" s="14">
        <v>526.45000000000005</v>
      </c>
      <c r="J185" s="14">
        <v>1019.44</v>
      </c>
    </row>
    <row r="186" spans="1:10" ht="18" customHeight="1">
      <c r="A186" s="9">
        <v>40422</v>
      </c>
      <c r="B186" s="3">
        <v>1.371021</v>
      </c>
      <c r="C186" s="30" t="str">
        <f t="shared" si="6"/>
        <v/>
      </c>
      <c r="D186" s="41" t="str">
        <f t="shared" si="7"/>
        <v/>
      </c>
      <c r="E186" s="16">
        <v>1872.81</v>
      </c>
      <c r="F186" s="16">
        <v>242.95</v>
      </c>
      <c r="G186" s="16">
        <v>16.77</v>
      </c>
      <c r="H186" s="16">
        <v>1234.21</v>
      </c>
      <c r="I186" s="14">
        <v>492.75</v>
      </c>
      <c r="J186" s="14">
        <v>963.37</v>
      </c>
    </row>
    <row r="187" spans="1:10" ht="18" customHeight="1">
      <c r="A187" s="9">
        <v>40391</v>
      </c>
      <c r="B187" s="3">
        <v>1.2758419999999999</v>
      </c>
      <c r="C187" s="30" t="str">
        <f t="shared" si="6"/>
        <v/>
      </c>
      <c r="D187" s="41" t="str">
        <f t="shared" si="7"/>
        <v/>
      </c>
      <c r="E187" s="16">
        <v>1742.75</v>
      </c>
      <c r="F187" s="16">
        <v>226.81</v>
      </c>
      <c r="G187" s="16">
        <v>18.79</v>
      </c>
      <c r="H187" s="16">
        <v>1149.3499999999999</v>
      </c>
      <c r="I187" s="14">
        <v>464.71</v>
      </c>
      <c r="J187" s="14">
        <v>889.81</v>
      </c>
    </row>
    <row r="188" spans="1:10" ht="18" customHeight="1">
      <c r="A188" s="9">
        <v>40360</v>
      </c>
      <c r="B188" s="3">
        <v>1.286538</v>
      </c>
      <c r="C188" s="30" t="str">
        <f t="shared" si="6"/>
        <v/>
      </c>
      <c r="D188" s="41" t="str">
        <f t="shared" si="7"/>
        <v/>
      </c>
      <c r="E188" s="16">
        <v>1759.33</v>
      </c>
      <c r="F188" s="16">
        <v>229.25</v>
      </c>
      <c r="G188" s="16">
        <v>19.260000000000002</v>
      </c>
      <c r="H188" s="16">
        <v>1167.8699999999999</v>
      </c>
      <c r="I188" s="14">
        <v>481.45</v>
      </c>
      <c r="J188" s="14">
        <v>918.99</v>
      </c>
    </row>
    <row r="189" spans="1:10" ht="18" customHeight="1">
      <c r="A189" s="9">
        <v>40330</v>
      </c>
      <c r="B189" s="3">
        <v>1.260346</v>
      </c>
      <c r="C189" s="30" t="str">
        <f t="shared" si="6"/>
        <v/>
      </c>
      <c r="D189" s="41" t="str">
        <f t="shared" si="7"/>
        <v/>
      </c>
      <c r="E189" s="16">
        <v>1698.29</v>
      </c>
      <c r="F189" s="16">
        <v>220.85</v>
      </c>
      <c r="G189" s="16">
        <v>21.9</v>
      </c>
      <c r="H189" s="16">
        <v>1119.93</v>
      </c>
      <c r="I189" s="14">
        <v>489.98</v>
      </c>
      <c r="J189" s="14">
        <v>943.44</v>
      </c>
    </row>
    <row r="190" spans="1:10" ht="18" customHeight="1">
      <c r="A190" s="9">
        <v>40299</v>
      </c>
      <c r="B190" s="3">
        <v>1.2201850000000001</v>
      </c>
      <c r="C190" s="30" t="str">
        <f t="shared" si="6"/>
        <v/>
      </c>
      <c r="D190" s="41" t="str">
        <f t="shared" si="7"/>
        <v/>
      </c>
      <c r="E190" s="16">
        <v>1641.25</v>
      </c>
      <c r="F190" s="16">
        <v>214.34</v>
      </c>
      <c r="G190" s="16">
        <v>24.01</v>
      </c>
      <c r="H190" s="16">
        <v>1079.8599999999999</v>
      </c>
      <c r="I190" s="14">
        <v>489.42</v>
      </c>
      <c r="J190" s="14">
        <v>939.54</v>
      </c>
    </row>
    <row r="191" spans="1:10" ht="18" customHeight="1">
      <c r="A191" s="9">
        <v>40269</v>
      </c>
      <c r="B191" s="3">
        <v>1.273026</v>
      </c>
      <c r="C191" s="30" t="str">
        <f t="shared" si="6"/>
        <v/>
      </c>
      <c r="D191" s="41" t="str">
        <f t="shared" si="7"/>
        <v/>
      </c>
      <c r="E191" s="16">
        <v>1741.56</v>
      </c>
      <c r="F191" s="16">
        <v>227.95</v>
      </c>
      <c r="G191" s="16">
        <v>18.27</v>
      </c>
      <c r="H191" s="16">
        <v>1159.4100000000001</v>
      </c>
      <c r="I191" s="14">
        <v>523.75</v>
      </c>
      <c r="J191" s="14">
        <v>985.47</v>
      </c>
    </row>
    <row r="192" spans="1:10" ht="18" customHeight="1">
      <c r="A192" s="9">
        <v>40238</v>
      </c>
      <c r="B192" s="3">
        <v>1.3561719999999999</v>
      </c>
      <c r="C192" s="30" t="str">
        <f t="shared" si="6"/>
        <v/>
      </c>
      <c r="D192" s="41" t="str">
        <f t="shared" si="7"/>
        <v/>
      </c>
      <c r="E192" s="16">
        <v>1692.85</v>
      </c>
      <c r="F192" s="16">
        <v>221.58</v>
      </c>
      <c r="G192" s="16">
        <v>17.68</v>
      </c>
      <c r="H192" s="16">
        <v>1128.25</v>
      </c>
      <c r="I192" s="14">
        <v>515.74</v>
      </c>
      <c r="J192" s="37">
        <v>957.81</v>
      </c>
    </row>
    <row r="193" spans="1:19" ht="18" customHeight="1">
      <c r="A193" s="9">
        <v>40210</v>
      </c>
      <c r="B193" s="3">
        <v>1.2761750000000001</v>
      </c>
      <c r="C193" s="30" t="str">
        <f t="shared" si="6"/>
        <v/>
      </c>
      <c r="D193" s="41" t="str">
        <f t="shared" si="7"/>
        <v/>
      </c>
      <c r="E193" s="16">
        <v>1594.58</v>
      </c>
      <c r="F193" s="16">
        <v>208.36</v>
      </c>
      <c r="G193" s="16">
        <v>20.59</v>
      </c>
      <c r="H193" s="16">
        <v>1054.43</v>
      </c>
      <c r="I193" s="14">
        <v>507.03</v>
      </c>
      <c r="J193" s="37">
        <v>928.29</v>
      </c>
    </row>
    <row r="194" spans="1:19" ht="18" customHeight="1">
      <c r="A194" s="9">
        <v>40179</v>
      </c>
      <c r="B194" s="3">
        <v>1.2835559999999999</v>
      </c>
      <c r="C194" s="30" t="str">
        <f t="shared" si="6"/>
        <v/>
      </c>
      <c r="D194" s="41" t="str">
        <f t="shared" si="7"/>
        <v/>
      </c>
      <c r="E194" s="16">
        <v>1602.43</v>
      </c>
      <c r="F194" s="16">
        <v>210.34</v>
      </c>
      <c r="G194" s="16">
        <v>23.29</v>
      </c>
      <c r="H194" s="16">
        <v>1062.81</v>
      </c>
      <c r="I194" s="14">
        <v>496.57</v>
      </c>
      <c r="J194" s="37">
        <v>922.07</v>
      </c>
    </row>
    <row r="195" spans="1:19" ht="18" customHeight="1">
      <c r="A195" s="9">
        <v>40148</v>
      </c>
      <c r="B195" s="3">
        <v>1.3417349999999999</v>
      </c>
      <c r="C195" s="30" t="str">
        <f t="shared" si="6"/>
        <v/>
      </c>
      <c r="D195" s="41" t="str">
        <f t="shared" si="7"/>
        <v/>
      </c>
      <c r="E195" s="16">
        <v>1682.77</v>
      </c>
      <c r="F195" s="16">
        <v>221.86</v>
      </c>
      <c r="G195" s="16">
        <v>20.350000000000001</v>
      </c>
      <c r="H195" s="16">
        <v>1129.3</v>
      </c>
      <c r="I195" s="14">
        <v>513.57000000000005</v>
      </c>
      <c r="J195" s="38">
        <f>(I195/I194)*J194</f>
        <v>953.63692913385842</v>
      </c>
    </row>
    <row r="196" spans="1:19" ht="18" customHeight="1">
      <c r="A196" s="9">
        <v>40118</v>
      </c>
      <c r="B196" s="3">
        <v>1.2312620000000001</v>
      </c>
      <c r="C196" s="30" t="str">
        <f t="shared" ref="C196:C259" si="8">IF(B196&lt;=C$1, "Risk", "")</f>
        <v/>
      </c>
      <c r="D196" s="41" t="str">
        <f t="shared" si="7"/>
        <v/>
      </c>
      <c r="E196" s="16">
        <v>1555.6</v>
      </c>
      <c r="F196" s="16">
        <v>204.75</v>
      </c>
      <c r="G196" s="16">
        <v>21.94</v>
      </c>
      <c r="H196" s="16">
        <v>1025.05</v>
      </c>
      <c r="I196" s="14">
        <v>464.32</v>
      </c>
      <c r="J196" s="38">
        <f t="shared" ref="J196:J259" si="9">(I196/I195)*J195</f>
        <v>862.18567855488652</v>
      </c>
      <c r="S196" s="32"/>
    </row>
    <row r="197" spans="1:19" ht="18" customHeight="1">
      <c r="A197" s="9">
        <v>40087</v>
      </c>
      <c r="B197" s="3">
        <v>1.2495289999999999</v>
      </c>
      <c r="C197" s="30" t="str">
        <f t="shared" si="8"/>
        <v/>
      </c>
      <c r="D197" s="41" t="str">
        <f t="shared" ref="D197:D260" si="10">IF(B197&lt;=D$1, "Risk", "")</f>
        <v/>
      </c>
      <c r="E197" s="16">
        <v>1580.69</v>
      </c>
      <c r="F197" s="16">
        <v>206.81</v>
      </c>
      <c r="G197" s="16">
        <v>25.41</v>
      </c>
      <c r="H197" s="16">
        <v>1032.8399999999999</v>
      </c>
      <c r="I197" s="14">
        <v>486.46</v>
      </c>
      <c r="J197" s="38">
        <f t="shared" si="9"/>
        <v>903.29696155627596</v>
      </c>
      <c r="S197" s="32"/>
    </row>
    <row r="198" spans="1:19" ht="18" customHeight="1">
      <c r="A198" s="9">
        <v>40057</v>
      </c>
      <c r="B198" s="3">
        <v>1.3212820000000001</v>
      </c>
      <c r="C198" s="30" t="str">
        <f t="shared" si="8"/>
        <v/>
      </c>
      <c r="D198" s="41" t="str">
        <f t="shared" si="10"/>
        <v/>
      </c>
      <c r="E198" s="16">
        <v>1673.14</v>
      </c>
      <c r="F198" s="16">
        <v>219.75</v>
      </c>
      <c r="G198" s="16">
        <v>22.85</v>
      </c>
      <c r="H198" s="16">
        <v>1112.79</v>
      </c>
      <c r="I198" s="14">
        <v>505.94</v>
      </c>
      <c r="J198" s="38">
        <f t="shared" si="9"/>
        <v>939.468948587309</v>
      </c>
      <c r="R198" s="33"/>
      <c r="S198" s="32"/>
    </row>
    <row r="199" spans="1:19" ht="18" customHeight="1">
      <c r="A199" s="9">
        <v>40026</v>
      </c>
      <c r="B199" s="11">
        <v>1.2603839999999999</v>
      </c>
      <c r="C199" s="30" t="str">
        <f t="shared" si="8"/>
        <v/>
      </c>
      <c r="D199" s="41" t="str">
        <f t="shared" si="10"/>
        <v/>
      </c>
      <c r="E199" s="16">
        <v>1591.85</v>
      </c>
      <c r="F199" s="16">
        <v>207.44</v>
      </c>
      <c r="G199" s="16">
        <v>23.97</v>
      </c>
      <c r="H199" s="16">
        <v>1041.1099999999999</v>
      </c>
      <c r="I199" s="13">
        <v>514.70000000000005</v>
      </c>
      <c r="J199" s="38">
        <f t="shared" si="9"/>
        <v>955.73520148216789</v>
      </c>
      <c r="Q199" s="33"/>
      <c r="R199" s="33"/>
      <c r="S199" s="32"/>
    </row>
    <row r="200" spans="1:19" ht="18" customHeight="1">
      <c r="A200" s="9">
        <v>39995</v>
      </c>
      <c r="B200" s="11">
        <v>1.2340770000000001</v>
      </c>
      <c r="C200" s="30" t="str">
        <f t="shared" si="8"/>
        <v/>
      </c>
      <c r="D200" s="41" t="str">
        <f t="shared" si="10"/>
        <v/>
      </c>
      <c r="E200" s="16">
        <v>1557.29</v>
      </c>
      <c r="F200" s="16">
        <v>202.96</v>
      </c>
      <c r="G200" s="16">
        <v>25.62</v>
      </c>
      <c r="H200" s="16">
        <v>1023.23</v>
      </c>
      <c r="I200" s="14">
        <v>504.35</v>
      </c>
      <c r="J200" s="38">
        <f t="shared" si="9"/>
        <v>936.5165122742012</v>
      </c>
      <c r="P200" s="33"/>
      <c r="Q200" s="33"/>
      <c r="R200" s="33"/>
      <c r="S200" s="32"/>
    </row>
    <row r="201" spans="1:19" ht="18" customHeight="1">
      <c r="A201" s="9">
        <v>39965</v>
      </c>
      <c r="B201" s="11">
        <v>1.103451</v>
      </c>
      <c r="C201" s="30" t="str">
        <f t="shared" si="8"/>
        <v/>
      </c>
      <c r="D201" s="41" t="str">
        <f t="shared" si="10"/>
        <v/>
      </c>
      <c r="E201" s="16">
        <v>1390.07</v>
      </c>
      <c r="F201" s="16">
        <v>178.99</v>
      </c>
      <c r="G201" s="16">
        <v>27.26</v>
      </c>
      <c r="H201" s="16">
        <v>899.36</v>
      </c>
      <c r="I201" s="14">
        <v>485.15</v>
      </c>
      <c r="J201" s="38">
        <f t="shared" si="9"/>
        <v>900.86445113478464</v>
      </c>
      <c r="O201" s="33"/>
      <c r="P201" s="33"/>
      <c r="Q201" s="33"/>
      <c r="R201" s="33"/>
      <c r="S201" s="32"/>
    </row>
    <row r="202" spans="1:19" ht="18" customHeight="1">
      <c r="A202" s="9">
        <v>39934</v>
      </c>
      <c r="B202" s="11">
        <v>1.108449</v>
      </c>
      <c r="C202" s="30" t="str">
        <f t="shared" si="8"/>
        <v/>
      </c>
      <c r="D202" s="41" t="str">
        <f t="shared" si="10"/>
        <v/>
      </c>
      <c r="E202" s="16">
        <v>1395.89</v>
      </c>
      <c r="F202" s="16">
        <v>178.7</v>
      </c>
      <c r="G202" s="16">
        <v>33.42</v>
      </c>
      <c r="H202" s="16">
        <v>895.72</v>
      </c>
      <c r="I202" s="13">
        <v>528.79999999999995</v>
      </c>
      <c r="J202" s="38">
        <f t="shared" si="9"/>
        <v>981.91718388142658</v>
      </c>
      <c r="N202" s="33"/>
      <c r="O202" s="32"/>
      <c r="P202" s="32"/>
      <c r="Q202" s="32"/>
      <c r="R202" s="32"/>
      <c r="S202" s="32"/>
    </row>
    <row r="203" spans="1:19" ht="18" customHeight="1">
      <c r="A203" s="9">
        <v>39904</v>
      </c>
      <c r="B203" s="11">
        <v>1.148882</v>
      </c>
      <c r="C203" s="30" t="str">
        <f t="shared" si="8"/>
        <v/>
      </c>
      <c r="D203" s="41" t="str">
        <f t="shared" si="10"/>
        <v/>
      </c>
      <c r="E203" s="16">
        <v>1369.36</v>
      </c>
      <c r="F203" s="16">
        <v>176</v>
      </c>
      <c r="G203" s="16">
        <v>34.57</v>
      </c>
      <c r="H203" s="16">
        <v>891.93</v>
      </c>
      <c r="I203" s="14">
        <v>500.98</v>
      </c>
      <c r="J203" s="38">
        <f t="shared" si="9"/>
        <v>930.25883279295988</v>
      </c>
      <c r="M203" s="33"/>
      <c r="N203" s="33"/>
      <c r="O203" s="32"/>
      <c r="P203" s="32"/>
      <c r="Q203" s="32"/>
      <c r="R203" s="32"/>
      <c r="S203" s="32"/>
    </row>
    <row r="204" spans="1:19" ht="18" customHeight="1">
      <c r="A204" s="9">
        <v>39873</v>
      </c>
      <c r="B204" s="11">
        <v>1.0096160000000001</v>
      </c>
      <c r="C204" s="30" t="str">
        <f t="shared" si="8"/>
        <v/>
      </c>
      <c r="D204" s="41" t="str">
        <f t="shared" si="10"/>
        <v/>
      </c>
      <c r="E204" s="16">
        <v>1206.26</v>
      </c>
      <c r="F204" s="16">
        <v>157.01</v>
      </c>
      <c r="G204" s="16">
        <v>39.56</v>
      </c>
      <c r="H204" s="16">
        <v>798.32</v>
      </c>
      <c r="I204" s="14">
        <v>421.44</v>
      </c>
      <c r="J204" s="38">
        <f t="shared" si="9"/>
        <v>782.56274201019005</v>
      </c>
      <c r="L204" s="33"/>
      <c r="M204" s="33"/>
      <c r="N204" s="33"/>
      <c r="O204" s="32"/>
      <c r="P204" s="32"/>
      <c r="Q204" s="32"/>
      <c r="R204" s="32"/>
      <c r="S204" s="32"/>
    </row>
    <row r="205" spans="1:19" ht="18" customHeight="1">
      <c r="A205" s="9">
        <v>39845</v>
      </c>
      <c r="B205" s="3">
        <v>0.89</v>
      </c>
      <c r="C205" s="30" t="str">
        <f t="shared" si="8"/>
        <v>Risk</v>
      </c>
      <c r="D205" s="41" t="str">
        <f t="shared" si="10"/>
        <v>Risk</v>
      </c>
      <c r="E205" s="16">
        <v>1063.03</v>
      </c>
      <c r="F205" s="16">
        <v>138.07</v>
      </c>
      <c r="G205" s="16">
        <v>47.36</v>
      </c>
      <c r="H205" s="16">
        <v>694.11</v>
      </c>
      <c r="I205" s="14">
        <v>363.21</v>
      </c>
      <c r="J205" s="38">
        <f t="shared" si="9"/>
        <v>674.43672533580377</v>
      </c>
      <c r="K205" s="33"/>
      <c r="L205" s="33"/>
      <c r="M205" s="33"/>
      <c r="N205" s="33"/>
      <c r="O205" s="32"/>
      <c r="P205" s="32"/>
      <c r="Q205" s="32"/>
      <c r="R205" s="32"/>
      <c r="S205" s="32"/>
    </row>
    <row r="206" spans="1:19" ht="18" customHeight="1">
      <c r="A206" s="9">
        <v>39814</v>
      </c>
      <c r="B206" s="3">
        <v>0.97</v>
      </c>
      <c r="C206" s="30" t="str">
        <f t="shared" si="8"/>
        <v>Risk</v>
      </c>
      <c r="D206" s="41" t="str">
        <f t="shared" si="10"/>
        <v/>
      </c>
      <c r="E206" s="16">
        <v>1162.1099999999999</v>
      </c>
      <c r="F206" s="16">
        <v>151.33000000000001</v>
      </c>
      <c r="G206" s="16">
        <v>48.21</v>
      </c>
      <c r="H206" s="16">
        <v>768.59</v>
      </c>
      <c r="I206" s="13">
        <v>364.9</v>
      </c>
      <c r="J206" s="28">
        <f t="shared" si="9"/>
        <v>677.5748494673461</v>
      </c>
      <c r="K206" s="33"/>
      <c r="L206" s="33"/>
      <c r="M206" s="33"/>
      <c r="N206" s="33"/>
      <c r="O206" s="32"/>
      <c r="P206" s="32"/>
      <c r="Q206" s="32"/>
      <c r="R206" s="32"/>
      <c r="S206" s="32"/>
    </row>
    <row r="207" spans="1:19" ht="18" customHeight="1">
      <c r="A207" s="9">
        <v>39783</v>
      </c>
      <c r="B207" s="3">
        <v>0.94</v>
      </c>
      <c r="C207" s="30" t="str">
        <f t="shared" si="8"/>
        <v>Risk</v>
      </c>
      <c r="D207" s="41" t="str">
        <f t="shared" si="10"/>
        <v>Risk</v>
      </c>
      <c r="E207" s="16">
        <v>1124.47</v>
      </c>
      <c r="F207" s="16">
        <v>146.35</v>
      </c>
      <c r="G207" s="16">
        <v>48.61</v>
      </c>
      <c r="H207" s="16">
        <v>744.27</v>
      </c>
      <c r="I207" s="14">
        <v>332.05</v>
      </c>
      <c r="J207" s="28">
        <f t="shared" si="9"/>
        <v>616.57640111162596</v>
      </c>
      <c r="K207" s="33"/>
      <c r="L207" s="33"/>
      <c r="M207" s="33"/>
      <c r="N207" s="33"/>
      <c r="O207" s="32"/>
      <c r="P207" s="32"/>
      <c r="Q207" s="32"/>
      <c r="R207" s="32"/>
      <c r="S207" s="32"/>
    </row>
    <row r="208" spans="1:19" ht="18" customHeight="1">
      <c r="A208" s="9">
        <v>39753</v>
      </c>
      <c r="B208" s="3">
        <v>0.9</v>
      </c>
      <c r="C208" s="30" t="str">
        <f t="shared" si="8"/>
        <v>Risk</v>
      </c>
      <c r="D208" s="41" t="str">
        <f t="shared" si="10"/>
        <v>Risk</v>
      </c>
      <c r="E208" s="16">
        <v>1076.07</v>
      </c>
      <c r="F208" s="16">
        <v>140.66</v>
      </c>
      <c r="G208" s="16">
        <v>57.79</v>
      </c>
      <c r="H208" s="16">
        <v>706.45</v>
      </c>
      <c r="I208" s="14">
        <v>307.48</v>
      </c>
      <c r="J208" s="28">
        <f t="shared" si="9"/>
        <v>570.95290412227905</v>
      </c>
      <c r="K208" s="33"/>
      <c r="L208" s="33"/>
      <c r="M208" s="33"/>
      <c r="N208" s="33"/>
      <c r="O208" s="32"/>
      <c r="P208" s="32"/>
      <c r="Q208" s="32"/>
      <c r="R208" s="32"/>
      <c r="S208" s="32"/>
    </row>
    <row r="209" spans="1:19" ht="18" customHeight="1">
      <c r="A209" s="9">
        <v>39722</v>
      </c>
      <c r="B209" s="3">
        <v>0.93</v>
      </c>
      <c r="C209" s="30" t="str">
        <f t="shared" si="8"/>
        <v>Risk</v>
      </c>
      <c r="D209" s="41" t="str">
        <f t="shared" si="10"/>
        <v>Risk</v>
      </c>
      <c r="E209" s="16">
        <v>1113.06</v>
      </c>
      <c r="F209" s="16">
        <v>147.5</v>
      </c>
      <c r="G209" s="16">
        <v>81.27</v>
      </c>
      <c r="H209" s="16">
        <v>740.18</v>
      </c>
      <c r="I209" s="14">
        <v>308.02999999999997</v>
      </c>
      <c r="J209" s="28">
        <f t="shared" si="9"/>
        <v>571.97418712366857</v>
      </c>
      <c r="K209" s="35">
        <f>1+(($H205/$H209)-1)*2</f>
        <v>0.87551676619200758</v>
      </c>
      <c r="L209" s="35">
        <f>1+(($H204/$H209)-1)*2</f>
        <v>1.1570969223702345</v>
      </c>
      <c r="M209" s="35">
        <f>1+(($H203/$H209)-1)*2</f>
        <v>1.410035396795374</v>
      </c>
      <c r="N209" s="35">
        <f>1+(($H202/$H209)-1)*2</f>
        <v>1.420276149044827</v>
      </c>
      <c r="O209" s="35">
        <f>1+(($H201/$H209)-1)*2</f>
        <v>1.4301115944770193</v>
      </c>
      <c r="P209" s="35">
        <f>1+(($H200/$H209)-1)*2</f>
        <v>1.7648139641708775</v>
      </c>
      <c r="Q209" s="35">
        <f>1+(($H199/$H209)-1)*2</f>
        <v>1.8131265367883489</v>
      </c>
      <c r="R209" s="35">
        <f>1+(($H198/$H209)-1)*2</f>
        <v>2.0068091545299791</v>
      </c>
      <c r="S209" s="35">
        <f>1+(($H197/$H209)-1)*2</f>
        <v>1.7907806209300441</v>
      </c>
    </row>
    <row r="210" spans="1:19" ht="18" customHeight="1">
      <c r="A210" s="9">
        <v>39692</v>
      </c>
      <c r="B210" s="3">
        <v>1.2</v>
      </c>
      <c r="C210" s="30" t="str">
        <f t="shared" si="8"/>
        <v/>
      </c>
      <c r="D210" s="41" t="str">
        <f t="shared" si="10"/>
        <v/>
      </c>
      <c r="E210" s="16">
        <v>1448.06</v>
      </c>
      <c r="F210" s="16">
        <v>186.62</v>
      </c>
      <c r="G210" s="16">
        <v>36.78</v>
      </c>
      <c r="H210" s="16">
        <v>936.31</v>
      </c>
      <c r="I210" s="14">
        <v>440.77</v>
      </c>
      <c r="J210" s="28">
        <f t="shared" si="9"/>
        <v>818.45619731357147</v>
      </c>
    </row>
    <row r="211" spans="1:19" ht="18" customHeight="1">
      <c r="A211" s="9">
        <v>39661</v>
      </c>
      <c r="B211" s="3">
        <v>1.22</v>
      </c>
      <c r="C211" s="30" t="str">
        <f t="shared" si="8"/>
        <v/>
      </c>
      <c r="D211" s="41" t="str">
        <f t="shared" si="10"/>
        <v/>
      </c>
      <c r="E211" s="16">
        <v>1474.24</v>
      </c>
      <c r="F211" s="16">
        <v>188.96</v>
      </c>
      <c r="G211" s="16">
        <v>25.66</v>
      </c>
      <c r="H211" s="16">
        <v>967.11</v>
      </c>
      <c r="I211" s="14">
        <v>470.28</v>
      </c>
      <c r="J211" s="28">
        <f t="shared" si="9"/>
        <v>873.25267253358072</v>
      </c>
    </row>
    <row r="212" spans="1:19" ht="18" customHeight="1">
      <c r="A212" s="9">
        <v>39630</v>
      </c>
      <c r="B212" s="3">
        <v>1.33</v>
      </c>
      <c r="C212" s="30" t="str">
        <f t="shared" si="8"/>
        <v/>
      </c>
      <c r="D212" s="41" t="str">
        <f t="shared" si="10"/>
        <v/>
      </c>
      <c r="E212" s="16">
        <v>1594.67</v>
      </c>
      <c r="F212" s="16">
        <v>204.12</v>
      </c>
      <c r="G212" s="16">
        <v>23.82</v>
      </c>
      <c r="H212" s="16">
        <v>1048.68</v>
      </c>
      <c r="I212" s="14">
        <v>539.44000000000005</v>
      </c>
      <c r="J212" s="28">
        <f t="shared" si="9"/>
        <v>1001.6743677628539</v>
      </c>
    </row>
    <row r="213" spans="1:19" ht="18" customHeight="1">
      <c r="A213" s="9">
        <v>39600</v>
      </c>
      <c r="B213" s="3">
        <v>1.4</v>
      </c>
      <c r="C213" s="30" t="str">
        <f t="shared" si="8"/>
        <v/>
      </c>
      <c r="D213" s="41" t="str">
        <f t="shared" si="10"/>
        <v/>
      </c>
      <c r="E213" s="16">
        <v>1674.92</v>
      </c>
      <c r="F213" s="16">
        <v>213.52</v>
      </c>
      <c r="G213" s="16">
        <v>25.15</v>
      </c>
      <c r="H213" s="16">
        <v>1099.31</v>
      </c>
      <c r="I213" s="14">
        <v>590.19000000000005</v>
      </c>
      <c r="J213" s="28">
        <f t="shared" si="9"/>
        <v>1095.9109356183426</v>
      </c>
    </row>
    <row r="214" spans="1:19" ht="18" customHeight="1">
      <c r="A214" s="9">
        <v>39569</v>
      </c>
      <c r="B214" s="3">
        <v>1.54</v>
      </c>
      <c r="C214" s="30" t="str">
        <f t="shared" si="8"/>
        <v/>
      </c>
      <c r="D214" s="41" t="str">
        <f t="shared" si="10"/>
        <v/>
      </c>
      <c r="E214" s="16">
        <v>1852.02</v>
      </c>
      <c r="F214" s="16">
        <v>237.46</v>
      </c>
      <c r="G214" s="16">
        <v>23.06</v>
      </c>
      <c r="H214" s="16">
        <v>1222.8699999999999</v>
      </c>
      <c r="I214" s="14">
        <v>652.15</v>
      </c>
      <c r="J214" s="28">
        <f t="shared" si="9"/>
        <v>1210.9631079203341</v>
      </c>
    </row>
    <row r="215" spans="1:19" ht="18" customHeight="1">
      <c r="A215" s="9">
        <v>39539</v>
      </c>
      <c r="B215" s="3">
        <v>1.52</v>
      </c>
      <c r="C215" s="30" t="str">
        <f t="shared" si="8"/>
        <v/>
      </c>
      <c r="D215" s="41" t="str">
        <f t="shared" si="10"/>
        <v/>
      </c>
      <c r="E215" s="16">
        <v>1825.47</v>
      </c>
      <c r="F215" s="16">
        <v>235</v>
      </c>
      <c r="G215" s="16">
        <v>22.04</v>
      </c>
      <c r="H215" s="16">
        <v>1221.06</v>
      </c>
      <c r="I215" s="14">
        <v>647.02</v>
      </c>
      <c r="J215" s="28">
        <f t="shared" si="9"/>
        <v>1201.4373228346462</v>
      </c>
    </row>
    <row r="216" spans="1:19" ht="18" customHeight="1">
      <c r="A216" s="9">
        <v>39508</v>
      </c>
      <c r="B216" s="3">
        <v>1.59</v>
      </c>
      <c r="C216" s="30" t="str">
        <f t="shared" si="8"/>
        <v/>
      </c>
      <c r="D216" s="41" t="str">
        <f t="shared" si="10"/>
        <v/>
      </c>
      <c r="E216" s="16">
        <v>1703.99</v>
      </c>
      <c r="F216" s="16">
        <v>217.65</v>
      </c>
      <c r="G216" s="16">
        <v>27.05</v>
      </c>
      <c r="H216" s="16">
        <v>1121.1099999999999</v>
      </c>
      <c r="I216" s="14">
        <v>644.45000000000005</v>
      </c>
      <c r="J216" s="28">
        <f t="shared" si="9"/>
        <v>1196.6651459008808</v>
      </c>
    </row>
    <row r="217" spans="1:19" ht="18" customHeight="1">
      <c r="A217" s="9">
        <v>39479</v>
      </c>
      <c r="B217" s="3">
        <v>1.58</v>
      </c>
      <c r="C217" s="30" t="str">
        <f t="shared" si="8"/>
        <v/>
      </c>
      <c r="D217" s="41" t="str">
        <f t="shared" si="10"/>
        <v/>
      </c>
      <c r="E217" s="16">
        <v>1711.62</v>
      </c>
      <c r="F217" s="16">
        <v>216.85</v>
      </c>
      <c r="G217" s="16">
        <v>29.21</v>
      </c>
      <c r="H217" s="16">
        <v>1122.94</v>
      </c>
      <c r="I217" s="14">
        <v>655.94</v>
      </c>
      <c r="J217" s="28">
        <f t="shared" si="9"/>
        <v>1218.0006762390003</v>
      </c>
    </row>
    <row r="218" spans="1:19" ht="18" customHeight="1">
      <c r="A218" s="9">
        <v>39448</v>
      </c>
      <c r="B218" s="3">
        <v>1.51</v>
      </c>
      <c r="C218" s="30" t="str">
        <f t="shared" si="8"/>
        <v/>
      </c>
      <c r="D218" s="41" t="str">
        <f t="shared" si="10"/>
        <v/>
      </c>
      <c r="E218" s="16">
        <v>1624.68</v>
      </c>
      <c r="F218" s="16">
        <v>207.77</v>
      </c>
      <c r="G218" s="16">
        <v>31.39</v>
      </c>
      <c r="H218" s="16">
        <v>1076.3499999999999</v>
      </c>
      <c r="I218" s="14">
        <v>608.84</v>
      </c>
      <c r="J218" s="28">
        <f t="shared" si="9"/>
        <v>1130.5417137563693</v>
      </c>
    </row>
    <row r="219" spans="1:19" ht="18" customHeight="1">
      <c r="A219" s="9">
        <v>39417</v>
      </c>
      <c r="B219" s="3">
        <v>1.75</v>
      </c>
      <c r="C219" s="30" t="str">
        <f t="shared" si="8"/>
        <v/>
      </c>
      <c r="D219" s="41" t="str">
        <f t="shared" si="10"/>
        <v/>
      </c>
      <c r="E219" s="16">
        <v>1897.13</v>
      </c>
      <c r="F219" s="16">
        <v>241.27</v>
      </c>
      <c r="G219" s="16">
        <v>25.13</v>
      </c>
      <c r="H219" s="16">
        <v>1252.6300000000001</v>
      </c>
      <c r="I219" s="14">
        <v>704.23</v>
      </c>
      <c r="J219" s="28">
        <f t="shared" si="9"/>
        <v>1307.6693237610011</v>
      </c>
    </row>
    <row r="220" spans="1:19" ht="18" customHeight="1">
      <c r="A220" s="9">
        <v>39387</v>
      </c>
      <c r="B220" s="3">
        <v>1.76</v>
      </c>
      <c r="C220" s="30" t="str">
        <f t="shared" si="8"/>
        <v/>
      </c>
      <c r="D220" s="41" t="str">
        <f t="shared" si="10"/>
        <v/>
      </c>
      <c r="E220" s="16">
        <v>1906</v>
      </c>
      <c r="F220" s="16">
        <v>241.91</v>
      </c>
      <c r="G220" s="16">
        <v>32.76</v>
      </c>
      <c r="H220" s="16">
        <v>1254.6099999999999</v>
      </c>
      <c r="I220" s="14">
        <v>741.84</v>
      </c>
      <c r="J220" s="28">
        <f t="shared" si="9"/>
        <v>1377.5065122742017</v>
      </c>
    </row>
    <row r="221" spans="1:19" ht="18" customHeight="1">
      <c r="A221" s="9">
        <v>39356</v>
      </c>
      <c r="B221" s="3">
        <v>1.9</v>
      </c>
      <c r="C221" s="30" t="str">
        <f t="shared" si="8"/>
        <v/>
      </c>
      <c r="D221" s="41" t="str">
        <f t="shared" si="10"/>
        <v/>
      </c>
      <c r="E221" s="16">
        <v>2064.85</v>
      </c>
      <c r="F221" s="16">
        <v>260.42</v>
      </c>
      <c r="G221" s="16">
        <v>34.049999999999997</v>
      </c>
      <c r="H221" s="16">
        <v>1353.07</v>
      </c>
      <c r="I221" s="14">
        <v>810.07</v>
      </c>
      <c r="J221" s="28">
        <f t="shared" si="9"/>
        <v>1504.2013107920341</v>
      </c>
    </row>
    <row r="222" spans="1:19" ht="18" customHeight="1">
      <c r="A222" s="9">
        <v>39326</v>
      </c>
      <c r="B222" s="3">
        <v>1.8</v>
      </c>
      <c r="C222" s="30" t="str">
        <f t="shared" si="8"/>
        <v/>
      </c>
      <c r="D222" s="41" t="str">
        <f t="shared" si="10"/>
        <v/>
      </c>
      <c r="E222" s="16">
        <v>1946.48</v>
      </c>
      <c r="F222" s="16">
        <v>247.2</v>
      </c>
      <c r="G222" s="16">
        <v>25.78</v>
      </c>
      <c r="H222" s="16">
        <v>1290.02</v>
      </c>
      <c r="I222" s="14">
        <v>794.56</v>
      </c>
      <c r="J222" s="28">
        <f t="shared" si="9"/>
        <v>1475.401130152849</v>
      </c>
    </row>
    <row r="223" spans="1:19" ht="18" customHeight="1">
      <c r="A223" s="9">
        <v>39295</v>
      </c>
      <c r="B223" s="3">
        <v>1.73</v>
      </c>
      <c r="C223" s="30" t="str">
        <f t="shared" si="8"/>
        <v/>
      </c>
      <c r="D223" s="41" t="str">
        <f t="shared" si="10"/>
        <v/>
      </c>
      <c r="E223" s="16">
        <v>1873.24</v>
      </c>
      <c r="F223" s="16">
        <v>238.28</v>
      </c>
      <c r="G223" s="16">
        <v>32.33</v>
      </c>
      <c r="H223" s="16">
        <v>1244.42</v>
      </c>
      <c r="I223" s="14">
        <v>775.13</v>
      </c>
      <c r="J223" s="28">
        <f t="shared" si="9"/>
        <v>1439.3219870310334</v>
      </c>
    </row>
    <row r="224" spans="1:19" ht="18" customHeight="1">
      <c r="A224" s="9">
        <v>39264</v>
      </c>
      <c r="B224" s="3">
        <v>1.79</v>
      </c>
      <c r="C224" s="30" t="str">
        <f t="shared" si="8"/>
        <v/>
      </c>
      <c r="D224" s="41" t="str">
        <f t="shared" si="10"/>
        <v/>
      </c>
      <c r="E224" s="16">
        <v>1933.27</v>
      </c>
      <c r="F224" s="16">
        <v>244.32</v>
      </c>
      <c r="G224" s="16">
        <v>27.71</v>
      </c>
      <c r="H224" s="16">
        <v>1277.22</v>
      </c>
      <c r="I224" s="14">
        <v>811.52</v>
      </c>
      <c r="J224" s="28">
        <f t="shared" si="9"/>
        <v>1506.8937841593336</v>
      </c>
    </row>
    <row r="225" spans="1:10" ht="18" customHeight="1">
      <c r="A225" s="9">
        <v>39234</v>
      </c>
      <c r="B225" s="3">
        <v>1.61</v>
      </c>
      <c r="C225" s="30" t="str">
        <f t="shared" si="8"/>
        <v/>
      </c>
      <c r="D225" s="41" t="str">
        <f t="shared" si="10"/>
        <v/>
      </c>
      <c r="E225" s="16">
        <v>1743.6</v>
      </c>
      <c r="F225" s="16">
        <v>221.31</v>
      </c>
      <c r="G225" s="16">
        <v>19.95</v>
      </c>
      <c r="H225" s="16">
        <v>1154.8599999999999</v>
      </c>
      <c r="I225" s="14">
        <v>778.69</v>
      </c>
      <c r="J225" s="28">
        <f t="shared" si="9"/>
        <v>1445.9324733673004</v>
      </c>
    </row>
    <row r="226" spans="1:10" ht="18" customHeight="1">
      <c r="A226" s="9">
        <v>39203</v>
      </c>
      <c r="B226" s="3">
        <v>1.57</v>
      </c>
      <c r="C226" s="30" t="str">
        <f t="shared" si="8"/>
        <v/>
      </c>
      <c r="D226" s="41" t="str">
        <f t="shared" si="10"/>
        <v/>
      </c>
      <c r="E226" s="16">
        <v>1700.91</v>
      </c>
      <c r="F226" s="16">
        <v>216.45</v>
      </c>
      <c r="G226" s="16">
        <v>18.59</v>
      </c>
      <c r="H226" s="16">
        <v>1144.5999999999999</v>
      </c>
      <c r="I226" s="14">
        <v>747.87</v>
      </c>
      <c r="J226" s="28">
        <f t="shared" si="9"/>
        <v>1388.7034877257995</v>
      </c>
    </row>
    <row r="227" spans="1:10" ht="18" customHeight="1">
      <c r="A227" s="9">
        <v>39173</v>
      </c>
      <c r="B227" s="3">
        <v>1.42</v>
      </c>
      <c r="C227" s="30" t="str">
        <f t="shared" si="8"/>
        <v/>
      </c>
      <c r="D227" s="41" t="str">
        <f t="shared" si="10"/>
        <v/>
      </c>
      <c r="E227" s="16">
        <v>1542.24</v>
      </c>
      <c r="F227" s="16">
        <v>198.55</v>
      </c>
      <c r="G227" s="16">
        <v>18.989999999999998</v>
      </c>
      <c r="H227" s="16">
        <v>1053.69</v>
      </c>
      <c r="I227" s="14">
        <v>675.88</v>
      </c>
      <c r="J227" s="28">
        <f t="shared" si="9"/>
        <v>1255.0268272348314</v>
      </c>
    </row>
    <row r="228" spans="1:10" ht="18" customHeight="1">
      <c r="A228" s="9">
        <v>39142</v>
      </c>
      <c r="B228" s="3">
        <v>1.48</v>
      </c>
      <c r="C228" s="30" t="str">
        <f t="shared" si="8"/>
        <v/>
      </c>
      <c r="D228" s="41" t="str">
        <f t="shared" si="10"/>
        <v/>
      </c>
      <c r="E228" s="16">
        <v>1452.55</v>
      </c>
      <c r="F228" s="16">
        <v>187.6</v>
      </c>
      <c r="G228" s="16">
        <v>19.64</v>
      </c>
      <c r="H228" s="16">
        <v>994.41</v>
      </c>
      <c r="I228" s="14">
        <v>648.99</v>
      </c>
      <c r="J228" s="28">
        <f t="shared" si="9"/>
        <v>1205.0953728578049</v>
      </c>
    </row>
    <row r="229" spans="1:10" ht="18" customHeight="1">
      <c r="A229" s="9">
        <v>39114</v>
      </c>
      <c r="B229" s="3">
        <v>1.45</v>
      </c>
      <c r="C229" s="30" t="str">
        <f t="shared" si="8"/>
        <v/>
      </c>
      <c r="D229" s="41" t="str">
        <f t="shared" si="10"/>
        <v/>
      </c>
      <c r="E229" s="16">
        <v>1417.34</v>
      </c>
      <c r="F229" s="16">
        <v>183.2</v>
      </c>
      <c r="G229" s="16">
        <v>20.38</v>
      </c>
      <c r="H229" s="16">
        <v>979.68</v>
      </c>
      <c r="I229" s="14">
        <v>600.92999999999995</v>
      </c>
      <c r="J229" s="28">
        <f t="shared" si="9"/>
        <v>1115.8538073182031</v>
      </c>
    </row>
    <row r="230" spans="1:10" ht="18" customHeight="1">
      <c r="A230" s="9">
        <v>39083</v>
      </c>
      <c r="B230" s="3">
        <v>1.39</v>
      </c>
      <c r="C230" s="30" t="str">
        <f t="shared" si="8"/>
        <v/>
      </c>
      <c r="D230" s="41" t="str">
        <f t="shared" si="10"/>
        <v/>
      </c>
      <c r="E230" s="16">
        <v>1360.23</v>
      </c>
      <c r="F230" s="16">
        <v>175.99</v>
      </c>
      <c r="G230" s="16">
        <v>17.989999999999998</v>
      </c>
      <c r="H230" s="16">
        <v>947.06</v>
      </c>
      <c r="I230" s="14">
        <v>576.37</v>
      </c>
      <c r="J230" s="28">
        <f t="shared" si="9"/>
        <v>1070.2488791106998</v>
      </c>
    </row>
    <row r="231" spans="1:10" ht="18" customHeight="1">
      <c r="A231" s="9">
        <v>39052</v>
      </c>
      <c r="B231" s="3">
        <v>1.46</v>
      </c>
      <c r="C231" s="30" t="str">
        <f t="shared" si="8"/>
        <v/>
      </c>
      <c r="D231" s="41" t="str">
        <f t="shared" si="10"/>
        <v/>
      </c>
      <c r="E231" s="16">
        <v>1434.46</v>
      </c>
      <c r="F231" s="16">
        <v>185.39</v>
      </c>
      <c r="G231" s="16">
        <v>15.4</v>
      </c>
      <c r="H231" s="16">
        <v>1000</v>
      </c>
      <c r="I231" s="14">
        <v>606.15</v>
      </c>
      <c r="J231" s="28">
        <f t="shared" si="9"/>
        <v>1125.5467114404821</v>
      </c>
    </row>
    <row r="232" spans="1:10" ht="18" customHeight="1">
      <c r="A232" s="9">
        <v>39022</v>
      </c>
      <c r="B232" s="3">
        <v>1.46</v>
      </c>
      <c r="C232" s="30" t="str">
        <f t="shared" si="8"/>
        <v/>
      </c>
      <c r="D232" s="41" t="str">
        <f t="shared" si="10"/>
        <v/>
      </c>
      <c r="E232" s="16">
        <v>1432.21</v>
      </c>
      <c r="F232" s="16">
        <v>184.96</v>
      </c>
      <c r="G232" s="16">
        <v>14.68</v>
      </c>
      <c r="H232" s="28">
        <f>(F232/F231)*H231</f>
        <v>997.68056529478406</v>
      </c>
      <c r="I232" s="14">
        <v>622.16999999999996</v>
      </c>
      <c r="J232" s="28">
        <f t="shared" si="9"/>
        <v>1155.2938999536825</v>
      </c>
    </row>
    <row r="233" spans="1:10" ht="18" customHeight="1">
      <c r="A233" s="9">
        <v>38991</v>
      </c>
      <c r="B233" s="3">
        <v>1.4</v>
      </c>
      <c r="C233" s="30" t="str">
        <f t="shared" si="8"/>
        <v/>
      </c>
      <c r="D233" s="41" t="str">
        <f t="shared" si="10"/>
        <v/>
      </c>
      <c r="E233" s="16">
        <v>1364.55</v>
      </c>
      <c r="F233" s="16">
        <v>176.84</v>
      </c>
      <c r="G233" s="16">
        <v>16.84</v>
      </c>
      <c r="H233" s="28">
        <f t="shared" ref="H233:H271" si="11">(F233/F232)*H232</f>
        <v>953.88100760558825</v>
      </c>
      <c r="I233" s="13">
        <v>586.1</v>
      </c>
      <c r="J233" s="28">
        <f t="shared" si="9"/>
        <v>1088.3163038443729</v>
      </c>
    </row>
    <row r="234" spans="1:10" ht="18" customHeight="1">
      <c r="A234" s="9">
        <v>38961</v>
      </c>
      <c r="B234" s="3">
        <v>1.4</v>
      </c>
      <c r="C234" s="30" t="str">
        <f t="shared" si="8"/>
        <v/>
      </c>
      <c r="D234" s="41" t="str">
        <f t="shared" si="10"/>
        <v/>
      </c>
      <c r="E234" s="16">
        <v>1371.41</v>
      </c>
      <c r="F234" s="16">
        <v>178.05</v>
      </c>
      <c r="G234" s="16">
        <v>16.71</v>
      </c>
      <c r="H234" s="28">
        <f t="shared" si="11"/>
        <v>960.40778898538224</v>
      </c>
      <c r="I234" s="14">
        <v>600.41999999999996</v>
      </c>
      <c r="J234" s="28">
        <f t="shared" si="9"/>
        <v>1114.9067994441875</v>
      </c>
    </row>
    <row r="235" spans="1:10" ht="18" customHeight="1">
      <c r="A235" s="9">
        <v>38930</v>
      </c>
      <c r="B235" s="3">
        <v>1.38</v>
      </c>
      <c r="C235" s="30" t="str">
        <f t="shared" si="8"/>
        <v/>
      </c>
      <c r="D235" s="41" t="str">
        <f t="shared" si="10"/>
        <v/>
      </c>
      <c r="E235" s="16">
        <v>1352.74</v>
      </c>
      <c r="F235" s="16">
        <v>175.44</v>
      </c>
      <c r="G235" s="16">
        <v>17.899999999999999</v>
      </c>
      <c r="H235" s="28">
        <f t="shared" si="11"/>
        <v>946.32935972814062</v>
      </c>
      <c r="I235" s="14">
        <v>572.83000000000004</v>
      </c>
      <c r="J235" s="28">
        <f t="shared" si="9"/>
        <v>1063.6755303381201</v>
      </c>
    </row>
    <row r="236" spans="1:10" ht="18" customHeight="1">
      <c r="A236" s="9">
        <v>38899</v>
      </c>
      <c r="B236" s="3">
        <v>1.33</v>
      </c>
      <c r="C236" s="30" t="str">
        <f t="shared" si="8"/>
        <v/>
      </c>
      <c r="D236" s="41" t="str">
        <f t="shared" si="10"/>
        <v/>
      </c>
      <c r="E236" s="16">
        <v>1297.82</v>
      </c>
      <c r="F236" s="16">
        <v>168.51</v>
      </c>
      <c r="G236" s="16">
        <v>23.75</v>
      </c>
      <c r="H236" s="28">
        <f t="shared" si="11"/>
        <v>908.94870273477522</v>
      </c>
      <c r="I236" s="14">
        <v>557.66</v>
      </c>
      <c r="J236" s="28">
        <f t="shared" si="9"/>
        <v>1035.5066882816122</v>
      </c>
    </row>
    <row r="237" spans="1:10" ht="18" customHeight="1">
      <c r="A237" s="9">
        <v>38869</v>
      </c>
      <c r="B237" s="3">
        <v>1.33</v>
      </c>
      <c r="C237" s="30" t="str">
        <f t="shared" si="8"/>
        <v/>
      </c>
      <c r="D237" s="41" t="str">
        <f t="shared" si="10"/>
        <v/>
      </c>
      <c r="E237" s="16">
        <v>1295.1500000000001</v>
      </c>
      <c r="F237" s="16">
        <v>167.45</v>
      </c>
      <c r="G237" s="16">
        <v>22.72</v>
      </c>
      <c r="H237" s="28">
        <f t="shared" si="11"/>
        <v>903.23102648470774</v>
      </c>
      <c r="I237" s="14">
        <v>590.67999999999995</v>
      </c>
      <c r="J237" s="28">
        <f t="shared" si="9"/>
        <v>1096.8208059286712</v>
      </c>
    </row>
    <row r="238" spans="1:10" ht="18" customHeight="1">
      <c r="A238" s="9">
        <v>38838</v>
      </c>
      <c r="B238" s="3">
        <v>1.36</v>
      </c>
      <c r="C238" s="30" t="str">
        <f t="shared" si="8"/>
        <v/>
      </c>
      <c r="D238" s="41" t="str">
        <f t="shared" si="10"/>
        <v/>
      </c>
      <c r="E238" s="16">
        <v>1317.7</v>
      </c>
      <c r="F238" s="16">
        <v>171.01</v>
      </c>
      <c r="G238" s="16">
        <v>21.21</v>
      </c>
      <c r="H238" s="28">
        <f t="shared" si="11"/>
        <v>922.43378823021726</v>
      </c>
      <c r="I238" s="13">
        <v>630.5</v>
      </c>
      <c r="J238" s="28">
        <f t="shared" si="9"/>
        <v>1170.7616952292733</v>
      </c>
    </row>
    <row r="239" spans="1:10" ht="18" customHeight="1">
      <c r="A239" s="9">
        <v>38808</v>
      </c>
      <c r="B239" s="3">
        <v>1.46</v>
      </c>
      <c r="C239" s="30" t="str">
        <f t="shared" si="8"/>
        <v/>
      </c>
      <c r="D239" s="41" t="str">
        <f t="shared" si="10"/>
        <v/>
      </c>
      <c r="E239" s="16">
        <v>1419.73</v>
      </c>
      <c r="F239" s="16">
        <v>184.1</v>
      </c>
      <c r="G239" s="16">
        <v>17.98</v>
      </c>
      <c r="H239" s="28">
        <f t="shared" si="11"/>
        <v>993.04169588435184</v>
      </c>
      <c r="I239" s="14">
        <v>685.44</v>
      </c>
      <c r="J239" s="28">
        <f t="shared" si="9"/>
        <v>1272.778582677166</v>
      </c>
    </row>
    <row r="240" spans="1:10" ht="18" customHeight="1">
      <c r="A240" s="9">
        <v>38777</v>
      </c>
      <c r="B240" s="3">
        <v>1.63</v>
      </c>
      <c r="C240" s="30" t="str">
        <f t="shared" si="8"/>
        <v/>
      </c>
      <c r="D240" s="41" t="str">
        <f t="shared" si="10"/>
        <v/>
      </c>
      <c r="E240" s="16">
        <v>1359.6</v>
      </c>
      <c r="F240" s="16">
        <v>176.21</v>
      </c>
      <c r="G240" s="16">
        <v>18.190000000000001</v>
      </c>
      <c r="H240" s="28">
        <f t="shared" si="11"/>
        <v>950.48276606073682</v>
      </c>
      <c r="I240" s="14">
        <v>665.21</v>
      </c>
      <c r="J240" s="28">
        <f t="shared" si="9"/>
        <v>1235.2139370078746</v>
      </c>
    </row>
    <row r="241" spans="1:19" ht="18" customHeight="1">
      <c r="A241" s="9">
        <v>38749</v>
      </c>
      <c r="B241" s="3">
        <v>1.64</v>
      </c>
      <c r="C241" s="30" t="str">
        <f t="shared" si="8"/>
        <v/>
      </c>
      <c r="D241" s="41" t="str">
        <f t="shared" si="10"/>
        <v/>
      </c>
      <c r="E241" s="16">
        <v>1371.59</v>
      </c>
      <c r="F241" s="16">
        <v>177.45</v>
      </c>
      <c r="G241" s="16">
        <v>19.899999999999999</v>
      </c>
      <c r="H241" s="28">
        <f t="shared" si="11"/>
        <v>957.171368466476</v>
      </c>
      <c r="I241" s="14">
        <v>682.36</v>
      </c>
      <c r="J241" s="28">
        <f t="shared" si="9"/>
        <v>1267.0593978693844</v>
      </c>
    </row>
    <row r="242" spans="1:19" ht="18" customHeight="1">
      <c r="A242" s="9">
        <v>38718</v>
      </c>
      <c r="B242" s="3">
        <v>1.65</v>
      </c>
      <c r="C242" s="30" t="str">
        <f t="shared" si="8"/>
        <v/>
      </c>
      <c r="D242" s="41" t="str">
        <f t="shared" si="10"/>
        <v/>
      </c>
      <c r="E242" s="16">
        <v>1399.83</v>
      </c>
      <c r="F242" s="16">
        <v>180.65</v>
      </c>
      <c r="G242" s="16">
        <v>21.57</v>
      </c>
      <c r="H242" s="28">
        <f t="shared" si="11"/>
        <v>974.43227790064191</v>
      </c>
      <c r="I242" s="14">
        <v>690.24</v>
      </c>
      <c r="J242" s="28">
        <f t="shared" si="9"/>
        <v>1281.6915979620198</v>
      </c>
    </row>
    <row r="243" spans="1:19" ht="18" customHeight="1">
      <c r="A243" s="9">
        <v>38687</v>
      </c>
      <c r="B243" s="3">
        <v>1.63</v>
      </c>
      <c r="C243" s="30" t="str">
        <f t="shared" si="8"/>
        <v/>
      </c>
      <c r="D243" s="41" t="str">
        <f t="shared" si="10"/>
        <v/>
      </c>
      <c r="E243" s="16">
        <v>1379.37</v>
      </c>
      <c r="F243" s="16">
        <v>177.43</v>
      </c>
      <c r="G243" s="16">
        <v>19.440000000000001</v>
      </c>
      <c r="H243" s="28">
        <f t="shared" si="11"/>
        <v>957.06348778251254</v>
      </c>
      <c r="I243" s="14">
        <v>701.79</v>
      </c>
      <c r="J243" s="28">
        <f t="shared" si="9"/>
        <v>1303.1385409912</v>
      </c>
    </row>
    <row r="244" spans="1:19" ht="18" customHeight="1">
      <c r="A244" s="9">
        <v>38657</v>
      </c>
      <c r="B244" s="3">
        <v>1.53</v>
      </c>
      <c r="C244" s="30" t="str">
        <f t="shared" si="8"/>
        <v/>
      </c>
      <c r="D244" s="41" t="str">
        <f t="shared" si="10"/>
        <v/>
      </c>
      <c r="E244" s="16">
        <v>1297.44</v>
      </c>
      <c r="F244" s="16">
        <v>165.95</v>
      </c>
      <c r="G244" s="16">
        <v>23.38</v>
      </c>
      <c r="H244" s="28">
        <f t="shared" si="11"/>
        <v>895.13997518744259</v>
      </c>
      <c r="I244" s="14">
        <v>712.39</v>
      </c>
      <c r="J244" s="28">
        <f t="shared" si="9"/>
        <v>1322.8214497452527</v>
      </c>
    </row>
    <row r="245" spans="1:19" ht="18" customHeight="1">
      <c r="A245" s="9">
        <v>38626</v>
      </c>
      <c r="B245" s="3">
        <v>1.35</v>
      </c>
      <c r="C245" s="30" t="str">
        <f t="shared" si="8"/>
        <v/>
      </c>
      <c r="D245" s="41" t="str">
        <f t="shared" si="10"/>
        <v/>
      </c>
      <c r="E245" s="16">
        <v>1158.1099999999999</v>
      </c>
      <c r="F245" s="16">
        <v>148.84</v>
      </c>
      <c r="G245" s="16">
        <v>25.85</v>
      </c>
      <c r="H245" s="28">
        <f t="shared" si="11"/>
        <v>802.84805005663725</v>
      </c>
      <c r="I245" s="14">
        <v>587.46</v>
      </c>
      <c r="J245" s="28">
        <f t="shared" si="9"/>
        <v>1090.8416581750814</v>
      </c>
    </row>
    <row r="246" spans="1:19" ht="18" customHeight="1">
      <c r="A246" s="9">
        <v>38596</v>
      </c>
      <c r="B246" s="3">
        <v>1.43</v>
      </c>
      <c r="C246" s="30" t="str">
        <f t="shared" si="8"/>
        <v/>
      </c>
      <c r="D246" s="41" t="str">
        <f t="shared" si="10"/>
        <v/>
      </c>
      <c r="E246" s="16">
        <v>1221.01</v>
      </c>
      <c r="F246" s="16">
        <v>157.55000000000001</v>
      </c>
      <c r="G246" s="16">
        <v>23.82</v>
      </c>
      <c r="H246" s="28">
        <f t="shared" si="11"/>
        <v>849.83008792275734</v>
      </c>
      <c r="I246" s="14">
        <v>571.95000000000005</v>
      </c>
      <c r="J246" s="28">
        <f t="shared" si="9"/>
        <v>1062.0414775358968</v>
      </c>
    </row>
    <row r="247" spans="1:19" ht="18" customHeight="1">
      <c r="A247" s="9">
        <v>38565</v>
      </c>
      <c r="B247" s="3">
        <v>1.27</v>
      </c>
      <c r="C247" s="30" t="str">
        <f t="shared" si="8"/>
        <v/>
      </c>
      <c r="D247" s="41" t="str">
        <f t="shared" si="10"/>
        <v/>
      </c>
      <c r="E247" s="16">
        <v>1083.33</v>
      </c>
      <c r="F247" s="16">
        <v>140.09</v>
      </c>
      <c r="G247" s="16">
        <v>21.12</v>
      </c>
      <c r="H247" s="28">
        <f t="shared" si="11"/>
        <v>755.65025082259012</v>
      </c>
      <c r="I247" s="14">
        <v>503.95</v>
      </c>
      <c r="J247" s="28">
        <f t="shared" si="9"/>
        <v>935.77376100046365</v>
      </c>
    </row>
    <row r="248" spans="1:19" ht="18" customHeight="1">
      <c r="A248" s="9">
        <v>38534</v>
      </c>
      <c r="B248" s="3">
        <v>1.3</v>
      </c>
      <c r="C248" s="30" t="str">
        <f t="shared" si="8"/>
        <v/>
      </c>
      <c r="D248" s="41" t="str">
        <f t="shared" si="10"/>
        <v/>
      </c>
      <c r="E248" s="16">
        <v>1111.29</v>
      </c>
      <c r="F248" s="16">
        <v>143.32</v>
      </c>
      <c r="G248" s="16">
        <v>16.88</v>
      </c>
      <c r="H248" s="28">
        <f t="shared" si="11"/>
        <v>773.07298128270122</v>
      </c>
      <c r="I248" s="14">
        <v>546.67999999999995</v>
      </c>
      <c r="J248" s="28">
        <f t="shared" si="9"/>
        <v>1015.1181658175085</v>
      </c>
      <c r="S248" s="32"/>
    </row>
    <row r="249" spans="1:19" ht="18" customHeight="1">
      <c r="A249" s="9">
        <v>38504</v>
      </c>
      <c r="B249" s="3">
        <v>1.18</v>
      </c>
      <c r="C249" s="30" t="str">
        <f t="shared" si="8"/>
        <v/>
      </c>
      <c r="D249" s="41" t="str">
        <f t="shared" si="10"/>
        <v/>
      </c>
      <c r="E249" s="16">
        <v>1008.16</v>
      </c>
      <c r="F249" s="16">
        <v>129.43</v>
      </c>
      <c r="G249" s="16">
        <v>15.76</v>
      </c>
      <c r="H249" s="28">
        <f t="shared" si="11"/>
        <v>698.14984627002536</v>
      </c>
      <c r="I249" s="14">
        <v>503.21</v>
      </c>
      <c r="J249" s="28">
        <f t="shared" si="9"/>
        <v>934.39967114404863</v>
      </c>
      <c r="R249" s="32"/>
      <c r="S249" s="32"/>
    </row>
    <row r="250" spans="1:19" ht="18" customHeight="1">
      <c r="A250" s="9">
        <v>38473</v>
      </c>
      <c r="B250" s="3">
        <v>1.1399999999999999</v>
      </c>
      <c r="C250" s="30" t="str">
        <f t="shared" si="8"/>
        <v/>
      </c>
      <c r="D250" s="41" t="str">
        <f t="shared" si="10"/>
        <v/>
      </c>
      <c r="E250" s="16">
        <v>970.21</v>
      </c>
      <c r="F250" s="16">
        <v>124.84</v>
      </c>
      <c r="G250" s="16">
        <v>16.350000000000001</v>
      </c>
      <c r="H250" s="28">
        <f t="shared" si="11"/>
        <v>673.39122930039377</v>
      </c>
      <c r="I250" s="14">
        <v>471.48</v>
      </c>
      <c r="J250" s="28">
        <f t="shared" si="9"/>
        <v>875.48092635479441</v>
      </c>
      <c r="Q250" s="33"/>
      <c r="R250" s="32"/>
      <c r="S250" s="32"/>
    </row>
    <row r="251" spans="1:19" ht="18" customHeight="1">
      <c r="A251" s="9">
        <v>38443</v>
      </c>
      <c r="B251" s="3">
        <v>1.07</v>
      </c>
      <c r="C251" s="30" t="str">
        <f t="shared" si="8"/>
        <v/>
      </c>
      <c r="D251" s="41" t="str">
        <f t="shared" si="10"/>
        <v/>
      </c>
      <c r="E251" s="16">
        <v>911.3</v>
      </c>
      <c r="F251" s="16">
        <v>117.58</v>
      </c>
      <c r="G251" s="16">
        <v>22.48</v>
      </c>
      <c r="H251" s="28">
        <f t="shared" si="11"/>
        <v>634.23054102163007</v>
      </c>
      <c r="I251" s="13">
        <v>424.4</v>
      </c>
      <c r="J251" s="28">
        <f t="shared" si="9"/>
        <v>788.05910143585038</v>
      </c>
      <c r="P251" s="33"/>
      <c r="Q251" s="33"/>
      <c r="R251" s="32"/>
      <c r="S251" s="32"/>
    </row>
    <row r="252" spans="1:19" ht="18" customHeight="1">
      <c r="A252" s="9">
        <v>38412</v>
      </c>
      <c r="B252" s="3">
        <v>1.27</v>
      </c>
      <c r="C252" s="30" t="str">
        <f t="shared" si="8"/>
        <v/>
      </c>
      <c r="D252" s="41" t="str">
        <f t="shared" si="10"/>
        <v/>
      </c>
      <c r="E252" s="16">
        <v>965.68</v>
      </c>
      <c r="F252" s="16">
        <v>124.78</v>
      </c>
      <c r="G252" s="16">
        <v>19.690000000000001</v>
      </c>
      <c r="H252" s="28">
        <f t="shared" si="11"/>
        <v>673.06758724850317</v>
      </c>
      <c r="I252" s="14">
        <v>455.03</v>
      </c>
      <c r="J252" s="28">
        <f t="shared" si="9"/>
        <v>844.93528022232556</v>
      </c>
      <c r="O252" s="33"/>
      <c r="P252" s="33"/>
      <c r="Q252" s="33"/>
      <c r="R252" s="32"/>
      <c r="S252" s="32"/>
    </row>
    <row r="253" spans="1:19" ht="18" customHeight="1">
      <c r="A253" s="9">
        <v>38384</v>
      </c>
      <c r="B253" s="3">
        <v>1.33</v>
      </c>
      <c r="C253" s="30" t="str">
        <f t="shared" si="8"/>
        <v/>
      </c>
      <c r="D253" s="41" t="str">
        <f t="shared" si="10"/>
        <v/>
      </c>
      <c r="E253" s="16">
        <v>1011.36</v>
      </c>
      <c r="F253" s="16">
        <v>130.85</v>
      </c>
      <c r="G253" s="16">
        <v>16.670000000000002</v>
      </c>
      <c r="H253" s="28">
        <f t="shared" si="11"/>
        <v>705.80937483143634</v>
      </c>
      <c r="I253" s="14">
        <v>498.38</v>
      </c>
      <c r="J253" s="28">
        <f t="shared" si="9"/>
        <v>925.43094951366425</v>
      </c>
      <c r="N253" s="33"/>
      <c r="O253" s="33"/>
      <c r="P253" s="33"/>
      <c r="Q253" s="33"/>
      <c r="R253" s="32"/>
      <c r="S253" s="32"/>
    </row>
    <row r="254" spans="1:19" ht="18" customHeight="1">
      <c r="A254" s="9">
        <v>38353</v>
      </c>
      <c r="B254" s="3">
        <v>1.23</v>
      </c>
      <c r="C254" s="30" t="str">
        <f t="shared" si="8"/>
        <v/>
      </c>
      <c r="D254" s="41" t="str">
        <f t="shared" si="10"/>
        <v/>
      </c>
      <c r="E254" s="16">
        <v>932.7</v>
      </c>
      <c r="F254" s="16">
        <v>121.06</v>
      </c>
      <c r="G254" s="16">
        <v>18.12</v>
      </c>
      <c r="H254" s="28">
        <f t="shared" si="11"/>
        <v>653.00178003128542</v>
      </c>
      <c r="I254" s="14">
        <v>472.95</v>
      </c>
      <c r="J254" s="28">
        <f t="shared" si="9"/>
        <v>878.2105372857809</v>
      </c>
      <c r="M254" s="33"/>
      <c r="N254" s="33"/>
      <c r="O254" s="33"/>
      <c r="P254" s="33"/>
      <c r="Q254" s="33"/>
      <c r="R254" s="32"/>
      <c r="S254" s="32"/>
    </row>
    <row r="255" spans="1:19" ht="18" customHeight="1">
      <c r="A255" s="9">
        <v>38322</v>
      </c>
      <c r="B255" s="3">
        <v>1.1599999999999999</v>
      </c>
      <c r="C255" s="30" t="str">
        <f t="shared" si="8"/>
        <v/>
      </c>
      <c r="D255" s="41" t="str">
        <f t="shared" si="10"/>
        <v/>
      </c>
      <c r="E255" s="16">
        <v>895.92</v>
      </c>
      <c r="F255" s="16">
        <v>115.25</v>
      </c>
      <c r="G255" s="16">
        <v>21.29</v>
      </c>
      <c r="H255" s="28">
        <f t="shared" si="11"/>
        <v>621.66244133987811</v>
      </c>
      <c r="I255" s="14">
        <v>380.33</v>
      </c>
      <c r="J255" s="28">
        <f t="shared" si="9"/>
        <v>706.22647985178367</v>
      </c>
      <c r="L255" s="33"/>
      <c r="M255" s="33"/>
      <c r="N255" s="33"/>
      <c r="O255" s="33"/>
      <c r="P255" s="33"/>
      <c r="Q255" s="33"/>
      <c r="R255" s="32"/>
      <c r="S255" s="32"/>
    </row>
    <row r="256" spans="1:19" ht="18" customHeight="1">
      <c r="A256" s="9">
        <v>38292</v>
      </c>
      <c r="B256" s="3">
        <v>1.1299999999999999</v>
      </c>
      <c r="C256" s="30" t="str">
        <f t="shared" si="8"/>
        <v/>
      </c>
      <c r="D256" s="41" t="str">
        <f t="shared" si="10"/>
        <v/>
      </c>
      <c r="E256" s="16">
        <v>878.06</v>
      </c>
      <c r="F256" s="16">
        <v>113.4</v>
      </c>
      <c r="G256" s="16">
        <v>25.05</v>
      </c>
      <c r="H256" s="28">
        <f t="shared" si="11"/>
        <v>611.68347807325108</v>
      </c>
      <c r="I256" s="14">
        <v>373.43</v>
      </c>
      <c r="J256" s="28">
        <f t="shared" si="9"/>
        <v>693.41402037980595</v>
      </c>
      <c r="K256" s="33"/>
      <c r="L256" s="33"/>
      <c r="M256" s="33"/>
      <c r="N256" s="33"/>
      <c r="O256" s="33"/>
      <c r="P256" s="33"/>
      <c r="Q256" s="33"/>
      <c r="R256" s="32"/>
      <c r="S256" s="32"/>
    </row>
    <row r="257" spans="1:19" ht="18" customHeight="1">
      <c r="A257" s="9">
        <v>38261</v>
      </c>
      <c r="B257" s="3">
        <v>1.08</v>
      </c>
      <c r="C257" s="30" t="str">
        <f t="shared" si="8"/>
        <v/>
      </c>
      <c r="D257" s="41" t="str">
        <f t="shared" si="10"/>
        <v/>
      </c>
      <c r="E257" s="16">
        <v>834.84</v>
      </c>
      <c r="F257" s="16">
        <v>107.99</v>
      </c>
      <c r="G257" s="16">
        <v>27.17</v>
      </c>
      <c r="H257" s="28">
        <f t="shared" si="11"/>
        <v>582.50175306111441</v>
      </c>
      <c r="I257" s="14">
        <v>357.04</v>
      </c>
      <c r="J257" s="28">
        <f t="shared" si="9"/>
        <v>662.97978693839787</v>
      </c>
      <c r="K257" s="33"/>
      <c r="L257" s="33"/>
      <c r="M257" s="33"/>
      <c r="N257" s="33"/>
      <c r="O257" s="33"/>
      <c r="P257" s="33"/>
      <c r="Q257" s="33"/>
      <c r="R257" s="32"/>
      <c r="S257" s="32"/>
    </row>
    <row r="258" spans="1:19" ht="18" customHeight="1">
      <c r="A258" s="9">
        <v>38231</v>
      </c>
      <c r="B258" s="3">
        <v>1.08</v>
      </c>
      <c r="C258" s="30" t="str">
        <f t="shared" si="8"/>
        <v/>
      </c>
      <c r="D258" s="41" t="str">
        <f t="shared" si="10"/>
        <v/>
      </c>
      <c r="E258" s="16">
        <v>835.09</v>
      </c>
      <c r="F258" s="16">
        <v>107.69</v>
      </c>
      <c r="G258" s="21">
        <v>23.73</v>
      </c>
      <c r="H258" s="28">
        <f t="shared" si="11"/>
        <v>580.88354280166141</v>
      </c>
      <c r="I258" s="14">
        <v>362.08</v>
      </c>
      <c r="J258" s="28">
        <f t="shared" si="9"/>
        <v>672.33845298749463</v>
      </c>
      <c r="K258" s="33"/>
      <c r="L258" s="33"/>
      <c r="M258" s="33"/>
      <c r="N258" s="33"/>
      <c r="O258" s="33"/>
      <c r="P258" s="33"/>
      <c r="Q258" s="33"/>
      <c r="R258" s="32"/>
      <c r="S258" s="32"/>
    </row>
    <row r="259" spans="1:19" ht="18" customHeight="1">
      <c r="A259" s="9">
        <v>38200</v>
      </c>
      <c r="B259" s="3">
        <v>1.03</v>
      </c>
      <c r="C259" s="30" t="str">
        <f t="shared" si="8"/>
        <v/>
      </c>
      <c r="D259" s="41" t="str">
        <f t="shared" si="10"/>
        <v/>
      </c>
      <c r="E259" s="16">
        <v>803.57</v>
      </c>
      <c r="F259" s="16">
        <v>102.89</v>
      </c>
      <c r="G259" s="21">
        <v>22.76</v>
      </c>
      <c r="H259" s="28">
        <f t="shared" si="11"/>
        <v>554.99217865041271</v>
      </c>
      <c r="I259" s="14">
        <v>355.66</v>
      </c>
      <c r="J259" s="28">
        <f t="shared" si="9"/>
        <v>660.41729504400234</v>
      </c>
      <c r="K259" s="33"/>
      <c r="L259" s="33"/>
      <c r="M259" s="33"/>
      <c r="N259" s="33"/>
      <c r="O259" s="33"/>
      <c r="P259" s="33"/>
      <c r="Q259" s="33"/>
      <c r="R259" s="32"/>
      <c r="S259" s="32"/>
    </row>
    <row r="260" spans="1:19" ht="18" customHeight="1">
      <c r="A260" s="9">
        <v>38169</v>
      </c>
      <c r="B260" s="3">
        <v>0.96</v>
      </c>
      <c r="C260" s="30" t="str">
        <f t="shared" ref="C260:C323" si="12">IF(B260&lt;=C$1, "Risk", "")</f>
        <v>Risk</v>
      </c>
      <c r="D260" s="41" t="str">
        <f t="shared" si="10"/>
        <v/>
      </c>
      <c r="E260" s="16">
        <v>735.34</v>
      </c>
      <c r="F260" s="16">
        <v>95.27</v>
      </c>
      <c r="G260" s="21">
        <v>28.62</v>
      </c>
      <c r="H260" s="28">
        <f t="shared" si="11"/>
        <v>513.8896380603054</v>
      </c>
      <c r="I260" s="14">
        <v>331.21</v>
      </c>
      <c r="J260" s="28">
        <f t="shared" ref="J260:J265" si="13">(I260/I259)*J259</f>
        <v>615.01662343677663</v>
      </c>
      <c r="K260" s="34">
        <f>$H256/$H260</f>
        <v>1.1903012490815577</v>
      </c>
      <c r="L260" s="34">
        <f>$H255/$H260</f>
        <v>1.2097197438857981</v>
      </c>
      <c r="M260" s="34">
        <f>$H254/$H260</f>
        <v>1.2707043140547913</v>
      </c>
      <c r="N260" s="34">
        <f>$H253/$H260</f>
        <v>1.3734648892620969</v>
      </c>
      <c r="O260" s="34">
        <f>$H252/$H260</f>
        <v>1.309751233336832</v>
      </c>
      <c r="P260" s="34">
        <f>$H251/$H260</f>
        <v>1.2341765508554632</v>
      </c>
      <c r="Q260" s="34">
        <f>$H250/$H260</f>
        <v>1.3103810223575101</v>
      </c>
      <c r="R260" s="34">
        <f>$H249/$H260</f>
        <v>1.3585598824393825</v>
      </c>
      <c r="S260" s="34">
        <f>$H248/$H260</f>
        <v>1.5043560407263561</v>
      </c>
    </row>
    <row r="261" spans="1:19" ht="18" customHeight="1">
      <c r="A261" s="9">
        <v>38139</v>
      </c>
      <c r="B261" s="3">
        <v>1.01</v>
      </c>
      <c r="C261" s="30" t="str">
        <f t="shared" si="12"/>
        <v/>
      </c>
      <c r="D261" s="41" t="str">
        <f t="shared" ref="D261:D324" si="14">IF(B261&lt;=D$1, "Risk", "")</f>
        <v/>
      </c>
      <c r="E261" s="16">
        <v>785.79</v>
      </c>
      <c r="F261" s="16">
        <v>101.85</v>
      </c>
      <c r="G261" s="21">
        <v>32.36</v>
      </c>
      <c r="H261" s="28">
        <f t="shared" si="11"/>
        <v>549.38238308430891</v>
      </c>
      <c r="I261" s="14">
        <v>385.18</v>
      </c>
      <c r="J261" s="28">
        <f t="shared" si="13"/>
        <v>715.23233904585504</v>
      </c>
    </row>
    <row r="262" spans="1:19" ht="18" customHeight="1">
      <c r="A262" s="9">
        <v>38108</v>
      </c>
      <c r="B262" s="3">
        <v>1.02</v>
      </c>
      <c r="C262" s="30" t="str">
        <f t="shared" si="12"/>
        <v/>
      </c>
      <c r="D262" s="41" t="str">
        <f t="shared" si="14"/>
        <v/>
      </c>
      <c r="E262" s="16">
        <v>803.84</v>
      </c>
      <c r="F262" s="16">
        <v>104.14</v>
      </c>
      <c r="G262" s="21">
        <v>30.14</v>
      </c>
      <c r="H262" s="28">
        <f t="shared" si="11"/>
        <v>561.73472139813396</v>
      </c>
      <c r="I262" s="14">
        <v>400.92</v>
      </c>
      <c r="J262" s="28">
        <f t="shared" si="13"/>
        <v>744.45960166743907</v>
      </c>
    </row>
    <row r="263" spans="1:19" ht="18" customHeight="1">
      <c r="A263" s="9">
        <v>38078</v>
      </c>
      <c r="B263" s="3">
        <v>1.1000000000000001</v>
      </c>
      <c r="C263" s="30" t="str">
        <f t="shared" si="12"/>
        <v/>
      </c>
      <c r="D263" s="41" t="str">
        <f t="shared" si="14"/>
        <v/>
      </c>
      <c r="E263" s="16">
        <v>862.84</v>
      </c>
      <c r="F263" s="16">
        <v>112.4</v>
      </c>
      <c r="G263" s="21">
        <v>24.47</v>
      </c>
      <c r="H263" s="28">
        <f t="shared" si="11"/>
        <v>606.28944387507454</v>
      </c>
      <c r="I263" s="14">
        <v>453.47</v>
      </c>
      <c r="J263" s="28">
        <f t="shared" si="13"/>
        <v>842.03855025474809</v>
      </c>
    </row>
    <row r="264" spans="1:19" ht="18" customHeight="1">
      <c r="A264" s="9">
        <v>38047</v>
      </c>
      <c r="B264" s="3">
        <v>1.1100000000000001</v>
      </c>
      <c r="C264" s="30" t="str">
        <f t="shared" si="12"/>
        <v/>
      </c>
      <c r="D264" s="41" t="str">
        <f t="shared" si="14"/>
        <v/>
      </c>
      <c r="E264" s="16">
        <v>880.5</v>
      </c>
      <c r="F264" s="16">
        <v>115.98</v>
      </c>
      <c r="G264" s="21">
        <v>24.66</v>
      </c>
      <c r="H264" s="28">
        <f t="shared" si="11"/>
        <v>625.60008630454752</v>
      </c>
      <c r="I264" s="14">
        <v>434.16</v>
      </c>
      <c r="J264" s="28">
        <f t="shared" si="13"/>
        <v>806.18223251505378</v>
      </c>
      <c r="S264" s="32"/>
    </row>
    <row r="265" spans="1:19" ht="18" customHeight="1">
      <c r="A265" s="9">
        <v>38018</v>
      </c>
      <c r="B265" s="3">
        <v>1.08</v>
      </c>
      <c r="C265" s="30" t="str">
        <f t="shared" si="12"/>
        <v/>
      </c>
      <c r="D265" s="41" t="str">
        <f t="shared" si="14"/>
        <v/>
      </c>
      <c r="E265" s="16">
        <v>883.42</v>
      </c>
      <c r="F265" s="16">
        <v>115.92</v>
      </c>
      <c r="G265" s="21">
        <v>19.95</v>
      </c>
      <c r="H265" s="28">
        <f t="shared" si="11"/>
        <v>625.27644425265692</v>
      </c>
      <c r="I265" s="14">
        <v>428.68</v>
      </c>
      <c r="J265" s="28">
        <f t="shared" si="13"/>
        <v>796.00654006484535</v>
      </c>
      <c r="R265" s="33"/>
      <c r="S265" s="32"/>
    </row>
    <row r="266" spans="1:19" ht="18" customHeight="1">
      <c r="A266" s="9">
        <v>37987</v>
      </c>
      <c r="B266" s="3">
        <v>1.07</v>
      </c>
      <c r="C266" s="30" t="str">
        <f t="shared" si="12"/>
        <v/>
      </c>
      <c r="D266" s="41" t="str">
        <f t="shared" si="14"/>
        <v/>
      </c>
      <c r="E266" s="16">
        <v>848.5</v>
      </c>
      <c r="F266" s="16">
        <v>110.89</v>
      </c>
      <c r="G266" s="21">
        <v>21.23</v>
      </c>
      <c r="H266" s="28">
        <f t="shared" si="11"/>
        <v>598.14445223582754</v>
      </c>
      <c r="I266" s="14">
        <v>441.45</v>
      </c>
      <c r="J266" s="28">
        <f>(I266/I265)*J265</f>
        <v>819.71887447892595</v>
      </c>
      <c r="Q266" s="33"/>
      <c r="R266" s="33"/>
      <c r="S266" s="32"/>
    </row>
    <row r="267" spans="1:19" ht="18" customHeight="1">
      <c r="A267" s="9">
        <v>37956</v>
      </c>
      <c r="B267" s="58">
        <v>1.02</v>
      </c>
      <c r="C267" s="30" t="str">
        <f t="shared" si="12"/>
        <v/>
      </c>
      <c r="D267" s="41" t="str">
        <f t="shared" si="14"/>
        <v/>
      </c>
      <c r="E267" s="17">
        <v>811</v>
      </c>
      <c r="F267" s="27">
        <v>105.21</v>
      </c>
      <c r="G267" s="17">
        <v>22.5</v>
      </c>
      <c r="H267" s="28">
        <f t="shared" si="11"/>
        <v>567.50633799018317</v>
      </c>
      <c r="I267" s="29">
        <f>(E267/E266)*I266</f>
        <v>421.93983500294632</v>
      </c>
      <c r="J267" s="29">
        <f>(H267/H266)*J266</f>
        <v>777.73129032309305</v>
      </c>
      <c r="P267" s="33"/>
      <c r="Q267" s="33"/>
      <c r="R267" s="33"/>
      <c r="S267" s="32"/>
    </row>
    <row r="268" spans="1:19" ht="18" customHeight="1">
      <c r="A268" s="9">
        <v>37926</v>
      </c>
      <c r="B268" s="58">
        <v>1.01</v>
      </c>
      <c r="C268" s="30" t="str">
        <f t="shared" si="12"/>
        <v/>
      </c>
      <c r="D268" s="41" t="str">
        <f t="shared" si="14"/>
        <v/>
      </c>
      <c r="E268" s="17">
        <v>796</v>
      </c>
      <c r="F268" s="27">
        <v>103.61</v>
      </c>
      <c r="G268" s="17">
        <v>25.4</v>
      </c>
      <c r="H268" s="28">
        <f t="shared" si="11"/>
        <v>558.87588327310027</v>
      </c>
      <c r="I268" s="29">
        <f t="shared" ref="I268:I326" si="15">(E268/E267)*I267</f>
        <v>414.13576900412488</v>
      </c>
      <c r="J268" s="29">
        <f t="shared" ref="J268:J326" si="16">(H268/H267)*J267</f>
        <v>765.90380182849231</v>
      </c>
      <c r="O268" s="33"/>
      <c r="P268" s="33"/>
      <c r="Q268" s="33"/>
      <c r="R268" s="33"/>
      <c r="S268" s="32"/>
    </row>
    <row r="269" spans="1:19" ht="18" customHeight="1">
      <c r="A269" s="9">
        <v>37895</v>
      </c>
      <c r="B269" s="59">
        <v>0.99</v>
      </c>
      <c r="C269" s="30" t="str">
        <f t="shared" si="12"/>
        <v>Risk</v>
      </c>
      <c r="D269" s="41" t="str">
        <f t="shared" si="14"/>
        <v/>
      </c>
      <c r="E269" s="18">
        <v>782</v>
      </c>
      <c r="F269" s="27">
        <v>101.44</v>
      </c>
      <c r="G269" s="18">
        <v>28.3</v>
      </c>
      <c r="H269" s="28">
        <f t="shared" si="11"/>
        <v>547.17082906305654</v>
      </c>
      <c r="I269" s="29">
        <f t="shared" si="15"/>
        <v>406.8519740718915</v>
      </c>
      <c r="J269" s="29">
        <f t="shared" si="16"/>
        <v>749.86277055768994</v>
      </c>
      <c r="N269" s="33"/>
      <c r="O269" s="32"/>
      <c r="P269" s="32"/>
      <c r="Q269" s="32"/>
      <c r="R269" s="32"/>
      <c r="S269" s="32"/>
    </row>
    <row r="270" spans="1:19" ht="18" customHeight="1">
      <c r="A270" s="9">
        <v>37865</v>
      </c>
      <c r="B270" s="59">
        <v>0.89</v>
      </c>
      <c r="C270" s="30" t="str">
        <f t="shared" si="12"/>
        <v>Risk</v>
      </c>
      <c r="D270" s="41" t="str">
        <f t="shared" si="14"/>
        <v>Risk</v>
      </c>
      <c r="E270" s="18">
        <v>698</v>
      </c>
      <c r="F270" s="27">
        <v>89.55</v>
      </c>
      <c r="G270" s="18">
        <v>27</v>
      </c>
      <c r="H270" s="28">
        <f t="shared" si="11"/>
        <v>483.03576244673417</v>
      </c>
      <c r="I270" s="29">
        <f t="shared" si="15"/>
        <v>363.14920447849141</v>
      </c>
      <c r="J270" s="29">
        <f t="shared" si="16"/>
        <v>661.96974668218786</v>
      </c>
      <c r="M270" s="33"/>
      <c r="N270" s="33"/>
      <c r="O270" s="32"/>
      <c r="P270" s="32"/>
      <c r="Q270" s="32"/>
      <c r="R270" s="32"/>
      <c r="S270" s="32"/>
    </row>
    <row r="271" spans="1:19" ht="18" customHeight="1">
      <c r="A271" s="9">
        <v>37834</v>
      </c>
      <c r="B271" s="59">
        <v>0.96</v>
      </c>
      <c r="C271" s="30" t="str">
        <f t="shared" si="12"/>
        <v>Risk</v>
      </c>
      <c r="D271" s="41" t="str">
        <f t="shared" si="14"/>
        <v/>
      </c>
      <c r="E271" s="18">
        <v>759</v>
      </c>
      <c r="F271" s="27">
        <v>97.59</v>
      </c>
      <c r="G271" s="18">
        <v>20.8</v>
      </c>
      <c r="H271" s="28">
        <f t="shared" si="11"/>
        <v>526.40379740007586</v>
      </c>
      <c r="I271" s="29">
        <f t="shared" si="15"/>
        <v>394.88573954036531</v>
      </c>
      <c r="J271" s="29">
        <f t="shared" si="16"/>
        <v>721.40287636755693</v>
      </c>
      <c r="L271" s="33"/>
      <c r="M271" s="33"/>
      <c r="N271" s="33"/>
      <c r="O271" s="32"/>
      <c r="P271" s="32"/>
      <c r="Q271" s="32"/>
      <c r="R271" s="32"/>
      <c r="S271" s="32"/>
    </row>
    <row r="272" spans="1:19" ht="18" customHeight="1">
      <c r="A272" s="9">
        <v>37803</v>
      </c>
      <c r="B272" s="59">
        <v>0.9</v>
      </c>
      <c r="C272" s="30" t="str">
        <f t="shared" si="12"/>
        <v>Risk</v>
      </c>
      <c r="D272" s="41" t="str">
        <f t="shared" si="14"/>
        <v>Risk</v>
      </c>
      <c r="E272" s="18">
        <v>714</v>
      </c>
      <c r="F272" s="27">
        <v>91.52</v>
      </c>
      <c r="G272" s="18">
        <v>25.5</v>
      </c>
      <c r="H272" s="28">
        <f>(F272/F271)*H271</f>
        <v>493.66200981714252</v>
      </c>
      <c r="I272" s="29">
        <f t="shared" si="15"/>
        <v>371.47354154390098</v>
      </c>
      <c r="J272" s="29">
        <f t="shared" si="16"/>
        <v>676.53234189116506</v>
      </c>
      <c r="K272" s="33"/>
      <c r="L272" s="33"/>
      <c r="M272" s="33"/>
      <c r="N272" s="33"/>
      <c r="O272" s="32"/>
      <c r="P272" s="32"/>
      <c r="Q272" s="32"/>
      <c r="R272" s="32"/>
      <c r="S272" s="32"/>
    </row>
    <row r="273" spans="1:19" ht="18" customHeight="1">
      <c r="A273" s="9">
        <v>37773</v>
      </c>
      <c r="B273" s="59">
        <v>0.84</v>
      </c>
      <c r="C273" s="30" t="str">
        <f t="shared" si="12"/>
        <v>Risk</v>
      </c>
      <c r="D273" s="41" t="str">
        <f t="shared" si="14"/>
        <v>Risk</v>
      </c>
      <c r="E273" s="18">
        <v>670</v>
      </c>
      <c r="F273" s="27">
        <v>85.47</v>
      </c>
      <c r="G273" s="18">
        <v>28.3</v>
      </c>
      <c r="H273" s="28">
        <f t="shared" ref="H273:H326" si="17">(F273/F272)*H272</f>
        <v>461.02810291817281</v>
      </c>
      <c r="I273" s="29">
        <f t="shared" si="15"/>
        <v>348.58161461402472</v>
      </c>
      <c r="J273" s="29">
        <f t="shared" si="16"/>
        <v>631.80965102095593</v>
      </c>
      <c r="K273" s="33"/>
      <c r="L273" s="33"/>
      <c r="M273" s="33"/>
      <c r="N273" s="33"/>
      <c r="O273" s="32"/>
      <c r="P273" s="32"/>
      <c r="Q273" s="32"/>
      <c r="R273" s="32"/>
      <c r="S273" s="32"/>
    </row>
    <row r="274" spans="1:19" ht="18" customHeight="1">
      <c r="A274" s="9">
        <v>37742</v>
      </c>
      <c r="B274" s="59">
        <v>0.79</v>
      </c>
      <c r="C274" s="30" t="str">
        <f t="shared" si="12"/>
        <v>Risk</v>
      </c>
      <c r="D274" s="41" t="str">
        <f t="shared" si="14"/>
        <v>Risk</v>
      </c>
      <c r="E274" s="18">
        <v>633</v>
      </c>
      <c r="F274" s="27">
        <v>80.53</v>
      </c>
      <c r="G274" s="18">
        <v>32.4</v>
      </c>
      <c r="H274" s="28">
        <f t="shared" si="17"/>
        <v>434.38157397917934</v>
      </c>
      <c r="I274" s="29">
        <f t="shared" si="15"/>
        <v>329.33158515026514</v>
      </c>
      <c r="J274" s="29">
        <f t="shared" si="16"/>
        <v>595.29228029387593</v>
      </c>
      <c r="K274" s="33"/>
      <c r="L274" s="33"/>
      <c r="M274" s="33"/>
      <c r="N274" s="33"/>
      <c r="O274" s="32"/>
      <c r="P274" s="32"/>
      <c r="Q274" s="32"/>
      <c r="R274" s="32"/>
      <c r="S274" s="32"/>
    </row>
    <row r="275" spans="1:19" ht="18" customHeight="1">
      <c r="A275" s="9">
        <v>37712</v>
      </c>
      <c r="B275" s="58">
        <v>0.76</v>
      </c>
      <c r="C275" s="30" t="str">
        <f t="shared" si="12"/>
        <v>Risk</v>
      </c>
      <c r="D275" s="41" t="str">
        <f t="shared" si="14"/>
        <v>Risk</v>
      </c>
      <c r="E275" s="17">
        <v>599</v>
      </c>
      <c r="F275" s="27">
        <v>76.45</v>
      </c>
      <c r="G275" s="17">
        <v>34.5</v>
      </c>
      <c r="H275" s="28">
        <f t="shared" si="17"/>
        <v>412.37391445061792</v>
      </c>
      <c r="I275" s="29">
        <f t="shared" si="15"/>
        <v>311.64236888626982</v>
      </c>
      <c r="J275" s="29">
        <f t="shared" si="16"/>
        <v>565.13218463264388</v>
      </c>
      <c r="K275" s="33"/>
      <c r="L275" s="33"/>
      <c r="M275" s="33"/>
      <c r="N275" s="33"/>
      <c r="O275" s="32"/>
      <c r="P275" s="32"/>
      <c r="Q275" s="32"/>
      <c r="R275" s="32"/>
      <c r="S275" s="32"/>
    </row>
    <row r="276" spans="1:19" ht="18" customHeight="1">
      <c r="A276" s="9">
        <v>37681</v>
      </c>
      <c r="B276" s="58">
        <v>0.89</v>
      </c>
      <c r="C276" s="30" t="str">
        <f t="shared" si="12"/>
        <v>Risk</v>
      </c>
      <c r="D276" s="41" t="str">
        <f t="shared" si="14"/>
        <v>Risk</v>
      </c>
      <c r="E276" s="17">
        <v>536</v>
      </c>
      <c r="F276" s="27">
        <v>68.05</v>
      </c>
      <c r="G276" s="17">
        <v>41</v>
      </c>
      <c r="H276" s="28">
        <f t="shared" si="17"/>
        <v>367.06402718593262</v>
      </c>
      <c r="I276" s="29">
        <f t="shared" si="15"/>
        <v>278.86529169121974</v>
      </c>
      <c r="J276" s="29">
        <f t="shared" si="16"/>
        <v>503.03787003598973</v>
      </c>
      <c r="K276" s="35">
        <f>1+(($H272/$H276)-1)*2</f>
        <v>1.6897869213813368</v>
      </c>
      <c r="L276" s="35">
        <f>1+(($H271/$H276)-1)*2</f>
        <v>1.8681851579720794</v>
      </c>
      <c r="M276" s="35">
        <f>1+(($H270/$H276)-1)*2</f>
        <v>1.631888317413666</v>
      </c>
      <c r="N276" s="35">
        <f>1+(($H269/$H276)-1)*2</f>
        <v>1.9813372520205728</v>
      </c>
      <c r="O276" s="35">
        <f>1+(($H268/$H276)-1)*2</f>
        <v>2.0451138868479055</v>
      </c>
      <c r="P276" s="35">
        <f>1+(($H267/$H276)-1)*2</f>
        <v>2.0921381337252014</v>
      </c>
      <c r="Q276" s="35">
        <f>1+(($H266/$H276)-1)*2</f>
        <v>2.2590742101396031</v>
      </c>
      <c r="R276" s="35">
        <f>1+(($H265/$H276)-1)*2</f>
        <v>2.4069066862601023</v>
      </c>
      <c r="S276" s="35">
        <f>1+(($H264/$H276)-1)*2</f>
        <v>2.4086700955180009</v>
      </c>
    </row>
    <row r="277" spans="1:19" ht="18" customHeight="1">
      <c r="A277" s="9">
        <v>37653</v>
      </c>
      <c r="B277" s="58">
        <v>0.96</v>
      </c>
      <c r="C277" s="30" t="str">
        <f t="shared" si="12"/>
        <v>Risk</v>
      </c>
      <c r="D277" s="41" t="str">
        <f t="shared" si="14"/>
        <v/>
      </c>
      <c r="E277" s="17">
        <v>575</v>
      </c>
      <c r="F277" s="27">
        <v>72.849999999999994</v>
      </c>
      <c r="G277" s="17">
        <v>35.5</v>
      </c>
      <c r="H277" s="28">
        <f t="shared" si="17"/>
        <v>392.95539133718131</v>
      </c>
      <c r="I277" s="29">
        <f t="shared" si="15"/>
        <v>299.1558632881555</v>
      </c>
      <c r="J277" s="29">
        <f t="shared" si="16"/>
        <v>538.52033551979207</v>
      </c>
      <c r="K277" s="33"/>
      <c r="L277" s="33"/>
      <c r="M277" s="33"/>
      <c r="N277" s="33"/>
      <c r="O277" s="32"/>
      <c r="P277" s="32"/>
      <c r="Q277" s="32"/>
      <c r="R277" s="32"/>
      <c r="S277" s="32"/>
    </row>
    <row r="278" spans="1:19" ht="18" customHeight="1">
      <c r="A278" s="9">
        <v>37622</v>
      </c>
      <c r="B278" s="58">
        <v>0.98</v>
      </c>
      <c r="C278" s="30" t="str">
        <f t="shared" si="12"/>
        <v>Risk</v>
      </c>
      <c r="D278" s="41" t="str">
        <f t="shared" si="14"/>
        <v/>
      </c>
      <c r="E278" s="17">
        <v>592</v>
      </c>
      <c r="F278" s="27">
        <v>75.22</v>
      </c>
      <c r="G278" s="17">
        <v>35.9</v>
      </c>
      <c r="H278" s="28">
        <f t="shared" si="17"/>
        <v>405.73925238686036</v>
      </c>
      <c r="I278" s="29">
        <f t="shared" si="15"/>
        <v>308.00047142015313</v>
      </c>
      <c r="J278" s="29">
        <f t="shared" si="16"/>
        <v>556.03980285241948</v>
      </c>
      <c r="K278" s="34">
        <f>$H276/$H278</f>
        <v>0.90467960648763635</v>
      </c>
      <c r="L278" s="34">
        <f t="shared" ref="L278:S278" si="18">$H276/$H278</f>
        <v>0.90467960648763635</v>
      </c>
      <c r="M278" s="34">
        <f t="shared" si="18"/>
        <v>0.90467960648763635</v>
      </c>
      <c r="N278" s="34">
        <f t="shared" si="18"/>
        <v>0.90467960648763635</v>
      </c>
      <c r="O278" s="34">
        <f t="shared" si="18"/>
        <v>0.90467960648763635</v>
      </c>
      <c r="P278" s="34">
        <f t="shared" si="18"/>
        <v>0.90467960648763635</v>
      </c>
      <c r="Q278" s="34">
        <f t="shared" si="18"/>
        <v>0.90467960648763635</v>
      </c>
      <c r="R278" s="34">
        <f t="shared" si="18"/>
        <v>0.90467960648763635</v>
      </c>
      <c r="S278" s="34">
        <f t="shared" si="18"/>
        <v>0.90467960648763635</v>
      </c>
    </row>
    <row r="279" spans="1:19" ht="18" customHeight="1">
      <c r="A279" s="9">
        <v>37591</v>
      </c>
      <c r="B279" s="58">
        <v>1.05</v>
      </c>
      <c r="C279" s="30" t="str">
        <f t="shared" si="12"/>
        <v/>
      </c>
      <c r="D279" s="41" t="str">
        <f t="shared" si="14"/>
        <v/>
      </c>
      <c r="E279" s="17">
        <v>628</v>
      </c>
      <c r="F279" s="27">
        <v>79.87</v>
      </c>
      <c r="G279" s="17">
        <v>35.6</v>
      </c>
      <c r="H279" s="28">
        <f t="shared" si="17"/>
        <v>430.82151140838261</v>
      </c>
      <c r="I279" s="29">
        <f t="shared" si="15"/>
        <v>326.73022981732458</v>
      </c>
      <c r="J279" s="29">
        <f t="shared" si="16"/>
        <v>590.41344128985304</v>
      </c>
    </row>
    <row r="280" spans="1:19" ht="18" customHeight="1">
      <c r="A280" s="9">
        <v>37561</v>
      </c>
      <c r="B280" s="58">
        <v>1.19</v>
      </c>
      <c r="C280" s="30" t="str">
        <f t="shared" si="12"/>
        <v/>
      </c>
      <c r="D280" s="41" t="str">
        <f t="shared" si="14"/>
        <v/>
      </c>
      <c r="E280" s="17">
        <v>725</v>
      </c>
      <c r="F280" s="27">
        <v>92.05</v>
      </c>
      <c r="G280" s="17">
        <v>40.9</v>
      </c>
      <c r="H280" s="28">
        <f t="shared" si="17"/>
        <v>496.5208479421762</v>
      </c>
      <c r="I280" s="29">
        <f t="shared" si="15"/>
        <v>377.19652327636993</v>
      </c>
      <c r="J280" s="29">
        <f t="shared" si="16"/>
        <v>680.45019745500144</v>
      </c>
    </row>
    <row r="281" spans="1:19" ht="18" customHeight="1">
      <c r="A281" s="9">
        <v>37530</v>
      </c>
      <c r="B281" s="58">
        <v>1.08</v>
      </c>
      <c r="C281" s="30" t="str">
        <f t="shared" si="12"/>
        <v/>
      </c>
      <c r="D281" s="41" t="str">
        <f t="shared" si="14"/>
        <v/>
      </c>
      <c r="E281" s="17">
        <v>659</v>
      </c>
      <c r="F281" s="27">
        <v>83.1</v>
      </c>
      <c r="G281" s="17">
        <v>40.9</v>
      </c>
      <c r="H281" s="28">
        <f t="shared" si="17"/>
        <v>448.2442418684937</v>
      </c>
      <c r="I281" s="29">
        <f t="shared" si="15"/>
        <v>342.85863288155554</v>
      </c>
      <c r="J281" s="29">
        <f t="shared" si="16"/>
        <v>614.29018368832828</v>
      </c>
    </row>
    <row r="282" spans="1:19" ht="18" customHeight="1">
      <c r="A282" s="9">
        <v>37500</v>
      </c>
      <c r="B282" s="58">
        <v>1.06</v>
      </c>
      <c r="C282" s="30" t="str">
        <f t="shared" si="12"/>
        <v/>
      </c>
      <c r="D282" s="41" t="str">
        <f t="shared" si="14"/>
        <v/>
      </c>
      <c r="E282" s="17">
        <v>646</v>
      </c>
      <c r="F282" s="27">
        <v>81.37</v>
      </c>
      <c r="G282" s="22">
        <v>40</v>
      </c>
      <c r="H282" s="28">
        <f t="shared" si="17"/>
        <v>438.91256270564787</v>
      </c>
      <c r="I282" s="29">
        <f t="shared" si="15"/>
        <v>336.09510901591028</v>
      </c>
      <c r="J282" s="29">
        <f t="shared" si="16"/>
        <v>601.50171175354126</v>
      </c>
      <c r="R282" s="32"/>
    </row>
    <row r="283" spans="1:19" ht="18" customHeight="1">
      <c r="A283" s="9">
        <v>37469</v>
      </c>
      <c r="B283" s="58">
        <v>1.2</v>
      </c>
      <c r="C283" s="30" t="str">
        <f t="shared" si="12"/>
        <v/>
      </c>
      <c r="D283" s="41" t="str">
        <f t="shared" si="14"/>
        <v/>
      </c>
      <c r="E283" s="17">
        <v>736</v>
      </c>
      <c r="F283" s="27">
        <v>92.55</v>
      </c>
      <c r="G283" s="22">
        <v>40</v>
      </c>
      <c r="H283" s="28">
        <f t="shared" si="17"/>
        <v>499.2178650412647</v>
      </c>
      <c r="I283" s="29">
        <f t="shared" si="15"/>
        <v>382.919505008839</v>
      </c>
      <c r="J283" s="29">
        <f t="shared" si="16"/>
        <v>684.1462876095643</v>
      </c>
      <c r="R283" s="32"/>
    </row>
    <row r="284" spans="1:19" ht="18" customHeight="1">
      <c r="A284" s="9">
        <v>37438</v>
      </c>
      <c r="B284" s="58">
        <v>1.1599999999999999</v>
      </c>
      <c r="C284" s="30" t="str">
        <f t="shared" si="12"/>
        <v/>
      </c>
      <c r="D284" s="41" t="str">
        <f t="shared" si="14"/>
        <v/>
      </c>
      <c r="E284" s="17">
        <v>718</v>
      </c>
      <c r="F284" s="27">
        <v>90.16</v>
      </c>
      <c r="G284" s="22">
        <v>35</v>
      </c>
      <c r="H284" s="28">
        <f t="shared" si="17"/>
        <v>486.32612330762208</v>
      </c>
      <c r="I284" s="29">
        <f t="shared" si="15"/>
        <v>373.55462581025324</v>
      </c>
      <c r="J284" s="29">
        <f t="shared" si="16"/>
        <v>666.47897667075438</v>
      </c>
      <c r="Q284" s="33"/>
      <c r="R284" s="32"/>
    </row>
    <row r="285" spans="1:19" ht="18" customHeight="1">
      <c r="A285" s="9">
        <v>37408</v>
      </c>
      <c r="B285" s="58">
        <v>1.21</v>
      </c>
      <c r="C285" s="30" t="str">
        <f t="shared" si="12"/>
        <v/>
      </c>
      <c r="D285" s="41" t="str">
        <f t="shared" si="14"/>
        <v/>
      </c>
      <c r="E285" s="17">
        <v>743</v>
      </c>
      <c r="F285" s="27">
        <v>93.69</v>
      </c>
      <c r="G285" s="22">
        <v>40</v>
      </c>
      <c r="H285" s="28">
        <f t="shared" si="17"/>
        <v>505.36706402718625</v>
      </c>
      <c r="I285" s="29">
        <f t="shared" si="15"/>
        <v>386.56140247495563</v>
      </c>
      <c r="J285" s="29">
        <f t="shared" si="16"/>
        <v>692.57337316196742</v>
      </c>
      <c r="Q285" s="33"/>
      <c r="R285" s="32"/>
    </row>
    <row r="286" spans="1:19" ht="18" customHeight="1">
      <c r="A286" s="9">
        <v>37377</v>
      </c>
      <c r="B286" s="58">
        <v>1.34</v>
      </c>
      <c r="C286" s="30" t="str">
        <f t="shared" si="12"/>
        <v/>
      </c>
      <c r="D286" s="41" t="str">
        <f t="shared" si="14"/>
        <v/>
      </c>
      <c r="E286" s="17">
        <v>796</v>
      </c>
      <c r="F286" s="27">
        <v>100.8</v>
      </c>
      <c r="G286" s="22">
        <v>35</v>
      </c>
      <c r="H286" s="28">
        <f t="shared" si="17"/>
        <v>543.71864717622339</v>
      </c>
      <c r="I286" s="29">
        <f t="shared" si="15"/>
        <v>414.13576900412471</v>
      </c>
      <c r="J286" s="29">
        <f t="shared" si="16"/>
        <v>745.13177515984967</v>
      </c>
      <c r="P286" s="33"/>
      <c r="Q286" s="33"/>
      <c r="R286" s="32"/>
    </row>
    <row r="287" spans="1:19" ht="18" customHeight="1">
      <c r="A287" s="9">
        <v>37347</v>
      </c>
      <c r="B287" s="58">
        <v>1.4</v>
      </c>
      <c r="C287" s="30" t="str">
        <f t="shared" si="12"/>
        <v/>
      </c>
      <c r="D287" s="41" t="str">
        <f t="shared" si="14"/>
        <v/>
      </c>
      <c r="E287" s="17">
        <v>842</v>
      </c>
      <c r="F287" s="27">
        <v>106.39</v>
      </c>
      <c r="G287" s="22">
        <v>32</v>
      </c>
      <c r="H287" s="28">
        <f t="shared" si="17"/>
        <v>573.87129834403186</v>
      </c>
      <c r="I287" s="29">
        <f t="shared" si="15"/>
        <v>438.06823806717716</v>
      </c>
      <c r="J287" s="29">
        <f t="shared" si="16"/>
        <v>786.4540630878613</v>
      </c>
      <c r="P287" s="33"/>
      <c r="Q287" s="33"/>
      <c r="R287" s="32"/>
    </row>
    <row r="288" spans="1:19" ht="18" customHeight="1">
      <c r="A288" s="9">
        <v>37316</v>
      </c>
      <c r="B288" s="59">
        <v>1.49</v>
      </c>
      <c r="C288" s="30" t="str">
        <f t="shared" si="12"/>
        <v/>
      </c>
      <c r="D288" s="41" t="str">
        <f t="shared" si="14"/>
        <v/>
      </c>
      <c r="E288" s="18">
        <v>896</v>
      </c>
      <c r="F288" s="27">
        <v>111.84</v>
      </c>
      <c r="G288" s="23">
        <v>15</v>
      </c>
      <c r="H288" s="28">
        <f t="shared" si="17"/>
        <v>603.26878472409555</v>
      </c>
      <c r="I288" s="29">
        <f t="shared" si="15"/>
        <v>466.16287566293437</v>
      </c>
      <c r="J288" s="29">
        <f t="shared" si="16"/>
        <v>826.74144577259528</v>
      </c>
      <c r="O288" s="33"/>
      <c r="P288" s="33"/>
      <c r="Q288" s="33"/>
      <c r="R288" s="32"/>
    </row>
    <row r="289" spans="1:21" ht="18" customHeight="1">
      <c r="A289" s="9">
        <v>37288</v>
      </c>
      <c r="B289" s="59">
        <v>1.363</v>
      </c>
      <c r="C289" s="30" t="str">
        <f t="shared" si="12"/>
        <v/>
      </c>
      <c r="D289" s="41" t="str">
        <f t="shared" si="14"/>
        <v/>
      </c>
      <c r="E289" s="18">
        <v>820</v>
      </c>
      <c r="F289" s="27">
        <v>102.62</v>
      </c>
      <c r="G289" s="23">
        <v>15</v>
      </c>
      <c r="H289" s="28">
        <f t="shared" si="17"/>
        <v>553.53578941690523</v>
      </c>
      <c r="I289" s="29">
        <f t="shared" si="15"/>
        <v>426.62227460223903</v>
      </c>
      <c r="J289" s="29">
        <f t="shared" si="16"/>
        <v>758.58554332245808</v>
      </c>
      <c r="N289" s="33"/>
      <c r="O289" s="33"/>
      <c r="P289" s="33"/>
      <c r="Q289" s="33"/>
      <c r="R289" s="32"/>
    </row>
    <row r="290" spans="1:21" ht="18" customHeight="1">
      <c r="A290" s="9">
        <v>37257</v>
      </c>
      <c r="B290" s="59">
        <v>1.244</v>
      </c>
      <c r="C290" s="30" t="str">
        <f t="shared" si="12"/>
        <v/>
      </c>
      <c r="D290" s="41" t="str">
        <f t="shared" si="14"/>
        <v/>
      </c>
      <c r="E290" s="18">
        <v>748</v>
      </c>
      <c r="F290" s="27">
        <v>92.99</v>
      </c>
      <c r="G290" s="23">
        <v>15</v>
      </c>
      <c r="H290" s="28">
        <f t="shared" si="17"/>
        <v>501.59124008846243</v>
      </c>
      <c r="I290" s="29">
        <f t="shared" si="15"/>
        <v>389.16275780789613</v>
      </c>
      <c r="J290" s="29">
        <f t="shared" si="16"/>
        <v>687.39884694557952</v>
      </c>
      <c r="M290" s="33"/>
      <c r="N290" s="33"/>
      <c r="O290" s="33"/>
      <c r="P290" s="33"/>
      <c r="Q290" s="33"/>
      <c r="R290" s="32"/>
    </row>
    <row r="291" spans="1:21" ht="18" customHeight="1">
      <c r="A291" s="9">
        <v>37226</v>
      </c>
      <c r="B291" s="59">
        <v>1.1539999999999999</v>
      </c>
      <c r="C291" s="30" t="str">
        <f t="shared" si="12"/>
        <v/>
      </c>
      <c r="D291" s="41" t="str">
        <f t="shared" si="14"/>
        <v/>
      </c>
      <c r="E291" s="18">
        <v>694</v>
      </c>
      <c r="F291" s="27">
        <v>86.97</v>
      </c>
      <c r="G291" s="23">
        <v>15</v>
      </c>
      <c r="H291" s="28">
        <f t="shared" si="17"/>
        <v>469.11915421543796</v>
      </c>
      <c r="I291" s="29">
        <f t="shared" si="15"/>
        <v>361.06812021213892</v>
      </c>
      <c r="J291" s="29">
        <f t="shared" si="16"/>
        <v>642.89792148464403</v>
      </c>
      <c r="K291" s="33"/>
      <c r="L291" s="33"/>
      <c r="M291" s="33"/>
      <c r="N291" s="33"/>
      <c r="O291" s="33"/>
      <c r="P291" s="33"/>
      <c r="Q291" s="33"/>
      <c r="R291" s="32"/>
    </row>
    <row r="292" spans="1:21" ht="18" customHeight="1">
      <c r="A292" s="9">
        <v>37196</v>
      </c>
      <c r="B292" s="59">
        <v>1.071</v>
      </c>
      <c r="C292" s="30" t="str">
        <f t="shared" si="12"/>
        <v/>
      </c>
      <c r="D292" s="41" t="str">
        <f t="shared" si="14"/>
        <v/>
      </c>
      <c r="E292" s="18">
        <v>644</v>
      </c>
      <c r="F292" s="27">
        <v>80.03</v>
      </c>
      <c r="G292" s="23">
        <v>15</v>
      </c>
      <c r="H292" s="28">
        <f t="shared" si="17"/>
        <v>431.68455688009089</v>
      </c>
      <c r="I292" s="29">
        <f t="shared" si="15"/>
        <v>335.05456688273409</v>
      </c>
      <c r="J292" s="29">
        <f t="shared" si="16"/>
        <v>591.59619013931319</v>
      </c>
      <c r="K292" s="33"/>
      <c r="L292" s="33"/>
      <c r="M292" s="33"/>
      <c r="N292" s="33"/>
      <c r="O292" s="33"/>
      <c r="P292" s="33"/>
      <c r="Q292" s="33"/>
      <c r="R292" s="32"/>
    </row>
    <row r="293" spans="1:21" ht="18" customHeight="1">
      <c r="A293" s="9">
        <v>37165</v>
      </c>
      <c r="B293" s="59">
        <v>0.89500000000000002</v>
      </c>
      <c r="C293" s="30" t="str">
        <f t="shared" si="12"/>
        <v>Risk</v>
      </c>
      <c r="D293" s="41" t="str">
        <f t="shared" si="14"/>
        <v>Risk</v>
      </c>
      <c r="E293" s="18">
        <v>538</v>
      </c>
      <c r="F293" s="27">
        <v>66.44</v>
      </c>
      <c r="G293" s="23">
        <v>15</v>
      </c>
      <c r="H293" s="28">
        <f t="shared" si="17"/>
        <v>358.37963212686788</v>
      </c>
      <c r="I293" s="29">
        <f t="shared" si="15"/>
        <v>279.90583382439587</v>
      </c>
      <c r="J293" s="29">
        <f t="shared" si="16"/>
        <v>491.13645973829773</v>
      </c>
      <c r="K293" s="33"/>
      <c r="L293" s="33"/>
      <c r="M293" s="33"/>
      <c r="N293" s="33"/>
      <c r="O293" s="33"/>
      <c r="P293" s="33"/>
      <c r="Q293" s="33"/>
      <c r="R293" s="35">
        <f>1+(($H282/$H293)-1)*2</f>
        <v>1.4494280553883208</v>
      </c>
      <c r="S293" s="32"/>
    </row>
    <row r="294" spans="1:21" ht="18" customHeight="1">
      <c r="A294" s="9">
        <v>37135</v>
      </c>
      <c r="B294" s="58">
        <v>0.79800000000000004</v>
      </c>
      <c r="C294" s="30" t="str">
        <f t="shared" si="12"/>
        <v>Risk</v>
      </c>
      <c r="D294" s="41" t="str">
        <f t="shared" si="14"/>
        <v>Risk</v>
      </c>
      <c r="E294" s="17">
        <v>480</v>
      </c>
      <c r="F294" s="27">
        <v>58.91</v>
      </c>
      <c r="G294" s="22">
        <v>35</v>
      </c>
      <c r="H294" s="28">
        <f t="shared" si="17"/>
        <v>317.76255461459641</v>
      </c>
      <c r="I294" s="29">
        <f t="shared" si="15"/>
        <v>249.73011196228629</v>
      </c>
      <c r="J294" s="29">
        <f t="shared" si="16"/>
        <v>435.47334201058277</v>
      </c>
      <c r="K294" s="33"/>
      <c r="L294" s="33"/>
      <c r="M294" s="33"/>
      <c r="N294" s="33"/>
      <c r="O294" s="33"/>
      <c r="P294" s="33"/>
      <c r="Q294" s="35">
        <f>1+(($H284/$H294)-1)*2</f>
        <v>2.0609404175861488</v>
      </c>
      <c r="R294" s="33"/>
      <c r="S294" s="32"/>
    </row>
    <row r="295" spans="1:21" ht="18" customHeight="1">
      <c r="A295" s="9">
        <v>37104</v>
      </c>
      <c r="B295" s="58">
        <v>0.90600000000000003</v>
      </c>
      <c r="C295" s="30" t="str">
        <f t="shared" si="12"/>
        <v>Risk</v>
      </c>
      <c r="D295" s="41" t="str">
        <f t="shared" si="14"/>
        <v>Risk</v>
      </c>
      <c r="E295" s="17">
        <v>545</v>
      </c>
      <c r="F295" s="27">
        <v>67.42</v>
      </c>
      <c r="G295" s="22">
        <v>35</v>
      </c>
      <c r="H295" s="28">
        <f t="shared" si="17"/>
        <v>363.66578564108119</v>
      </c>
      <c r="I295" s="29">
        <f t="shared" si="15"/>
        <v>283.54773129051256</v>
      </c>
      <c r="J295" s="29">
        <f t="shared" si="16"/>
        <v>498.38079644124082</v>
      </c>
      <c r="K295" s="35">
        <f>1+(($H291/$H295)-1)*2</f>
        <v>1.5799466033817855</v>
      </c>
      <c r="L295" s="32"/>
      <c r="M295" s="33"/>
      <c r="N295" s="33"/>
      <c r="O295" s="33"/>
      <c r="P295" s="35">
        <f>1+(($H286/$H295)-1)*2</f>
        <v>1.990210619994067</v>
      </c>
      <c r="Q295" s="33"/>
      <c r="R295" s="33"/>
      <c r="S295" s="32"/>
    </row>
    <row r="296" spans="1:21" ht="18" customHeight="1">
      <c r="A296" s="9">
        <v>37073</v>
      </c>
      <c r="B296" s="58">
        <v>0.90100000000000002</v>
      </c>
      <c r="C296" s="30" t="str">
        <f t="shared" si="12"/>
        <v>Risk</v>
      </c>
      <c r="D296" s="41" t="str">
        <f t="shared" si="14"/>
        <v>Risk</v>
      </c>
      <c r="E296" s="17">
        <v>542</v>
      </c>
      <c r="F296" s="27">
        <v>66.98</v>
      </c>
      <c r="G296" s="22">
        <v>35</v>
      </c>
      <c r="H296" s="28">
        <f t="shared" si="17"/>
        <v>361.2924105938834</v>
      </c>
      <c r="I296" s="29">
        <f t="shared" si="15"/>
        <v>281.9869180907483</v>
      </c>
      <c r="J296" s="29">
        <f t="shared" si="16"/>
        <v>495.12823710522559</v>
      </c>
      <c r="K296" s="32"/>
      <c r="L296" s="35">
        <f>1+(($H291/$H296)-1)*2</f>
        <v>1.5968945954016118</v>
      </c>
      <c r="M296" s="35">
        <f>1+(($H290/$H296)-1)*2</f>
        <v>1.7766497461928932</v>
      </c>
      <c r="N296" s="35">
        <f>1+(($H289/$H296)-1)*2</f>
        <v>2.0641982681397431</v>
      </c>
      <c r="O296" s="35">
        <f>1+(($H288/$H296)-1)*2</f>
        <v>2.3395043296506421</v>
      </c>
      <c r="P296" s="33"/>
      <c r="Q296" s="33"/>
      <c r="R296" s="32"/>
      <c r="S296" s="32"/>
    </row>
    <row r="297" spans="1:21" ht="18" customHeight="1">
      <c r="A297" s="9">
        <v>37043</v>
      </c>
      <c r="B297" s="58">
        <v>0.98899999999999999</v>
      </c>
      <c r="C297" s="30" t="str">
        <f t="shared" si="12"/>
        <v>Risk</v>
      </c>
      <c r="D297" s="41" t="str">
        <f t="shared" si="14"/>
        <v/>
      </c>
      <c r="E297" s="17">
        <v>595</v>
      </c>
      <c r="F297" s="27">
        <v>73.2</v>
      </c>
      <c r="G297" s="22">
        <v>25</v>
      </c>
      <c r="H297" s="28">
        <f t="shared" si="17"/>
        <v>394.84330330654319</v>
      </c>
      <c r="I297" s="29">
        <f t="shared" si="15"/>
        <v>309.56128461991739</v>
      </c>
      <c r="J297" s="29">
        <f t="shared" si="16"/>
        <v>541.10759862798614</v>
      </c>
      <c r="K297" s="32"/>
      <c r="L297" s="32"/>
      <c r="M297" s="34">
        <f>$H296/$H297</f>
        <v>0.91502732240437168</v>
      </c>
      <c r="N297" s="34">
        <f>$H296/$H297</f>
        <v>0.91502732240437168</v>
      </c>
      <c r="O297" s="33"/>
      <c r="P297" s="33"/>
      <c r="Q297" s="33"/>
      <c r="R297" s="32"/>
      <c r="S297" s="32"/>
    </row>
    <row r="298" spans="1:21" ht="18" customHeight="1">
      <c r="A298" s="9">
        <v>37012</v>
      </c>
      <c r="B298" s="57">
        <v>1.018</v>
      </c>
      <c r="C298" s="30" t="str">
        <f t="shared" si="12"/>
        <v/>
      </c>
      <c r="D298" s="41" t="str">
        <f t="shared" si="14"/>
        <v/>
      </c>
      <c r="E298" s="19">
        <v>612</v>
      </c>
      <c r="F298" s="27">
        <v>76.09</v>
      </c>
      <c r="G298" s="24">
        <v>20</v>
      </c>
      <c r="H298" s="28">
        <f t="shared" si="17"/>
        <v>410.43206213927419</v>
      </c>
      <c r="I298" s="29">
        <f t="shared" si="15"/>
        <v>318.40589275191502</v>
      </c>
      <c r="J298" s="29">
        <f t="shared" si="16"/>
        <v>562.47099972135879</v>
      </c>
      <c r="K298" s="32"/>
      <c r="L298" s="32"/>
      <c r="N298" s="33"/>
      <c r="O298" s="33"/>
      <c r="P298" s="33"/>
      <c r="Q298" s="33"/>
      <c r="R298" s="32"/>
      <c r="S298" s="32"/>
    </row>
    <row r="299" spans="1:21" ht="18" customHeight="1">
      <c r="A299" s="9">
        <v>36982</v>
      </c>
      <c r="B299" s="57">
        <v>0.95899999999999996</v>
      </c>
      <c r="C299" s="30" t="str">
        <f t="shared" si="12"/>
        <v>Risk</v>
      </c>
      <c r="D299" s="41" t="str">
        <f t="shared" si="14"/>
        <v/>
      </c>
      <c r="E299" s="19">
        <v>577</v>
      </c>
      <c r="F299" s="27">
        <v>72.45</v>
      </c>
      <c r="G299" s="24">
        <v>20</v>
      </c>
      <c r="H299" s="28">
        <f t="shared" si="17"/>
        <v>390.79777765791056</v>
      </c>
      <c r="I299" s="29">
        <f t="shared" si="15"/>
        <v>300.19640542133163</v>
      </c>
      <c r="J299" s="29">
        <f t="shared" si="16"/>
        <v>535.56346339614197</v>
      </c>
      <c r="K299" s="32"/>
      <c r="L299" s="34">
        <f>$H296/$H299</f>
        <v>0.92449965493443764</v>
      </c>
      <c r="M299" s="33"/>
      <c r="N299" s="33"/>
      <c r="O299" s="33"/>
      <c r="P299" s="33"/>
      <c r="Q299" s="33"/>
      <c r="R299" s="32"/>
      <c r="S299" s="32"/>
    </row>
    <row r="300" spans="1:21" ht="18" customHeight="1">
      <c r="A300" s="9">
        <v>36951</v>
      </c>
      <c r="B300" s="57">
        <v>0.87</v>
      </c>
      <c r="C300" s="30" t="str">
        <f t="shared" si="12"/>
        <v>Risk</v>
      </c>
      <c r="D300" s="41" t="str">
        <f t="shared" si="14"/>
        <v>Risk</v>
      </c>
      <c r="E300" s="19">
        <v>523</v>
      </c>
      <c r="F300" s="27">
        <v>65.16</v>
      </c>
      <c r="G300" s="24">
        <v>20</v>
      </c>
      <c r="H300" s="28">
        <f t="shared" si="17"/>
        <v>351.4752683532015</v>
      </c>
      <c r="I300" s="29">
        <f t="shared" si="15"/>
        <v>272.10176782557443</v>
      </c>
      <c r="J300" s="29">
        <f t="shared" si="16"/>
        <v>481.67446894261707</v>
      </c>
      <c r="K300" s="35">
        <f>1+(($H296/$H300)-1)*2</f>
        <v>1.0558624923265811</v>
      </c>
      <c r="L300" s="33"/>
      <c r="M300" s="33"/>
      <c r="N300" s="33"/>
      <c r="O300" s="33"/>
      <c r="P300" s="33"/>
      <c r="Q300" s="33"/>
      <c r="R300" s="33"/>
      <c r="S300" s="32"/>
    </row>
    <row r="301" spans="1:21" ht="18" customHeight="1">
      <c r="A301" s="9">
        <v>36923</v>
      </c>
      <c r="B301" s="57">
        <v>0.96099999999999997</v>
      </c>
      <c r="C301" s="30" t="str">
        <f t="shared" si="12"/>
        <v>Risk</v>
      </c>
      <c r="D301" s="41" t="str">
        <f t="shared" si="14"/>
        <v/>
      </c>
      <c r="E301" s="19">
        <v>578</v>
      </c>
      <c r="F301" s="27">
        <v>72.14</v>
      </c>
      <c r="G301" s="24">
        <v>20</v>
      </c>
      <c r="H301" s="28">
        <f t="shared" si="17"/>
        <v>389.12562705647571</v>
      </c>
      <c r="I301" s="29">
        <f t="shared" si="15"/>
        <v>300.7166764879197</v>
      </c>
      <c r="J301" s="29">
        <f t="shared" si="16"/>
        <v>533.27188750031303</v>
      </c>
      <c r="K301" s="33"/>
      <c r="L301" s="33"/>
      <c r="M301" s="33"/>
      <c r="N301" s="33"/>
      <c r="O301" s="33"/>
      <c r="P301" s="33"/>
      <c r="Q301" s="33"/>
      <c r="R301" s="32"/>
      <c r="S301" s="32"/>
    </row>
    <row r="302" spans="1:21" ht="18" customHeight="1">
      <c r="A302" s="9">
        <v>36892</v>
      </c>
      <c r="B302" s="57">
        <v>1.028</v>
      </c>
      <c r="C302" s="30" t="str">
        <f t="shared" si="12"/>
        <v/>
      </c>
      <c r="D302" s="41" t="str">
        <f t="shared" si="14"/>
        <v/>
      </c>
      <c r="E302" s="19">
        <v>618</v>
      </c>
      <c r="F302" s="27">
        <v>77.98</v>
      </c>
      <c r="G302" s="24">
        <v>20</v>
      </c>
      <c r="H302" s="28">
        <f t="shared" si="17"/>
        <v>420.62678677382837</v>
      </c>
      <c r="I302" s="29">
        <f t="shared" si="15"/>
        <v>321.52751915144353</v>
      </c>
      <c r="J302" s="29">
        <f t="shared" si="16"/>
        <v>576.44222050560597</v>
      </c>
      <c r="K302" s="33"/>
      <c r="L302" s="33"/>
      <c r="M302" s="33"/>
      <c r="N302" s="33"/>
      <c r="O302" s="33"/>
      <c r="P302" s="33"/>
      <c r="Q302" s="33"/>
      <c r="R302" s="32"/>
      <c r="S302" s="32"/>
    </row>
    <row r="303" spans="1:21" ht="18" customHeight="1">
      <c r="A303" s="9">
        <v>36861</v>
      </c>
      <c r="B303" s="57">
        <v>0.84</v>
      </c>
      <c r="C303" s="30" t="str">
        <f t="shared" si="12"/>
        <v>Risk</v>
      </c>
      <c r="D303" s="41" t="str">
        <f t="shared" si="14"/>
        <v>Risk</v>
      </c>
      <c r="E303" s="19">
        <v>505</v>
      </c>
      <c r="F303" s="27">
        <v>63.35</v>
      </c>
      <c r="G303" s="24">
        <v>20</v>
      </c>
      <c r="H303" s="28">
        <f t="shared" si="17"/>
        <v>341.7120664545015</v>
      </c>
      <c r="I303" s="29">
        <f t="shared" si="15"/>
        <v>262.73688862698867</v>
      </c>
      <c r="J303" s="29">
        <f t="shared" si="16"/>
        <v>468.29462258309997</v>
      </c>
      <c r="K303" s="33"/>
      <c r="L303" s="33"/>
      <c r="M303" s="33"/>
      <c r="N303" s="33"/>
      <c r="O303" s="33"/>
      <c r="P303" s="33"/>
      <c r="Q303" s="33"/>
      <c r="R303" s="32"/>
      <c r="S303" s="32"/>
    </row>
    <row r="304" spans="1:21" ht="18" customHeight="1">
      <c r="A304" s="9">
        <v>36831</v>
      </c>
      <c r="B304" s="58">
        <v>0.84599999999999997</v>
      </c>
      <c r="C304" s="30" t="str">
        <f t="shared" si="12"/>
        <v>Risk</v>
      </c>
      <c r="D304" s="41" t="str">
        <f t="shared" si="14"/>
        <v>Risk</v>
      </c>
      <c r="E304" s="17">
        <v>509</v>
      </c>
      <c r="F304" s="27">
        <v>63.48</v>
      </c>
      <c r="G304" s="25">
        <v>20</v>
      </c>
      <c r="H304" s="28">
        <f t="shared" si="17"/>
        <v>342.41329090026443</v>
      </c>
      <c r="I304" s="29">
        <f t="shared" si="15"/>
        <v>264.81797289334105</v>
      </c>
      <c r="J304" s="29">
        <f t="shared" si="16"/>
        <v>469.25560602328625</v>
      </c>
      <c r="K304" s="33"/>
      <c r="L304" s="33"/>
      <c r="M304" s="33"/>
      <c r="N304" s="33"/>
      <c r="O304" s="33"/>
      <c r="P304" s="33"/>
      <c r="Q304" s="33"/>
      <c r="R304" s="32"/>
      <c r="S304" s="32"/>
      <c r="T304" s="52"/>
      <c r="U304" s="52"/>
    </row>
    <row r="305" spans="1:19" ht="18" customHeight="1">
      <c r="A305" s="9">
        <v>36800</v>
      </c>
      <c r="B305" s="58">
        <v>0.85499999999999998</v>
      </c>
      <c r="C305" s="30" t="str">
        <f t="shared" si="12"/>
        <v>Risk</v>
      </c>
      <c r="D305" s="41" t="str">
        <f t="shared" si="14"/>
        <v>Risk</v>
      </c>
      <c r="E305" s="17">
        <v>514</v>
      </c>
      <c r="F305" s="27">
        <v>64</v>
      </c>
      <c r="G305" s="25">
        <v>40</v>
      </c>
      <c r="H305" s="28">
        <f t="shared" si="17"/>
        <v>345.21818868331644</v>
      </c>
      <c r="I305" s="29">
        <f t="shared" si="15"/>
        <v>267.41932822628155</v>
      </c>
      <c r="J305" s="29">
        <f t="shared" si="16"/>
        <v>473.09953978403155</v>
      </c>
      <c r="K305" s="35">
        <f>1+(($H301/$H305)-1)*2</f>
        <v>1.2543749999999996</v>
      </c>
      <c r="L305" s="35">
        <f>1+(($H300/$H305)-1)*2</f>
        <v>1.0362499999999999</v>
      </c>
      <c r="M305" s="35">
        <f>1+(($H299/$H305)-1)*2</f>
        <v>1.2640625000000001</v>
      </c>
      <c r="N305" s="35">
        <f>1+(($H298/$H305)-1)*2</f>
        <v>1.3778125000000001</v>
      </c>
      <c r="O305" s="35">
        <f>1+(($H297/$H305)-1)*2</f>
        <v>1.2875000000000001</v>
      </c>
      <c r="P305" s="35">
        <f>1+(($H296/$H305)-1)*2</f>
        <v>1.0931250000000001</v>
      </c>
      <c r="Q305" s="35">
        <f>1+(($H295/$H305)-1)*2</f>
        <v>1.1068750000000001</v>
      </c>
      <c r="R305" s="35">
        <f>1+(($H294/$H305)-1)*2</f>
        <v>0.84093749999999989</v>
      </c>
      <c r="S305" s="35">
        <f>1+(($H293/$H305)-1)*2</f>
        <v>1.0762499999999999</v>
      </c>
    </row>
    <row r="306" spans="1:19" ht="18" customHeight="1">
      <c r="A306" s="9">
        <v>36770</v>
      </c>
      <c r="B306" s="58">
        <v>1.0189999999999999</v>
      </c>
      <c r="C306" s="30" t="str">
        <f t="shared" si="12"/>
        <v/>
      </c>
      <c r="D306" s="41" t="str">
        <f t="shared" si="14"/>
        <v/>
      </c>
      <c r="E306" s="17">
        <v>613</v>
      </c>
      <c r="F306" s="27">
        <v>76.37</v>
      </c>
      <c r="G306" s="25">
        <v>40</v>
      </c>
      <c r="H306" s="28">
        <f t="shared" si="17"/>
        <v>411.94239171476374</v>
      </c>
      <c r="I306" s="29">
        <f t="shared" si="15"/>
        <v>318.92616381850308</v>
      </c>
      <c r="J306" s="29">
        <f t="shared" si="16"/>
        <v>564.54081020791398</v>
      </c>
    </row>
    <row r="307" spans="1:19" ht="18" customHeight="1">
      <c r="A307" s="9">
        <v>36739</v>
      </c>
      <c r="B307" s="58">
        <v>1.1459999999999999</v>
      </c>
      <c r="C307" s="30" t="str">
        <f t="shared" si="12"/>
        <v/>
      </c>
      <c r="D307" s="41" t="str">
        <f t="shared" si="14"/>
        <v/>
      </c>
      <c r="E307" s="17">
        <v>689</v>
      </c>
      <c r="F307" s="27">
        <v>86.54</v>
      </c>
      <c r="G307" s="25">
        <v>20</v>
      </c>
      <c r="H307" s="28">
        <f t="shared" si="17"/>
        <v>466.79971951022202</v>
      </c>
      <c r="I307" s="29">
        <f t="shared" si="15"/>
        <v>358.46676487919842</v>
      </c>
      <c r="J307" s="29">
        <f t="shared" si="16"/>
        <v>639.71928395172029</v>
      </c>
    </row>
    <row r="308" spans="1:19" ht="18" customHeight="1">
      <c r="A308" s="9">
        <v>36708</v>
      </c>
      <c r="B308" s="58">
        <v>1.1739999999999999</v>
      </c>
      <c r="C308" s="30" t="str">
        <f t="shared" si="12"/>
        <v/>
      </c>
      <c r="D308" s="41" t="str">
        <f t="shared" si="14"/>
        <v/>
      </c>
      <c r="E308" s="17">
        <v>706</v>
      </c>
      <c r="F308" s="27">
        <v>89.35</v>
      </c>
      <c r="G308" s="25">
        <v>40</v>
      </c>
      <c r="H308" s="28">
        <f t="shared" si="17"/>
        <v>481.95695560709885</v>
      </c>
      <c r="I308" s="29">
        <f t="shared" si="15"/>
        <v>367.31137301119611</v>
      </c>
      <c r="J308" s="29">
        <f t="shared" si="16"/>
        <v>660.49131062036292</v>
      </c>
    </row>
    <row r="309" spans="1:19" ht="18" customHeight="1">
      <c r="A309" s="9">
        <v>36678</v>
      </c>
      <c r="B309" s="58">
        <v>1.365</v>
      </c>
      <c r="C309" s="30" t="str">
        <f t="shared" si="12"/>
        <v/>
      </c>
      <c r="D309" s="41" t="str">
        <f t="shared" si="14"/>
        <v/>
      </c>
      <c r="E309" s="17">
        <v>821</v>
      </c>
      <c r="F309" s="27">
        <v>104.43</v>
      </c>
      <c r="G309" s="25">
        <v>20</v>
      </c>
      <c r="H309" s="28">
        <f t="shared" si="17"/>
        <v>563.29899131560535</v>
      </c>
      <c r="I309" s="29">
        <f t="shared" si="15"/>
        <v>427.14254566882715</v>
      </c>
      <c r="J309" s="29">
        <f t="shared" si="16"/>
        <v>771.96538968197547</v>
      </c>
    </row>
    <row r="310" spans="1:19" ht="18" customHeight="1">
      <c r="A310" s="9">
        <v>36647</v>
      </c>
      <c r="B310" s="58">
        <v>1.2170000000000001</v>
      </c>
      <c r="C310" s="30" t="str">
        <f t="shared" si="12"/>
        <v/>
      </c>
      <c r="D310" s="41" t="str">
        <f t="shared" si="14"/>
        <v/>
      </c>
      <c r="E310" s="17">
        <v>732</v>
      </c>
      <c r="F310" s="27">
        <v>92.74</v>
      </c>
      <c r="G310" s="25">
        <v>30</v>
      </c>
      <c r="H310" s="28">
        <f t="shared" si="17"/>
        <v>500.24273153891829</v>
      </c>
      <c r="I310" s="29">
        <f t="shared" si="15"/>
        <v>380.83842074248656</v>
      </c>
      <c r="J310" s="29">
        <f t="shared" si="16"/>
        <v>685.55080186829844</v>
      </c>
    </row>
    <row r="311" spans="1:19" ht="18" customHeight="1">
      <c r="A311" s="9">
        <v>36617</v>
      </c>
      <c r="B311" s="58">
        <v>1.2050000000000001</v>
      </c>
      <c r="C311" s="30" t="str">
        <f t="shared" si="12"/>
        <v/>
      </c>
      <c r="D311" s="41" t="str">
        <f t="shared" si="14"/>
        <v/>
      </c>
      <c r="E311" s="17">
        <v>725</v>
      </c>
      <c r="F311" s="27">
        <v>91.21</v>
      </c>
      <c r="G311" s="25">
        <v>40</v>
      </c>
      <c r="H311" s="28">
        <f t="shared" si="17"/>
        <v>491.98985921570778</v>
      </c>
      <c r="I311" s="29">
        <f t="shared" si="15"/>
        <v>377.19652327636993</v>
      </c>
      <c r="J311" s="29">
        <f t="shared" si="16"/>
        <v>674.24076599533646</v>
      </c>
    </row>
    <row r="312" spans="1:19" ht="18" customHeight="1">
      <c r="A312" s="9">
        <v>36586</v>
      </c>
      <c r="B312" s="58">
        <v>1.4319999999999999</v>
      </c>
      <c r="C312" s="30" t="str">
        <f t="shared" si="12"/>
        <v/>
      </c>
      <c r="D312" s="41" t="str">
        <f t="shared" si="14"/>
        <v/>
      </c>
      <c r="E312" s="17">
        <v>861</v>
      </c>
      <c r="F312" s="27">
        <v>108.03</v>
      </c>
      <c r="G312" s="25">
        <v>30</v>
      </c>
      <c r="H312" s="28">
        <f t="shared" si="17"/>
        <v>582.7175144290419</v>
      </c>
      <c r="I312" s="29">
        <f t="shared" si="15"/>
        <v>447.95338833235104</v>
      </c>
      <c r="J312" s="29">
        <f t="shared" si="16"/>
        <v>798.57723879482728</v>
      </c>
    </row>
    <row r="313" spans="1:19" ht="18" customHeight="1">
      <c r="A313" s="9">
        <v>36557</v>
      </c>
      <c r="B313" s="58">
        <v>1.377</v>
      </c>
      <c r="C313" s="30" t="str">
        <f t="shared" si="12"/>
        <v/>
      </c>
      <c r="D313" s="41" t="str">
        <f t="shared" si="14"/>
        <v/>
      </c>
      <c r="E313" s="17">
        <v>828</v>
      </c>
      <c r="F313" s="27">
        <v>103.17</v>
      </c>
      <c r="G313" s="25">
        <v>40</v>
      </c>
      <c r="H313" s="28">
        <f t="shared" si="17"/>
        <v>556.50250822590249</v>
      </c>
      <c r="I313" s="29">
        <f t="shared" si="15"/>
        <v>430.78444313494384</v>
      </c>
      <c r="J313" s="29">
        <f t="shared" si="16"/>
        <v>762.65124249247731</v>
      </c>
    </row>
    <row r="314" spans="1:19" ht="18" customHeight="1">
      <c r="A314" s="9">
        <v>36526</v>
      </c>
      <c r="B314" s="58">
        <v>1.57</v>
      </c>
      <c r="C314" s="30" t="str">
        <f t="shared" si="12"/>
        <v/>
      </c>
      <c r="D314" s="41" t="str">
        <f t="shared" si="14"/>
        <v/>
      </c>
      <c r="E314" s="17">
        <v>944</v>
      </c>
      <c r="F314" s="27">
        <v>119.08</v>
      </c>
      <c r="G314" s="25">
        <v>40</v>
      </c>
      <c r="H314" s="28">
        <f t="shared" si="17"/>
        <v>642.32159231889568</v>
      </c>
      <c r="I314" s="29">
        <f t="shared" si="15"/>
        <v>491.13588685916301</v>
      </c>
      <c r="J314" s="29">
        <f t="shared" si="16"/>
        <v>880.26083121066392</v>
      </c>
      <c r="S314" s="32"/>
    </row>
    <row r="315" spans="1:19" ht="18" customHeight="1">
      <c r="A315" s="9">
        <v>36495</v>
      </c>
      <c r="B315" s="60">
        <v>1.7090000000000001</v>
      </c>
      <c r="C315" s="30" t="str">
        <f t="shared" si="12"/>
        <v/>
      </c>
      <c r="D315" s="41" t="str">
        <f t="shared" si="14"/>
        <v/>
      </c>
      <c r="E315" s="20">
        <v>1028</v>
      </c>
      <c r="F315" s="27">
        <v>130.02000000000001</v>
      </c>
      <c r="G315" s="26">
        <v>20</v>
      </c>
      <c r="H315" s="28">
        <f t="shared" si="17"/>
        <v>701.33232644695011</v>
      </c>
      <c r="I315" s="29">
        <f t="shared" si="15"/>
        <v>534.8386564525631</v>
      </c>
      <c r="J315" s="29">
        <f t="shared" si="16"/>
        <v>961.1312837924969</v>
      </c>
      <c r="R315" s="33"/>
      <c r="S315" s="32"/>
    </row>
    <row r="316" spans="1:19" ht="18" customHeight="1">
      <c r="A316" s="9">
        <v>36465</v>
      </c>
      <c r="B316" s="60">
        <v>1.6579999999999999</v>
      </c>
      <c r="C316" s="30" t="str">
        <f t="shared" si="12"/>
        <v/>
      </c>
      <c r="D316" s="41" t="str">
        <f t="shared" si="14"/>
        <v/>
      </c>
      <c r="E316" s="20">
        <v>997</v>
      </c>
      <c r="F316" s="27">
        <v>123.59</v>
      </c>
      <c r="G316" s="26">
        <v>20</v>
      </c>
      <c r="H316" s="28">
        <f t="shared" si="17"/>
        <v>666.6486865526731</v>
      </c>
      <c r="I316" s="29">
        <f t="shared" si="15"/>
        <v>518.71025338833215</v>
      </c>
      <c r="J316" s="29">
        <f t="shared" si="16"/>
        <v>913.59956440481994</v>
      </c>
      <c r="Q316" s="33"/>
      <c r="R316" s="33"/>
      <c r="S316" s="32"/>
    </row>
    <row r="317" spans="1:19" ht="18" customHeight="1">
      <c r="A317" s="9">
        <v>36434</v>
      </c>
      <c r="B317" s="60">
        <v>1.387</v>
      </c>
      <c r="C317" s="30" t="str">
        <f t="shared" si="12"/>
        <v/>
      </c>
      <c r="D317" s="41" t="str">
        <f t="shared" si="14"/>
        <v/>
      </c>
      <c r="E317" s="20">
        <v>834</v>
      </c>
      <c r="F317" s="27">
        <v>100.19</v>
      </c>
      <c r="G317" s="26">
        <v>20</v>
      </c>
      <c r="H317" s="28">
        <f t="shared" si="17"/>
        <v>540.42828631533553</v>
      </c>
      <c r="I317" s="29">
        <f t="shared" si="15"/>
        <v>433.90606953447241</v>
      </c>
      <c r="J317" s="29">
        <f t="shared" si="16"/>
        <v>740.62254517128326</v>
      </c>
      <c r="P317" s="33"/>
      <c r="Q317" s="33"/>
      <c r="R317" s="33"/>
      <c r="S317" s="32"/>
    </row>
    <row r="318" spans="1:19" ht="18" customHeight="1">
      <c r="A318" s="9">
        <v>36404</v>
      </c>
      <c r="B318" s="60">
        <v>1.39</v>
      </c>
      <c r="C318" s="30" t="str">
        <f t="shared" si="12"/>
        <v/>
      </c>
      <c r="D318" s="41" t="str">
        <f t="shared" si="14"/>
        <v/>
      </c>
      <c r="E318" s="20">
        <v>836</v>
      </c>
      <c r="F318" s="27">
        <v>100.71</v>
      </c>
      <c r="G318" s="26">
        <v>20</v>
      </c>
      <c r="H318" s="28">
        <f t="shared" si="17"/>
        <v>543.23318409838748</v>
      </c>
      <c r="I318" s="29">
        <f t="shared" si="15"/>
        <v>434.9466116676486</v>
      </c>
      <c r="J318" s="29">
        <f t="shared" si="16"/>
        <v>744.46647893202851</v>
      </c>
      <c r="O318" s="33"/>
      <c r="P318" s="33"/>
      <c r="Q318" s="33"/>
      <c r="R318" s="33"/>
      <c r="S318" s="32"/>
    </row>
    <row r="319" spans="1:19" ht="18" customHeight="1">
      <c r="A319" s="9">
        <v>36373</v>
      </c>
      <c r="B319" s="60">
        <v>1.56</v>
      </c>
      <c r="C319" s="30" t="str">
        <f t="shared" si="12"/>
        <v/>
      </c>
      <c r="D319" s="41" t="str">
        <f t="shared" si="14"/>
        <v/>
      </c>
      <c r="E319" s="20">
        <v>938</v>
      </c>
      <c r="F319" s="27">
        <v>112.79</v>
      </c>
      <c r="G319" s="26">
        <v>20</v>
      </c>
      <c r="H319" s="28">
        <f t="shared" si="17"/>
        <v>608.39311721236356</v>
      </c>
      <c r="I319" s="29">
        <f t="shared" si="15"/>
        <v>488.01426045963439</v>
      </c>
      <c r="J319" s="29">
        <f t="shared" si="16"/>
        <v>833.76401706626461</v>
      </c>
      <c r="N319" s="33"/>
      <c r="O319" s="33"/>
      <c r="P319" s="33"/>
      <c r="Q319" s="33"/>
      <c r="R319" s="33"/>
      <c r="S319" s="32"/>
    </row>
    <row r="320" spans="1:19" ht="18" customHeight="1">
      <c r="A320" s="9">
        <v>36342</v>
      </c>
      <c r="B320" s="60">
        <v>1.613</v>
      </c>
      <c r="C320" s="30" t="str">
        <f t="shared" si="12"/>
        <v/>
      </c>
      <c r="D320" s="41" t="str">
        <f t="shared" si="14"/>
        <v/>
      </c>
      <c r="E320" s="20">
        <v>970</v>
      </c>
      <c r="F320" s="27">
        <v>116.14</v>
      </c>
      <c r="G320" s="26">
        <v>20</v>
      </c>
      <c r="H320" s="28">
        <f t="shared" si="17"/>
        <v>626.46313177625586</v>
      </c>
      <c r="I320" s="29">
        <f t="shared" si="15"/>
        <v>504.66293459045346</v>
      </c>
      <c r="J320" s="29">
        <f t="shared" si="16"/>
        <v>858.52782110183489</v>
      </c>
      <c r="M320" s="33"/>
      <c r="N320" s="33"/>
      <c r="O320" s="33"/>
      <c r="P320" s="33"/>
      <c r="Q320" s="33"/>
      <c r="R320" s="33"/>
      <c r="S320" s="32"/>
    </row>
    <row r="321" spans="1:19" ht="18" customHeight="1">
      <c r="A321" s="9">
        <v>36312</v>
      </c>
      <c r="B321" s="60">
        <v>1.468</v>
      </c>
      <c r="C321" s="30" t="str">
        <f t="shared" si="12"/>
        <v/>
      </c>
      <c r="D321" s="41" t="str">
        <f t="shared" si="14"/>
        <v/>
      </c>
      <c r="E321" s="20">
        <v>883</v>
      </c>
      <c r="F321" s="27">
        <v>105.47</v>
      </c>
      <c r="G321" s="26">
        <v>20</v>
      </c>
      <c r="H321" s="28">
        <f t="shared" si="17"/>
        <v>568.90878688170926</v>
      </c>
      <c r="I321" s="29">
        <f t="shared" si="15"/>
        <v>459.39935179728906</v>
      </c>
      <c r="J321" s="29">
        <f t="shared" si="16"/>
        <v>779.65325720346596</v>
      </c>
      <c r="L321" s="33"/>
      <c r="M321" s="33"/>
      <c r="N321" s="33"/>
      <c r="O321" s="33"/>
      <c r="P321" s="33"/>
      <c r="Q321" s="33"/>
      <c r="R321" s="32"/>
      <c r="S321" s="32"/>
    </row>
    <row r="322" spans="1:19" ht="18" customHeight="1">
      <c r="A322" s="9">
        <v>36281</v>
      </c>
      <c r="B322" s="60">
        <v>1.224</v>
      </c>
      <c r="C322" s="30" t="str">
        <f t="shared" si="12"/>
        <v/>
      </c>
      <c r="D322" s="41" t="str">
        <f t="shared" si="14"/>
        <v/>
      </c>
      <c r="E322" s="20">
        <v>736</v>
      </c>
      <c r="F322" s="27">
        <v>85.68</v>
      </c>
      <c r="G322" s="26">
        <v>20</v>
      </c>
      <c r="H322" s="28">
        <f t="shared" si="17"/>
        <v>462.16085009979003</v>
      </c>
      <c r="I322" s="29">
        <f t="shared" si="15"/>
        <v>382.91950500883888</v>
      </c>
      <c r="J322" s="29">
        <f t="shared" si="16"/>
        <v>633.36200888587246</v>
      </c>
      <c r="K322" s="33"/>
      <c r="L322" s="33"/>
      <c r="M322" s="33"/>
      <c r="N322" s="33"/>
      <c r="O322" s="33"/>
      <c r="P322" s="33"/>
      <c r="Q322" s="33"/>
      <c r="R322" s="32"/>
      <c r="S322" s="32"/>
    </row>
    <row r="323" spans="1:19" ht="18" customHeight="1">
      <c r="A323" s="9">
        <v>36251</v>
      </c>
      <c r="B323" s="60">
        <v>1.252</v>
      </c>
      <c r="C323" s="30" t="str">
        <f t="shared" si="12"/>
        <v/>
      </c>
      <c r="D323" s="41" t="str">
        <f t="shared" si="14"/>
        <v/>
      </c>
      <c r="E323" s="20">
        <v>753</v>
      </c>
      <c r="F323" s="27">
        <v>87.15</v>
      </c>
      <c r="G323" s="26">
        <v>20</v>
      </c>
      <c r="H323" s="28">
        <f t="shared" si="17"/>
        <v>470.09008037110993</v>
      </c>
      <c r="I323" s="29">
        <f t="shared" si="15"/>
        <v>391.76411314083651</v>
      </c>
      <c r="J323" s="29">
        <f t="shared" si="16"/>
        <v>644.22851394028692</v>
      </c>
      <c r="K323" s="33"/>
      <c r="L323" s="33"/>
      <c r="M323" s="33"/>
      <c r="N323" s="33"/>
      <c r="O323" s="33"/>
      <c r="P323" s="33"/>
      <c r="Q323" s="33"/>
      <c r="R323" s="32"/>
      <c r="S323" s="32"/>
    </row>
    <row r="324" spans="1:19" ht="18" customHeight="1">
      <c r="A324" s="9">
        <v>36220</v>
      </c>
      <c r="B324" s="60">
        <v>1.0289999999999999</v>
      </c>
      <c r="C324" s="30" t="str">
        <f t="shared" ref="C324:C326" si="19">IF(B324&lt;=C$1, "Risk", "")</f>
        <v/>
      </c>
      <c r="D324" s="41" t="str">
        <f t="shared" si="14"/>
        <v/>
      </c>
      <c r="E324" s="20">
        <v>619</v>
      </c>
      <c r="F324" s="27">
        <v>71.84</v>
      </c>
      <c r="G324" s="26">
        <v>20</v>
      </c>
      <c r="H324" s="28">
        <f t="shared" si="17"/>
        <v>387.50741679702281</v>
      </c>
      <c r="I324" s="29">
        <f t="shared" si="15"/>
        <v>322.04779021803165</v>
      </c>
      <c r="J324" s="29">
        <f t="shared" si="16"/>
        <v>531.05423340757557</v>
      </c>
      <c r="K324" s="33"/>
      <c r="L324" s="33"/>
      <c r="M324" s="33"/>
      <c r="N324" s="33"/>
      <c r="O324" s="33"/>
      <c r="P324" s="33"/>
      <c r="Q324" s="33"/>
      <c r="R324" s="32"/>
      <c r="S324" s="32"/>
    </row>
    <row r="325" spans="1:19" ht="18" customHeight="1">
      <c r="A325" s="9">
        <v>36192</v>
      </c>
      <c r="B325" s="60">
        <v>0.86499999999999999</v>
      </c>
      <c r="C325" s="30" t="str">
        <f t="shared" si="19"/>
        <v>Risk</v>
      </c>
      <c r="D325" s="41" t="str">
        <f t="shared" ref="D325:D326" si="20">IF(B325&lt;=D$1, "Risk", "")</f>
        <v>Risk</v>
      </c>
      <c r="E325" s="20">
        <v>520</v>
      </c>
      <c r="F325" s="27">
        <v>60.28</v>
      </c>
      <c r="G325" s="26">
        <v>20</v>
      </c>
      <c r="H325" s="28">
        <f t="shared" si="17"/>
        <v>325.15238146609875</v>
      </c>
      <c r="I325" s="29">
        <f t="shared" si="15"/>
        <v>270.54095462581012</v>
      </c>
      <c r="J325" s="29">
        <f t="shared" si="16"/>
        <v>445.60062903408482</v>
      </c>
      <c r="K325" s="33"/>
      <c r="L325" s="33"/>
      <c r="M325" s="33"/>
      <c r="N325" s="33"/>
      <c r="O325" s="33"/>
      <c r="P325" s="33"/>
      <c r="Q325" s="33"/>
      <c r="R325" s="32"/>
      <c r="S325" s="32"/>
    </row>
    <row r="326" spans="1:19" ht="18" customHeight="1">
      <c r="A326" s="9">
        <v>36161</v>
      </c>
      <c r="B326" s="60">
        <v>0.94899999999999995</v>
      </c>
      <c r="C326" s="30" t="str">
        <f t="shared" si="19"/>
        <v>Risk</v>
      </c>
      <c r="D326" s="41" t="str">
        <f t="shared" si="20"/>
        <v>Risk</v>
      </c>
      <c r="E326" s="20">
        <v>571</v>
      </c>
      <c r="F326" s="27">
        <v>65.72</v>
      </c>
      <c r="G326" s="26">
        <v>20</v>
      </c>
      <c r="H326" s="28">
        <f t="shared" si="17"/>
        <v>354.4959275041806</v>
      </c>
      <c r="I326" s="29">
        <f t="shared" si="15"/>
        <v>297.07477902180307</v>
      </c>
      <c r="J326" s="29">
        <f t="shared" si="16"/>
        <v>485.81408991572744</v>
      </c>
      <c r="K326" s="35">
        <f>1+(($H322/$H326)-1)*2</f>
        <v>1.6074254412659776</v>
      </c>
      <c r="L326" s="35">
        <f>1+(($H321/$H326)-1)*2</f>
        <v>2.209677419354839</v>
      </c>
      <c r="M326" s="35">
        <f>1+(($H320/$H326)-1)*2</f>
        <v>2.534388314059647</v>
      </c>
      <c r="N326" s="35">
        <f>1+(($H319/$H326)-1)*2</f>
        <v>2.4324406573341451</v>
      </c>
      <c r="O326" s="35">
        <f>1+(($H318/$H326)-1)*2</f>
        <v>2.0648204503956173</v>
      </c>
      <c r="P326" s="35">
        <f>1+(($H317/$H326)-1)*2</f>
        <v>2.0489957395009126</v>
      </c>
      <c r="Q326" s="35">
        <f>1+(($H316/$H326)-1)*2</f>
        <v>2.761107729762629</v>
      </c>
      <c r="R326" s="35">
        <f>1+(($H315/$H326)-1)*2</f>
        <v>2.9567863664029215</v>
      </c>
      <c r="S326" s="35">
        <f>1+(($H314/$H326)-1)*2</f>
        <v>2.623858794887401</v>
      </c>
    </row>
  </sheetData>
  <phoneticPr fontId="1" type="noConversion"/>
  <conditionalFormatting sqref="C1:D1048576">
    <cfRule type="containsText" dxfId="54" priority="1" operator="containsText" text="Risk">
      <formula>NOT(ISERROR(SEARCH("Risk",C1)))</formula>
    </cfRule>
  </conditionalFormatting>
  <conditionalFormatting sqref="K4:S326">
    <cfRule type="cellIs" dxfId="53" priority="2" operator="lessThan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84D6-EA89-4004-8379-AA5F64544962}">
  <dimension ref="A1:V326"/>
  <sheetViews>
    <sheetView zoomScale="85" zoomScaleNormal="85" workbookViewId="0">
      <pane ySplit="1" topLeftCell="A2" activePane="bottomLeft" state="frozen"/>
      <selection pane="bottomLeft" activeCell="T16" sqref="T16"/>
    </sheetView>
  </sheetViews>
  <sheetFormatPr defaultColWidth="21" defaultRowHeight="16.5"/>
  <cols>
    <col min="1" max="1" width="11.625" style="2" customWidth="1"/>
    <col min="2" max="2" width="9.875" style="61" customWidth="1"/>
    <col min="3" max="5" width="7.75" style="31" customWidth="1"/>
    <col min="6" max="6" width="9.125" style="6" customWidth="1"/>
    <col min="7" max="7" width="11.625" style="6" hidden="1" customWidth="1"/>
    <col min="8" max="9" width="11.625" style="6" customWidth="1"/>
    <col min="10" max="11" width="11.625" style="2" hidden="1" customWidth="1"/>
    <col min="12" max="20" width="8.75" style="2" customWidth="1"/>
    <col min="21" max="16384" width="21" style="2"/>
  </cols>
  <sheetData>
    <row r="1" spans="1:21" ht="18" customHeight="1">
      <c r="A1" s="10" t="s">
        <v>3</v>
      </c>
      <c r="B1" s="55" t="s">
        <v>2</v>
      </c>
      <c r="C1" s="70">
        <v>1</v>
      </c>
      <c r="D1" s="70">
        <v>0.95</v>
      </c>
      <c r="E1" s="70">
        <v>0.9</v>
      </c>
      <c r="F1" s="47" t="s">
        <v>0</v>
      </c>
      <c r="G1" s="47" t="s">
        <v>1</v>
      </c>
      <c r="H1" s="47" t="s">
        <v>4</v>
      </c>
      <c r="I1" s="48" t="s">
        <v>5</v>
      </c>
      <c r="J1" s="49" t="s">
        <v>6</v>
      </c>
      <c r="K1" s="49" t="s">
        <v>7</v>
      </c>
      <c r="L1" s="49" t="s">
        <v>9</v>
      </c>
      <c r="M1" s="49" t="s">
        <v>10</v>
      </c>
      <c r="N1" s="49" t="s">
        <v>8</v>
      </c>
      <c r="O1" s="49" t="s">
        <v>11</v>
      </c>
      <c r="P1" s="49" t="s">
        <v>12</v>
      </c>
      <c r="Q1" s="49" t="s">
        <v>13</v>
      </c>
      <c r="R1" s="54" t="s">
        <v>14</v>
      </c>
      <c r="S1" s="49" t="s">
        <v>15</v>
      </c>
      <c r="T1" s="49" t="s">
        <v>16</v>
      </c>
      <c r="U1" s="53" t="s">
        <v>17</v>
      </c>
    </row>
    <row r="2" spans="1:21" ht="18" customHeight="1">
      <c r="A2" s="10"/>
      <c r="B2" s="55"/>
      <c r="C2" s="46" t="s">
        <v>21</v>
      </c>
      <c r="D2" s="46" t="s">
        <v>20</v>
      </c>
      <c r="E2" s="46" t="s">
        <v>19</v>
      </c>
      <c r="F2" s="47"/>
      <c r="G2" s="47"/>
      <c r="H2" s="47"/>
      <c r="I2" s="48"/>
      <c r="J2" s="49"/>
      <c r="K2" s="49"/>
      <c r="L2" s="50">
        <f>PRODUCT(L4:L326)</f>
        <v>194.48264322141227</v>
      </c>
      <c r="M2" s="50">
        <f t="shared" ref="M2:T2" si="0">PRODUCT(M4:M326)</f>
        <v>129.07187449095187</v>
      </c>
      <c r="N2" s="50">
        <f t="shared" si="0"/>
        <v>260.76478719138646</v>
      </c>
      <c r="O2" s="50">
        <f t="shared" si="0"/>
        <v>292.35814617135281</v>
      </c>
      <c r="P2" s="50">
        <f t="shared" si="0"/>
        <v>320.17167040157346</v>
      </c>
      <c r="Q2" s="50">
        <f t="shared" si="0"/>
        <v>575.81635814497736</v>
      </c>
      <c r="R2" s="51">
        <f t="shared" si="0"/>
        <v>831.38860034152162</v>
      </c>
      <c r="S2" s="50">
        <f t="shared" si="0"/>
        <v>406.17185133273381</v>
      </c>
      <c r="T2" s="50">
        <f t="shared" si="0"/>
        <v>338.06124596511592</v>
      </c>
      <c r="U2" s="78">
        <f>R2^(1/27)-1</f>
        <v>0.28274665642838182</v>
      </c>
    </row>
    <row r="3" spans="1:21" ht="18" customHeight="1">
      <c r="A3" s="10"/>
      <c r="B3" s="62"/>
      <c r="C3" s="63"/>
      <c r="D3" s="63"/>
      <c r="E3" s="63"/>
      <c r="F3" s="64"/>
      <c r="G3" s="64"/>
      <c r="H3" s="64"/>
      <c r="I3" s="65"/>
      <c r="J3" s="66"/>
      <c r="K3" s="66"/>
      <c r="L3" s="67">
        <f>COUNTIF(L4:L326, "&lt;1")</f>
        <v>12</v>
      </c>
      <c r="M3" s="67">
        <f t="shared" ref="M3:T3" si="1">COUNTIF(M4:M326, "&lt;1")</f>
        <v>11</v>
      </c>
      <c r="N3" s="67">
        <f t="shared" si="1"/>
        <v>11</v>
      </c>
      <c r="O3" s="67">
        <f t="shared" si="1"/>
        <v>10</v>
      </c>
      <c r="P3" s="67">
        <f t="shared" si="1"/>
        <v>9</v>
      </c>
      <c r="Q3" s="67">
        <f t="shared" si="1"/>
        <v>9</v>
      </c>
      <c r="R3" s="67">
        <f t="shared" si="1"/>
        <v>8</v>
      </c>
      <c r="S3" s="67">
        <f t="shared" si="1"/>
        <v>6</v>
      </c>
      <c r="T3" s="67">
        <f t="shared" si="1"/>
        <v>4</v>
      </c>
      <c r="U3" s="1" t="s">
        <v>18</v>
      </c>
    </row>
    <row r="4" spans="1:21" ht="18" customHeight="1">
      <c r="A4" s="9">
        <v>45962</v>
      </c>
      <c r="B4" s="56">
        <v>1.29</v>
      </c>
      <c r="C4" s="41" t="str">
        <f t="shared" ref="C4:C67" si="2">IF(B4&lt;=C$1, "Risk", "")</f>
        <v/>
      </c>
      <c r="D4" s="41" t="str">
        <f>IF(B4&lt;=D$1, "Risk", "")</f>
        <v/>
      </c>
      <c r="E4" s="41" t="str">
        <f>IF(B4&lt;=E$1, "Risk", "")</f>
        <v/>
      </c>
      <c r="F4" s="42">
        <v>3853.26</v>
      </c>
      <c r="G4" s="42">
        <v>540.36</v>
      </c>
      <c r="H4" s="42">
        <v>41.88</v>
      </c>
      <c r="I4" s="42">
        <v>2666.12</v>
      </c>
      <c r="J4" s="43">
        <v>863.95</v>
      </c>
      <c r="K4" s="43">
        <v>1517.92</v>
      </c>
      <c r="N4" s="32"/>
      <c r="T4" s="32"/>
    </row>
    <row r="5" spans="1:21" ht="18" customHeight="1">
      <c r="A5" s="9">
        <v>45931</v>
      </c>
      <c r="B5" s="3">
        <v>1.38</v>
      </c>
      <c r="C5" s="30" t="str">
        <f t="shared" si="2"/>
        <v/>
      </c>
      <c r="D5" s="41" t="str">
        <f t="shared" ref="D5:D68" si="3">IF(B5&lt;=D$1, "Risk", "")</f>
        <v/>
      </c>
      <c r="E5" s="41" t="str">
        <f t="shared" ref="E5:E68" si="4">IF(B5&lt;=E$1, "Risk", "")</f>
        <v/>
      </c>
      <c r="F5" s="16">
        <v>4107.5</v>
      </c>
      <c r="G5" s="16">
        <v>579.46</v>
      </c>
      <c r="H5" s="16">
        <v>30.4</v>
      </c>
      <c r="I5" s="16">
        <v>2862.4</v>
      </c>
      <c r="J5" s="14">
        <v>900.42</v>
      </c>
      <c r="K5" s="14">
        <v>1549.34</v>
      </c>
      <c r="N5" s="32"/>
      <c r="T5" s="32"/>
    </row>
    <row r="6" spans="1:21" ht="18" customHeight="1">
      <c r="A6" s="9">
        <v>45901</v>
      </c>
      <c r="B6" s="3">
        <v>1.146595</v>
      </c>
      <c r="C6" s="30" t="str">
        <f t="shared" si="2"/>
        <v/>
      </c>
      <c r="D6" s="41" t="str">
        <f t="shared" si="3"/>
        <v/>
      </c>
      <c r="E6" s="41" t="str">
        <f t="shared" si="4"/>
        <v/>
      </c>
      <c r="F6" s="16">
        <v>3424.6</v>
      </c>
      <c r="G6" s="16">
        <v>474.03</v>
      </c>
      <c r="H6" s="16">
        <v>20.62</v>
      </c>
      <c r="I6" s="16">
        <v>2343.75</v>
      </c>
      <c r="J6" s="14">
        <v>841.99</v>
      </c>
      <c r="K6" s="14">
        <v>1407.18</v>
      </c>
      <c r="M6" s="32"/>
      <c r="N6" s="32"/>
      <c r="S6" s="33"/>
      <c r="T6" s="32"/>
    </row>
    <row r="7" spans="1:21" ht="18" customHeight="1">
      <c r="A7" s="9">
        <v>45870</v>
      </c>
      <c r="B7" s="3">
        <v>1.072565</v>
      </c>
      <c r="C7" s="30" t="str">
        <f t="shared" si="2"/>
        <v/>
      </c>
      <c r="D7" s="41" t="str">
        <f t="shared" si="3"/>
        <v/>
      </c>
      <c r="E7" s="41" t="str">
        <f t="shared" si="4"/>
        <v/>
      </c>
      <c r="F7" s="16">
        <v>3186.01</v>
      </c>
      <c r="G7" s="16">
        <v>430.12</v>
      </c>
      <c r="H7" s="16">
        <v>19.52</v>
      </c>
      <c r="I7" s="16">
        <v>2127.69</v>
      </c>
      <c r="J7" s="14">
        <v>796.91</v>
      </c>
      <c r="K7" s="14">
        <v>1336.98</v>
      </c>
      <c r="M7" s="32"/>
      <c r="N7" s="32"/>
      <c r="R7" s="33"/>
      <c r="S7" s="33"/>
      <c r="T7" s="32"/>
    </row>
    <row r="8" spans="1:21" ht="18" customHeight="1">
      <c r="A8" s="9">
        <v>45839</v>
      </c>
      <c r="B8" s="3">
        <v>1.091499</v>
      </c>
      <c r="C8" s="30" t="str">
        <f t="shared" si="2"/>
        <v/>
      </c>
      <c r="D8" s="41" t="str">
        <f t="shared" si="3"/>
        <v/>
      </c>
      <c r="E8" s="41" t="str">
        <f t="shared" si="4"/>
        <v/>
      </c>
      <c r="F8" s="16">
        <v>3245.44</v>
      </c>
      <c r="G8" s="16">
        <v>438.6</v>
      </c>
      <c r="H8" s="16">
        <v>21.85</v>
      </c>
      <c r="I8" s="16">
        <v>2163.7600000000002</v>
      </c>
      <c r="J8" s="14">
        <v>805.24</v>
      </c>
      <c r="K8" s="14">
        <v>1352.23</v>
      </c>
      <c r="L8" s="33"/>
      <c r="M8" s="32"/>
      <c r="N8" s="32"/>
      <c r="Q8" s="33"/>
      <c r="R8" s="33"/>
      <c r="S8" s="32"/>
      <c r="T8" s="32"/>
    </row>
    <row r="9" spans="1:21" ht="18" customHeight="1">
      <c r="A9" s="9">
        <v>45809</v>
      </c>
      <c r="B9" s="11">
        <v>1.032691</v>
      </c>
      <c r="C9" s="30" t="str">
        <f t="shared" si="2"/>
        <v/>
      </c>
      <c r="D9" s="41" t="str">
        <f t="shared" si="3"/>
        <v/>
      </c>
      <c r="E9" s="41" t="str">
        <f t="shared" si="4"/>
        <v/>
      </c>
      <c r="F9" s="16">
        <v>3071.7</v>
      </c>
      <c r="G9" s="16">
        <v>414.6</v>
      </c>
      <c r="H9" s="16">
        <v>23.99</v>
      </c>
      <c r="I9" s="16">
        <v>2056.29</v>
      </c>
      <c r="J9" s="13">
        <v>781.5</v>
      </c>
      <c r="K9" s="14">
        <v>1267.1300000000001</v>
      </c>
      <c r="L9" s="33"/>
      <c r="M9" s="32"/>
      <c r="N9" s="32"/>
      <c r="P9" s="33"/>
      <c r="Q9" s="33"/>
      <c r="R9" s="33"/>
      <c r="S9" s="32"/>
      <c r="T9" s="32"/>
    </row>
    <row r="10" spans="1:21" ht="18" customHeight="1">
      <c r="A10" s="9">
        <v>45778</v>
      </c>
      <c r="B10" s="11">
        <v>0.91562399999999999</v>
      </c>
      <c r="C10" s="30" t="str">
        <f t="shared" si="2"/>
        <v>Risk</v>
      </c>
      <c r="D10" s="41" t="str">
        <f t="shared" si="3"/>
        <v>Risk</v>
      </c>
      <c r="E10" s="41" t="str">
        <f t="shared" si="4"/>
        <v/>
      </c>
      <c r="F10" s="16">
        <v>2697.67</v>
      </c>
      <c r="G10" s="16">
        <v>359.62</v>
      </c>
      <c r="H10" s="16">
        <v>22.55</v>
      </c>
      <c r="I10" s="16">
        <v>1782.88</v>
      </c>
      <c r="J10" s="14">
        <v>734.35</v>
      </c>
      <c r="K10" s="14">
        <v>1194.26</v>
      </c>
      <c r="L10" s="33"/>
      <c r="M10" s="32"/>
      <c r="N10" s="35">
        <f>1+(($I4/$I10)-1)*2</f>
        <v>1.9908013999820513</v>
      </c>
      <c r="O10" s="33"/>
      <c r="P10" s="33"/>
      <c r="Q10" s="33"/>
      <c r="R10" s="33"/>
      <c r="S10" s="32"/>
      <c r="T10" s="32"/>
    </row>
    <row r="11" spans="1:21" ht="18" customHeight="1">
      <c r="A11" s="9">
        <v>45748</v>
      </c>
      <c r="B11" s="11">
        <v>0.89342200000000005</v>
      </c>
      <c r="C11" s="30" t="str">
        <f t="shared" si="2"/>
        <v>Risk</v>
      </c>
      <c r="D11" s="41" t="str">
        <f t="shared" si="3"/>
        <v>Risk</v>
      </c>
      <c r="E11" s="41" t="str">
        <f t="shared" si="4"/>
        <v>Risk</v>
      </c>
      <c r="F11" s="16">
        <v>2556.61</v>
      </c>
      <c r="G11" s="16">
        <v>338.74</v>
      </c>
      <c r="H11" s="16">
        <v>20.74</v>
      </c>
      <c r="I11" s="16">
        <v>1677.67</v>
      </c>
      <c r="J11" s="14">
        <v>717.24</v>
      </c>
      <c r="K11" s="14">
        <v>1169.69</v>
      </c>
      <c r="L11" s="32"/>
      <c r="M11" s="73">
        <f>1+(($I6/$I11)-1)*3</f>
        <v>2.1910804866272864</v>
      </c>
      <c r="N11" s="32"/>
      <c r="O11" s="33"/>
      <c r="P11" s="33"/>
      <c r="Q11" s="33"/>
      <c r="R11" s="33"/>
      <c r="S11" s="32"/>
      <c r="T11" s="32"/>
    </row>
    <row r="12" spans="1:21" ht="18" customHeight="1">
      <c r="A12" s="9">
        <v>45717</v>
      </c>
      <c r="B12" s="11">
        <v>0.86726999999999999</v>
      </c>
      <c r="C12" s="30" t="str">
        <f t="shared" si="2"/>
        <v>Risk</v>
      </c>
      <c r="D12" s="41" t="str">
        <f t="shared" si="3"/>
        <v>Risk</v>
      </c>
      <c r="E12" s="41" t="str">
        <f t="shared" si="4"/>
        <v>Risk</v>
      </c>
      <c r="F12" s="16">
        <v>2481.12</v>
      </c>
      <c r="G12" s="16">
        <v>332.4</v>
      </c>
      <c r="H12" s="16">
        <v>25.35</v>
      </c>
      <c r="I12" s="16">
        <v>1652.67</v>
      </c>
      <c r="J12" s="14">
        <v>672.85</v>
      </c>
      <c r="K12" s="14">
        <v>1112.8900000000001</v>
      </c>
      <c r="L12" s="73">
        <f>1+(($I8/$I12)-1)*3</f>
        <v>1.9277532719780719</v>
      </c>
      <c r="M12" s="32"/>
      <c r="N12" s="32"/>
      <c r="O12" s="32"/>
      <c r="P12" s="36"/>
      <c r="Q12" s="33"/>
      <c r="R12" s="33"/>
      <c r="S12" s="32"/>
      <c r="T12" s="32"/>
    </row>
    <row r="13" spans="1:21" ht="18" customHeight="1">
      <c r="A13" s="9">
        <v>45689</v>
      </c>
      <c r="B13" s="11">
        <v>0.88822400000000001</v>
      </c>
      <c r="C13" s="30" t="str">
        <f t="shared" si="2"/>
        <v>Risk</v>
      </c>
      <c r="D13" s="41" t="str">
        <f t="shared" si="3"/>
        <v>Risk</v>
      </c>
      <c r="E13" s="41" t="str">
        <f t="shared" si="4"/>
        <v>Risk</v>
      </c>
      <c r="F13" s="16">
        <v>2532.7800000000002</v>
      </c>
      <c r="G13" s="16">
        <v>334.27</v>
      </c>
      <c r="H13" s="16">
        <v>22.86</v>
      </c>
      <c r="I13" s="16">
        <v>1648.2</v>
      </c>
      <c r="J13" s="14">
        <v>743.96</v>
      </c>
      <c r="K13" s="14">
        <v>1262.71</v>
      </c>
      <c r="L13" s="32"/>
      <c r="M13" s="32"/>
      <c r="N13" s="32"/>
      <c r="O13" s="32"/>
      <c r="P13" s="36"/>
      <c r="Q13" s="33"/>
      <c r="R13" s="33"/>
      <c r="S13" s="32"/>
      <c r="T13" s="32"/>
    </row>
    <row r="14" spans="1:21" ht="18" customHeight="1">
      <c r="A14" s="9">
        <v>45658</v>
      </c>
      <c r="B14" s="11">
        <v>0.88211099999999998</v>
      </c>
      <c r="C14" s="30" t="str">
        <f t="shared" si="2"/>
        <v>Risk</v>
      </c>
      <c r="D14" s="41" t="str">
        <f t="shared" si="3"/>
        <v>Risk</v>
      </c>
      <c r="E14" s="41" t="str">
        <f t="shared" si="4"/>
        <v>Risk</v>
      </c>
      <c r="F14" s="16">
        <v>2517.37</v>
      </c>
      <c r="G14" s="16">
        <v>333.36</v>
      </c>
      <c r="H14" s="16">
        <v>18.79</v>
      </c>
      <c r="I14" s="16">
        <v>1642.77</v>
      </c>
      <c r="J14" s="14">
        <v>728.29</v>
      </c>
      <c r="K14" s="14">
        <v>1233.1600000000001</v>
      </c>
      <c r="L14" s="32"/>
      <c r="M14" s="33"/>
      <c r="N14" s="32"/>
      <c r="O14" s="32"/>
      <c r="P14" s="36"/>
      <c r="Q14" s="33"/>
      <c r="R14" s="33"/>
      <c r="S14" s="32"/>
      <c r="T14" s="32"/>
    </row>
    <row r="15" spans="1:21" ht="18" customHeight="1">
      <c r="A15" s="9">
        <v>45627</v>
      </c>
      <c r="B15" s="3">
        <v>0.84027300000000005</v>
      </c>
      <c r="C15" s="30" t="str">
        <f t="shared" si="2"/>
        <v>Risk</v>
      </c>
      <c r="D15" s="41" t="str">
        <f t="shared" si="3"/>
        <v>Risk</v>
      </c>
      <c r="E15" s="41" t="str">
        <f t="shared" si="4"/>
        <v>Risk</v>
      </c>
      <c r="F15" s="16">
        <v>2399.4899999999998</v>
      </c>
      <c r="G15" s="16">
        <v>317.82</v>
      </c>
      <c r="H15" s="16">
        <v>21.14</v>
      </c>
      <c r="I15" s="16">
        <v>1575.57</v>
      </c>
      <c r="J15" s="14">
        <v>678.19</v>
      </c>
      <c r="K15" s="13">
        <v>1129.8</v>
      </c>
      <c r="L15" s="32"/>
      <c r="M15" s="33"/>
      <c r="N15" s="32"/>
      <c r="O15" s="32"/>
      <c r="P15" s="36"/>
      <c r="Q15" s="33"/>
      <c r="R15" s="33"/>
      <c r="S15" s="32"/>
      <c r="T15" s="32"/>
    </row>
    <row r="16" spans="1:21" ht="18" customHeight="1">
      <c r="A16" s="9">
        <v>45597</v>
      </c>
      <c r="B16" s="3">
        <v>0.86388699999999996</v>
      </c>
      <c r="C16" s="30" t="str">
        <f t="shared" si="2"/>
        <v>Risk</v>
      </c>
      <c r="D16" s="41" t="str">
        <f t="shared" si="3"/>
        <v>Risk</v>
      </c>
      <c r="E16" s="41" t="str">
        <f t="shared" si="4"/>
        <v>Risk</v>
      </c>
      <c r="F16" s="16">
        <v>2455.91</v>
      </c>
      <c r="G16" s="16">
        <v>325.45</v>
      </c>
      <c r="H16" s="16">
        <v>19.34</v>
      </c>
      <c r="I16" s="16">
        <v>1612.46</v>
      </c>
      <c r="J16" s="14">
        <v>678.19</v>
      </c>
      <c r="K16" s="14">
        <v>1133.83</v>
      </c>
      <c r="L16" s="32"/>
      <c r="M16" s="33"/>
      <c r="N16" s="32"/>
      <c r="O16" s="32"/>
      <c r="P16" s="36"/>
      <c r="Q16" s="33"/>
      <c r="R16" s="33"/>
      <c r="S16" s="32"/>
      <c r="T16" s="73">
        <f>1+(($I4/$I16)-1)*3</f>
        <v>2.9603463031641088</v>
      </c>
    </row>
    <row r="17" spans="1:20" ht="18" customHeight="1">
      <c r="A17" s="9">
        <v>45566</v>
      </c>
      <c r="B17" s="3">
        <v>0.89510699999999999</v>
      </c>
      <c r="C17" s="30" t="str">
        <f t="shared" si="2"/>
        <v>Risk</v>
      </c>
      <c r="D17" s="41" t="str">
        <f t="shared" si="3"/>
        <v>Risk</v>
      </c>
      <c r="E17" s="41" t="str">
        <f t="shared" si="4"/>
        <v>Risk</v>
      </c>
      <c r="F17" s="16">
        <v>2556.15</v>
      </c>
      <c r="G17" s="16">
        <v>339.32</v>
      </c>
      <c r="H17" s="16">
        <v>22.65</v>
      </c>
      <c r="I17" s="16">
        <v>1685.1</v>
      </c>
      <c r="J17" s="14">
        <v>743.06</v>
      </c>
      <c r="K17" s="14">
        <v>1273.29</v>
      </c>
      <c r="L17" s="73">
        <f>1+(($I13/$I17)-1)*3</f>
        <v>0.93430656934306577</v>
      </c>
      <c r="M17" s="73">
        <f>1+(($I12/$I17)-1)*3</f>
        <v>0.94226455403240195</v>
      </c>
      <c r="N17" s="73">
        <f>1+(($I11/$I17)-1)*3</f>
        <v>0.98677229837991831</v>
      </c>
      <c r="O17" s="73">
        <f>1+(($I10/$I17)-1)*3</f>
        <v>1.1740786896920066</v>
      </c>
      <c r="P17" s="73">
        <f>1+(($I9/$I17)-1)*3</f>
        <v>1.6608331849741857</v>
      </c>
      <c r="Q17" s="73">
        <f>1+(($I8/$I17)-1)*3</f>
        <v>1.8521630763752897</v>
      </c>
      <c r="R17" s="73">
        <f>1+(($I7/$I17)-1)*3</f>
        <v>1.7879473028306929</v>
      </c>
      <c r="S17" s="73">
        <f>1+(($I6/$I17)-1)*3</f>
        <v>2.172601032579669</v>
      </c>
      <c r="T17" s="32"/>
    </row>
    <row r="18" spans="1:20" ht="18" customHeight="1">
      <c r="A18" s="9">
        <v>45536</v>
      </c>
      <c r="B18" s="3">
        <v>0.90802499999999997</v>
      </c>
      <c r="C18" s="30" t="str">
        <f t="shared" si="2"/>
        <v>Risk</v>
      </c>
      <c r="D18" s="41" t="str">
        <f t="shared" si="3"/>
        <v>Risk</v>
      </c>
      <c r="E18" s="41" t="str">
        <f t="shared" si="4"/>
        <v/>
      </c>
      <c r="F18" s="16">
        <v>2593.27</v>
      </c>
      <c r="G18" s="16">
        <v>344.76</v>
      </c>
      <c r="H18" s="16">
        <v>25.44</v>
      </c>
      <c r="I18" s="16">
        <v>1719.2</v>
      </c>
      <c r="J18" s="14">
        <v>763.88</v>
      </c>
      <c r="K18" s="14">
        <v>1288.3399999999999</v>
      </c>
      <c r="L18" s="35">
        <f t="shared" ref="L18:S18" si="5">1+(($I17/$I18)-1)*2</f>
        <v>0.96033038622615163</v>
      </c>
      <c r="M18" s="35">
        <f t="shared" si="5"/>
        <v>0.96033038622615163</v>
      </c>
      <c r="N18" s="35">
        <f t="shared" si="5"/>
        <v>0.96033038622615163</v>
      </c>
      <c r="O18" s="71">
        <f t="shared" si="5"/>
        <v>0.96033038622615163</v>
      </c>
      <c r="P18" s="35">
        <f t="shared" si="5"/>
        <v>0.96033038622615163</v>
      </c>
      <c r="Q18" s="35">
        <f t="shared" si="5"/>
        <v>0.96033038622615163</v>
      </c>
      <c r="R18" s="35">
        <f t="shared" si="5"/>
        <v>0.96033038622615163</v>
      </c>
      <c r="S18" s="35">
        <f t="shared" si="5"/>
        <v>0.96033038622615163</v>
      </c>
      <c r="T18" s="32"/>
    </row>
    <row r="19" spans="1:20" ht="18" customHeight="1">
      <c r="A19" s="9">
        <v>45505</v>
      </c>
      <c r="B19" s="3">
        <v>0.95820899999999998</v>
      </c>
      <c r="C19" s="30" t="str">
        <f t="shared" si="2"/>
        <v>Risk</v>
      </c>
      <c r="D19" s="41" t="str">
        <f t="shared" si="3"/>
        <v/>
      </c>
      <c r="E19" s="41" t="str">
        <f t="shared" si="4"/>
        <v/>
      </c>
      <c r="F19" s="16">
        <v>2674.31</v>
      </c>
      <c r="G19" s="16">
        <v>361.55</v>
      </c>
      <c r="H19" s="16">
        <v>18.809999999999999</v>
      </c>
      <c r="I19" s="16">
        <v>1802.36</v>
      </c>
      <c r="J19" s="14">
        <v>767.66</v>
      </c>
      <c r="K19" s="14">
        <v>1294.69</v>
      </c>
      <c r="L19" s="32"/>
      <c r="M19" s="32"/>
      <c r="N19" s="32"/>
      <c r="O19" s="33"/>
      <c r="P19" s="32"/>
      <c r="Q19" s="32"/>
      <c r="R19" s="69">
        <f>$I18/$I19</f>
        <v>0.95386049401895301</v>
      </c>
      <c r="S19" s="32"/>
      <c r="T19" s="32"/>
    </row>
    <row r="20" spans="1:20" ht="18" customHeight="1">
      <c r="A20" s="9">
        <v>45474</v>
      </c>
      <c r="B20" s="3">
        <v>0.99315799999999999</v>
      </c>
      <c r="C20" s="30" t="str">
        <f t="shared" si="2"/>
        <v>Risk</v>
      </c>
      <c r="D20" s="41" t="str">
        <f t="shared" si="3"/>
        <v/>
      </c>
      <c r="E20" s="41" t="str">
        <f t="shared" si="4"/>
        <v/>
      </c>
      <c r="F20" s="16">
        <v>2770.69</v>
      </c>
      <c r="G20" s="16">
        <v>380.49</v>
      </c>
      <c r="H20" s="16">
        <v>17.510000000000002</v>
      </c>
      <c r="I20" s="16">
        <v>1897.75</v>
      </c>
      <c r="J20" s="14">
        <v>803.15</v>
      </c>
      <c r="K20" s="14">
        <v>1338.75</v>
      </c>
      <c r="L20" s="34">
        <f>$I18/$I20</f>
        <v>0.9059148992227638</v>
      </c>
      <c r="M20" s="32"/>
      <c r="N20" s="32"/>
      <c r="O20" s="33"/>
      <c r="P20" s="32"/>
      <c r="Q20" s="34">
        <f>1+(($I18/$I20)-1)</f>
        <v>0.9059148992227638</v>
      </c>
      <c r="R20" s="36"/>
      <c r="S20" s="32"/>
      <c r="T20" s="32"/>
    </row>
    <row r="21" spans="1:20" ht="18" customHeight="1">
      <c r="A21" s="9">
        <v>45444</v>
      </c>
      <c r="B21" s="3">
        <v>1.001382</v>
      </c>
      <c r="C21" s="30" t="str">
        <f t="shared" si="2"/>
        <v/>
      </c>
      <c r="D21" s="41" t="str">
        <f t="shared" si="3"/>
        <v/>
      </c>
      <c r="E21" s="41" t="str">
        <f t="shared" si="4"/>
        <v/>
      </c>
      <c r="F21" s="16">
        <v>2797.82</v>
      </c>
      <c r="G21" s="16">
        <v>384.02</v>
      </c>
      <c r="H21" s="16">
        <v>16.100000000000001</v>
      </c>
      <c r="I21" s="16">
        <v>1919.36</v>
      </c>
      <c r="J21" s="14">
        <v>840.44</v>
      </c>
      <c r="K21" s="14">
        <v>1361.54</v>
      </c>
      <c r="L21" s="32"/>
      <c r="M21" s="32"/>
      <c r="N21" s="32"/>
      <c r="O21" s="32"/>
      <c r="P21" s="34">
        <f>$I18/$I21</f>
        <v>0.89571523841280432</v>
      </c>
      <c r="Q21" s="32"/>
      <c r="R21" s="33"/>
      <c r="S21" s="32"/>
      <c r="T21" s="32"/>
    </row>
    <row r="22" spans="1:20" ht="18" customHeight="1">
      <c r="A22" s="9">
        <v>45413</v>
      </c>
      <c r="B22" s="3">
        <v>0.95718300000000001</v>
      </c>
      <c r="C22" s="30" t="str">
        <f t="shared" si="2"/>
        <v>Risk</v>
      </c>
      <c r="D22" s="41" t="str">
        <f t="shared" si="3"/>
        <v/>
      </c>
      <c r="E22" s="41" t="str">
        <f t="shared" si="4"/>
        <v/>
      </c>
      <c r="F22" s="16">
        <v>2636.52</v>
      </c>
      <c r="G22" s="16">
        <v>358.21</v>
      </c>
      <c r="H22" s="16">
        <v>16.899999999999999</v>
      </c>
      <c r="I22" s="16">
        <v>1799.7</v>
      </c>
      <c r="J22" s="14">
        <v>839.98</v>
      </c>
      <c r="K22" s="14">
        <v>1338.55</v>
      </c>
      <c r="L22" s="32"/>
      <c r="M22" s="32"/>
      <c r="N22" s="32"/>
      <c r="O22" s="72">
        <f>$I18/$I22</f>
        <v>0.95527032283158309</v>
      </c>
      <c r="P22" s="32"/>
      <c r="Q22" s="32"/>
      <c r="R22" s="33"/>
      <c r="S22" s="32"/>
      <c r="T22" s="32"/>
    </row>
    <row r="23" spans="1:20" ht="18" customHeight="1">
      <c r="A23" s="9">
        <v>45383</v>
      </c>
      <c r="B23" s="57">
        <v>0.98</v>
      </c>
      <c r="C23" s="30" t="str">
        <f t="shared" si="2"/>
        <v>Risk</v>
      </c>
      <c r="D23" s="41" t="str">
        <f t="shared" si="3"/>
        <v/>
      </c>
      <c r="E23" s="41" t="str">
        <f t="shared" si="4"/>
        <v/>
      </c>
      <c r="F23" s="16">
        <v>2692.06</v>
      </c>
      <c r="G23" s="16">
        <v>365.13</v>
      </c>
      <c r="H23" s="16">
        <v>18.14</v>
      </c>
      <c r="I23" s="16">
        <v>1836.69</v>
      </c>
      <c r="J23" s="14">
        <v>868.93</v>
      </c>
      <c r="K23" s="14">
        <v>1442.22</v>
      </c>
      <c r="L23" s="32"/>
      <c r="M23" s="32"/>
      <c r="N23" s="34">
        <f>$I18/$I23</f>
        <v>0.93603166565941998</v>
      </c>
      <c r="O23" s="33"/>
      <c r="P23" s="32"/>
      <c r="Q23" s="32"/>
      <c r="R23" s="33"/>
      <c r="S23" s="32"/>
      <c r="T23" s="32"/>
    </row>
    <row r="24" spans="1:20" ht="18" customHeight="1">
      <c r="A24" s="9">
        <v>45352</v>
      </c>
      <c r="B24" s="57">
        <v>1</v>
      </c>
      <c r="C24" s="30" t="str">
        <f t="shared" si="2"/>
        <v>Risk</v>
      </c>
      <c r="D24" s="41" t="str">
        <f t="shared" si="3"/>
        <v/>
      </c>
      <c r="E24" s="41" t="str">
        <f t="shared" si="4"/>
        <v/>
      </c>
      <c r="F24" s="16">
        <v>2746.63</v>
      </c>
      <c r="G24" s="16">
        <v>374.63</v>
      </c>
      <c r="H24" s="16">
        <v>16.84</v>
      </c>
      <c r="I24" s="16">
        <v>1884.17</v>
      </c>
      <c r="J24" s="13">
        <v>905.5</v>
      </c>
      <c r="K24" s="14">
        <v>1520.44</v>
      </c>
      <c r="L24" s="32"/>
      <c r="M24" s="34">
        <f>$I22/$I24</f>
        <v>0.95516858882160316</v>
      </c>
      <c r="N24" s="32"/>
      <c r="O24" s="33"/>
      <c r="P24" s="32"/>
      <c r="Q24" s="32"/>
      <c r="R24" s="33"/>
      <c r="S24" s="32"/>
      <c r="T24" s="32"/>
    </row>
    <row r="25" spans="1:20" ht="18" customHeight="1">
      <c r="A25" s="9">
        <v>45323</v>
      </c>
      <c r="B25" s="57">
        <v>0.96</v>
      </c>
      <c r="C25" s="30" t="str">
        <f t="shared" si="2"/>
        <v>Risk</v>
      </c>
      <c r="D25" s="41" t="str">
        <f t="shared" si="3"/>
        <v/>
      </c>
      <c r="E25" s="41" t="str">
        <f t="shared" si="4"/>
        <v/>
      </c>
      <c r="F25" s="16">
        <v>2642.36</v>
      </c>
      <c r="G25" s="16">
        <v>355.57</v>
      </c>
      <c r="H25" s="16">
        <v>16.77</v>
      </c>
      <c r="I25" s="16">
        <v>1785.57</v>
      </c>
      <c r="J25" s="14">
        <v>862.96</v>
      </c>
      <c r="K25" s="14">
        <v>1402.26</v>
      </c>
      <c r="L25" s="34">
        <f>$I21/$I25</f>
        <v>1.0749284542191009</v>
      </c>
      <c r="M25" s="33"/>
      <c r="N25" s="32"/>
      <c r="O25" s="32"/>
      <c r="P25" s="32"/>
      <c r="Q25" s="32"/>
      <c r="R25" s="33"/>
      <c r="S25" s="32"/>
      <c r="T25" s="32"/>
    </row>
    <row r="26" spans="1:20" ht="18" customHeight="1">
      <c r="A26" s="9">
        <v>45292</v>
      </c>
      <c r="B26" s="57">
        <v>0.91</v>
      </c>
      <c r="C26" s="30" t="str">
        <f t="shared" si="2"/>
        <v>Risk</v>
      </c>
      <c r="D26" s="41" t="str">
        <f t="shared" si="3"/>
        <v>Risk</v>
      </c>
      <c r="E26" s="41" t="str">
        <f t="shared" si="4"/>
        <v/>
      </c>
      <c r="F26" s="16">
        <v>2497.09</v>
      </c>
      <c r="G26" s="16">
        <v>336.24</v>
      </c>
      <c r="H26" s="16">
        <v>17.02</v>
      </c>
      <c r="I26" s="16">
        <v>1691.46</v>
      </c>
      <c r="J26" s="14">
        <v>799.24</v>
      </c>
      <c r="K26" s="14">
        <v>1241.75</v>
      </c>
      <c r="L26" s="32"/>
      <c r="M26" s="33"/>
      <c r="N26" s="32"/>
      <c r="O26" s="32"/>
      <c r="P26" s="32"/>
      <c r="Q26" s="32"/>
      <c r="R26" s="33"/>
      <c r="S26" s="32"/>
      <c r="T26" s="32"/>
    </row>
    <row r="27" spans="1:20" ht="18" customHeight="1">
      <c r="A27" s="9">
        <v>45261</v>
      </c>
      <c r="B27" s="57">
        <v>0.96</v>
      </c>
      <c r="C27" s="30" t="str">
        <f t="shared" si="2"/>
        <v>Risk</v>
      </c>
      <c r="D27" s="41" t="str">
        <f t="shared" si="3"/>
        <v/>
      </c>
      <c r="E27" s="41" t="str">
        <f t="shared" si="4"/>
        <v/>
      </c>
      <c r="F27" s="16">
        <v>2655.28</v>
      </c>
      <c r="G27" s="16">
        <v>357.99</v>
      </c>
      <c r="H27" s="16">
        <v>17.78</v>
      </c>
      <c r="I27" s="16">
        <v>1820.45</v>
      </c>
      <c r="J27" s="14">
        <v>866.57</v>
      </c>
      <c r="K27" s="14">
        <v>1393.46</v>
      </c>
      <c r="L27" s="32"/>
      <c r="M27" s="33"/>
      <c r="N27" s="32"/>
      <c r="O27" s="32"/>
      <c r="P27" s="32"/>
      <c r="Q27" s="32"/>
      <c r="R27" s="33"/>
      <c r="S27" s="32"/>
      <c r="T27" s="32"/>
    </row>
    <row r="28" spans="1:20" ht="18" customHeight="1">
      <c r="A28" s="9">
        <v>45231</v>
      </c>
      <c r="B28" s="57">
        <v>0.92</v>
      </c>
      <c r="C28" s="30" t="str">
        <f t="shared" si="2"/>
        <v>Risk</v>
      </c>
      <c r="D28" s="41" t="str">
        <f t="shared" si="3"/>
        <v>Risk</v>
      </c>
      <c r="E28" s="41" t="str">
        <f t="shared" si="4"/>
        <v/>
      </c>
      <c r="F28" s="16">
        <v>2535.29</v>
      </c>
      <c r="G28" s="16">
        <v>338.43</v>
      </c>
      <c r="H28" s="16">
        <v>14.46</v>
      </c>
      <c r="I28" s="16">
        <v>1698.8</v>
      </c>
      <c r="J28" s="14">
        <v>831.68</v>
      </c>
      <c r="K28" s="14">
        <v>1323.92</v>
      </c>
      <c r="L28" s="32"/>
      <c r="M28" s="33"/>
      <c r="N28" s="32"/>
      <c r="O28" s="32"/>
      <c r="P28" s="32"/>
      <c r="Q28" s="32"/>
      <c r="R28" s="33"/>
      <c r="S28" s="32"/>
      <c r="T28" s="32"/>
    </row>
    <row r="29" spans="1:20" ht="18" customHeight="1">
      <c r="A29" s="9">
        <v>45200</v>
      </c>
      <c r="B29" s="3">
        <v>0.82694800000000002</v>
      </c>
      <c r="C29" s="30" t="str">
        <f t="shared" si="2"/>
        <v>Risk</v>
      </c>
      <c r="D29" s="41" t="str">
        <f t="shared" si="3"/>
        <v>Risk</v>
      </c>
      <c r="E29" s="41" t="str">
        <f t="shared" si="4"/>
        <v>Risk</v>
      </c>
      <c r="F29" s="16">
        <v>2277.9899999999998</v>
      </c>
      <c r="G29" s="16">
        <v>305.56</v>
      </c>
      <c r="H29" s="16">
        <v>19.89</v>
      </c>
      <c r="I29" s="16">
        <v>1538.26</v>
      </c>
      <c r="J29" s="13">
        <v>736.1</v>
      </c>
      <c r="K29" s="14">
        <v>1147.92</v>
      </c>
      <c r="L29" s="32"/>
      <c r="M29" s="33"/>
      <c r="N29" s="32"/>
      <c r="O29" s="32"/>
      <c r="P29" s="36"/>
      <c r="Q29" s="33"/>
      <c r="R29" s="33"/>
      <c r="S29" s="32"/>
      <c r="T29" s="73">
        <f>1+(($I17/$I29)-1)*3</f>
        <v>1.2863755151924903</v>
      </c>
    </row>
    <row r="30" spans="1:20" ht="18" customHeight="1">
      <c r="A30" s="9">
        <v>45170</v>
      </c>
      <c r="B30" s="3">
        <v>0.89318699999999995</v>
      </c>
      <c r="C30" s="30" t="str">
        <f t="shared" si="2"/>
        <v>Risk</v>
      </c>
      <c r="D30" s="41" t="str">
        <f t="shared" si="3"/>
        <v>Risk</v>
      </c>
      <c r="E30" s="41" t="str">
        <f t="shared" si="4"/>
        <v>Risk</v>
      </c>
      <c r="F30" s="16">
        <v>2465.0700000000002</v>
      </c>
      <c r="G30" s="16">
        <v>326.70999999999998</v>
      </c>
      <c r="H30" s="16">
        <v>15.08</v>
      </c>
      <c r="I30" s="16">
        <v>1647.96</v>
      </c>
      <c r="J30" s="14">
        <v>841.02</v>
      </c>
      <c r="K30" s="14">
        <v>1321.64</v>
      </c>
      <c r="L30" s="73">
        <f>1+(($I26/$I30)-1)*3</f>
        <v>1.0791888152625064</v>
      </c>
      <c r="M30" s="73">
        <f>1+(($I25/$I30)-1)*3</f>
        <v>1.2505097211097356</v>
      </c>
      <c r="N30" s="73">
        <f>1+(($I24/$I30)-1)*3</f>
        <v>1.4300043690380833</v>
      </c>
      <c r="O30" s="73">
        <f>1+(($I23/$I30)-1)*3</f>
        <v>1.3435702322871914</v>
      </c>
      <c r="P30" s="73">
        <f>1+(($I22/$I30)-1)*3</f>
        <v>1.2762324328260397</v>
      </c>
      <c r="Q30" s="73">
        <f>1+(($I21/$I30)-1)*3</f>
        <v>1.4940653899366489</v>
      </c>
      <c r="R30" s="73">
        <f>1+(($I20/$I30)-1)*3</f>
        <v>1.4547258428602636</v>
      </c>
      <c r="S30" s="73">
        <f>1+(($I19/$I30)-1)*3</f>
        <v>1.2810747833685281</v>
      </c>
      <c r="T30" s="32"/>
    </row>
    <row r="31" spans="1:20" ht="18" customHeight="1">
      <c r="A31" s="9">
        <v>45139</v>
      </c>
      <c r="B31" s="3">
        <v>0.93718599999999996</v>
      </c>
      <c r="C31" s="30" t="str">
        <f t="shared" si="2"/>
        <v>Risk</v>
      </c>
      <c r="D31" s="41" t="str">
        <f t="shared" si="3"/>
        <v>Risk</v>
      </c>
      <c r="E31" s="41" t="str">
        <f t="shared" si="4"/>
        <v/>
      </c>
      <c r="F31" s="16">
        <v>2556.27</v>
      </c>
      <c r="G31" s="16">
        <v>334.75</v>
      </c>
      <c r="H31" s="16">
        <v>12.78</v>
      </c>
      <c r="I31" s="16">
        <v>1686.41</v>
      </c>
      <c r="J31" s="13">
        <v>928.4</v>
      </c>
      <c r="K31" s="14">
        <v>1483.08</v>
      </c>
      <c r="L31" s="35">
        <f>1+(($I30/$I31)-1)*2</f>
        <v>0.95440017552078071</v>
      </c>
      <c r="M31" s="33"/>
      <c r="N31" s="32"/>
      <c r="O31" s="32"/>
      <c r="P31" s="36"/>
      <c r="Q31" s="35">
        <f>1+(($I30/$I31)-1)*2</f>
        <v>0.95440017552078071</v>
      </c>
      <c r="R31" s="35">
        <f>1+(($I30/$I31)-1)*2</f>
        <v>0.95440017552078071</v>
      </c>
      <c r="S31" s="32"/>
      <c r="T31" s="32"/>
    </row>
    <row r="32" spans="1:20" ht="18" customHeight="1">
      <c r="A32" s="9">
        <v>45108</v>
      </c>
      <c r="B32" s="3">
        <v>0.96419200000000005</v>
      </c>
      <c r="C32" s="30" t="str">
        <f t="shared" si="2"/>
        <v>Risk</v>
      </c>
      <c r="D32" s="41" t="str">
        <f t="shared" si="3"/>
        <v/>
      </c>
      <c r="E32" s="41" t="str">
        <f t="shared" si="4"/>
        <v/>
      </c>
      <c r="F32" s="16">
        <v>2632.58</v>
      </c>
      <c r="G32" s="16">
        <v>345.62</v>
      </c>
      <c r="H32" s="16">
        <v>14.21</v>
      </c>
      <c r="I32" s="16">
        <v>1748.34</v>
      </c>
      <c r="J32" s="14">
        <v>935.97</v>
      </c>
      <c r="K32" s="14">
        <v>1551.24</v>
      </c>
      <c r="L32" s="34">
        <f>$I31/$I32</f>
        <v>0.96457782811123705</v>
      </c>
      <c r="M32" s="33"/>
      <c r="N32" s="32"/>
      <c r="O32" s="32"/>
      <c r="P32" s="36"/>
      <c r="Q32" s="34">
        <f>$I31/$I32</f>
        <v>0.96457782811123705</v>
      </c>
      <c r="R32" s="32"/>
      <c r="S32" s="32"/>
      <c r="T32" s="32"/>
    </row>
    <row r="33" spans="1:20" ht="18" customHeight="1">
      <c r="A33" s="9">
        <v>45078</v>
      </c>
      <c r="B33" s="3">
        <v>0.938608</v>
      </c>
      <c r="C33" s="30" t="str">
        <f t="shared" si="2"/>
        <v>Risk</v>
      </c>
      <c r="D33" s="41" t="str">
        <f t="shared" si="3"/>
        <v>Risk</v>
      </c>
      <c r="E33" s="41" t="str">
        <f t="shared" si="4"/>
        <v/>
      </c>
      <c r="F33" s="16">
        <v>2564.2800000000002</v>
      </c>
      <c r="G33" s="16">
        <v>337.95</v>
      </c>
      <c r="H33" s="16">
        <v>12.59</v>
      </c>
      <c r="I33" s="16">
        <v>1714.36</v>
      </c>
      <c r="J33" s="14">
        <v>868.24</v>
      </c>
      <c r="K33" s="14">
        <v>1322.36</v>
      </c>
      <c r="L33" s="32"/>
      <c r="M33" s="33"/>
      <c r="N33" s="32"/>
      <c r="O33" s="35">
        <f>1+(($I30/$I33)-1)*2</f>
        <v>0.92253669007676353</v>
      </c>
      <c r="P33" s="35">
        <f>1+(($I30/$I33)-1)*2</f>
        <v>0.92253669007676353</v>
      </c>
      <c r="Q33" s="32"/>
      <c r="R33" s="32"/>
      <c r="S33" s="32"/>
      <c r="T33" s="32"/>
    </row>
    <row r="34" spans="1:20" ht="18" customHeight="1">
      <c r="A34" s="9">
        <v>45047</v>
      </c>
      <c r="B34" s="3">
        <v>0.98162400000000005</v>
      </c>
      <c r="C34" s="30" t="str">
        <f t="shared" si="2"/>
        <v>Risk</v>
      </c>
      <c r="D34" s="41" t="str">
        <f t="shared" si="3"/>
        <v/>
      </c>
      <c r="E34" s="41" t="str">
        <f t="shared" si="4"/>
        <v/>
      </c>
      <c r="F34" s="16">
        <v>2577.12</v>
      </c>
      <c r="G34" s="16">
        <v>339.12</v>
      </c>
      <c r="H34" s="16">
        <v>14.8</v>
      </c>
      <c r="I34" s="16">
        <v>1714.7</v>
      </c>
      <c r="J34" s="14">
        <v>856.94</v>
      </c>
      <c r="K34" s="14">
        <v>1308.6500000000001</v>
      </c>
      <c r="L34" s="32"/>
      <c r="M34" s="33"/>
      <c r="N34" s="32"/>
      <c r="O34" s="34">
        <f>$I33/$I34</f>
        <v>0.99980171458564171</v>
      </c>
      <c r="P34" s="36"/>
      <c r="Q34" s="32"/>
      <c r="R34" s="32"/>
      <c r="S34" s="32"/>
      <c r="T34" s="32"/>
    </row>
    <row r="35" spans="1:20" ht="18" customHeight="1">
      <c r="A35" s="9">
        <v>45017</v>
      </c>
      <c r="B35" s="3">
        <v>0.94302699999999995</v>
      </c>
      <c r="C35" s="30" t="str">
        <f t="shared" si="2"/>
        <v>Risk</v>
      </c>
      <c r="D35" s="41" t="str">
        <f t="shared" si="3"/>
        <v>Risk</v>
      </c>
      <c r="E35" s="41" t="str">
        <f t="shared" si="4"/>
        <v/>
      </c>
      <c r="F35" s="16">
        <v>2501.5300000000002</v>
      </c>
      <c r="G35" s="16">
        <v>326.45999999999998</v>
      </c>
      <c r="H35" s="16">
        <v>14.51</v>
      </c>
      <c r="I35" s="16">
        <v>1650.97</v>
      </c>
      <c r="J35" s="14">
        <v>842.83</v>
      </c>
      <c r="K35" s="14">
        <v>1299.28</v>
      </c>
      <c r="L35" s="32"/>
      <c r="M35" s="33"/>
      <c r="N35" s="35">
        <f>1+(($I29/$I35)-1)*2</f>
        <v>0.86346208592524398</v>
      </c>
      <c r="O35" s="32"/>
      <c r="P35" s="36"/>
      <c r="Q35" s="32"/>
      <c r="R35" s="32"/>
      <c r="S35" s="32"/>
      <c r="T35" s="32"/>
    </row>
    <row r="36" spans="1:20" ht="18" customHeight="1">
      <c r="A36" s="9">
        <v>44986</v>
      </c>
      <c r="B36" s="11">
        <v>0.93132300000000001</v>
      </c>
      <c r="C36" s="30" t="str">
        <f t="shared" si="2"/>
        <v>Risk</v>
      </c>
      <c r="D36" s="41" t="str">
        <f t="shared" si="3"/>
        <v>Risk</v>
      </c>
      <c r="E36" s="41" t="str">
        <f t="shared" si="4"/>
        <v/>
      </c>
      <c r="F36" s="16">
        <v>2476.86</v>
      </c>
      <c r="G36" s="16">
        <v>322.02999999999997</v>
      </c>
      <c r="H36" s="16">
        <v>15.57</v>
      </c>
      <c r="I36" s="16">
        <v>1637.31</v>
      </c>
      <c r="J36" s="14">
        <v>847.52</v>
      </c>
      <c r="K36" s="14">
        <v>1260.21</v>
      </c>
      <c r="L36" s="32"/>
      <c r="M36" s="35">
        <f>1+(($I31/$I36)-1)*2</f>
        <v>1.0599764247454666</v>
      </c>
      <c r="N36" s="32"/>
      <c r="O36" s="32"/>
      <c r="P36" s="32"/>
      <c r="Q36" s="32"/>
      <c r="R36" s="32"/>
      <c r="S36" s="32"/>
      <c r="T36" s="32"/>
    </row>
    <row r="37" spans="1:20" ht="18" customHeight="1">
      <c r="A37" s="9">
        <v>44958</v>
      </c>
      <c r="B37" s="11">
        <v>0.90686500000000003</v>
      </c>
      <c r="C37" s="30" t="str">
        <f t="shared" si="2"/>
        <v>Risk</v>
      </c>
      <c r="D37" s="41" t="str">
        <f t="shared" si="3"/>
        <v>Risk</v>
      </c>
      <c r="E37" s="41" t="str">
        <f t="shared" si="4"/>
        <v/>
      </c>
      <c r="F37" s="16">
        <v>2412.85</v>
      </c>
      <c r="G37" s="16">
        <v>314.8</v>
      </c>
      <c r="H37" s="16">
        <v>18.53</v>
      </c>
      <c r="I37" s="16">
        <v>1605.25</v>
      </c>
      <c r="J37" s="13">
        <v>791.6</v>
      </c>
      <c r="K37" s="14">
        <v>1143.05</v>
      </c>
      <c r="L37" s="35">
        <f>1+(($I33/$I37)-1)*2</f>
        <v>1.1359414421429683</v>
      </c>
      <c r="M37" s="32"/>
      <c r="N37" s="32"/>
      <c r="O37" s="32"/>
      <c r="P37" s="32"/>
      <c r="Q37" s="32"/>
      <c r="R37" s="32"/>
      <c r="S37" s="32"/>
      <c r="T37" s="32"/>
    </row>
    <row r="38" spans="1:20" ht="18" customHeight="1">
      <c r="A38" s="9">
        <v>44927</v>
      </c>
      <c r="B38" s="11">
        <v>0.91425400000000001</v>
      </c>
      <c r="C38" s="30" t="str">
        <f t="shared" si="2"/>
        <v>Risk</v>
      </c>
      <c r="D38" s="41" t="str">
        <f t="shared" si="3"/>
        <v>Risk</v>
      </c>
      <c r="E38" s="41" t="str">
        <f t="shared" si="4"/>
        <v/>
      </c>
      <c r="F38" s="16">
        <v>2425.08</v>
      </c>
      <c r="G38" s="16">
        <v>317.26</v>
      </c>
      <c r="H38" s="16">
        <v>17.75</v>
      </c>
      <c r="I38" s="16">
        <v>1619.74</v>
      </c>
      <c r="J38" s="14">
        <v>740.49</v>
      </c>
      <c r="K38" s="13">
        <v>1021.6</v>
      </c>
      <c r="L38" s="32"/>
      <c r="M38" s="32"/>
      <c r="N38" s="32"/>
      <c r="O38" s="32"/>
      <c r="P38" s="32"/>
      <c r="Q38" s="32"/>
      <c r="R38" s="32"/>
      <c r="S38" s="32"/>
      <c r="T38" s="32"/>
    </row>
    <row r="39" spans="1:20" ht="18" customHeight="1">
      <c r="A39" s="9">
        <v>44896</v>
      </c>
      <c r="B39" s="11">
        <v>0.84129799999999999</v>
      </c>
      <c r="C39" s="30" t="str">
        <f t="shared" si="2"/>
        <v>Risk</v>
      </c>
      <c r="D39" s="41" t="str">
        <f t="shared" si="3"/>
        <v>Risk</v>
      </c>
      <c r="E39" s="41" t="str">
        <f t="shared" si="4"/>
        <v>Risk</v>
      </c>
      <c r="F39" s="16">
        <v>2236.4</v>
      </c>
      <c r="G39" s="16">
        <v>291.10000000000002</v>
      </c>
      <c r="H39" s="16">
        <v>18.399999999999999</v>
      </c>
      <c r="I39" s="16">
        <v>1488.59</v>
      </c>
      <c r="J39" s="14">
        <v>679.29</v>
      </c>
      <c r="K39" s="14">
        <v>957.78</v>
      </c>
      <c r="L39" s="32"/>
      <c r="M39" s="32"/>
      <c r="N39" s="32"/>
      <c r="O39" s="32"/>
      <c r="P39" s="32"/>
      <c r="Q39" s="32"/>
      <c r="R39" s="32"/>
      <c r="S39" s="32"/>
      <c r="T39" s="32"/>
    </row>
    <row r="40" spans="1:20" ht="18" customHeight="1">
      <c r="A40" s="9">
        <v>44866</v>
      </c>
      <c r="B40" s="11">
        <v>0.95905799999999997</v>
      </c>
      <c r="C40" s="30" t="str">
        <f t="shared" si="2"/>
        <v>Risk</v>
      </c>
      <c r="D40" s="41" t="str">
        <f t="shared" si="3"/>
        <v/>
      </c>
      <c r="E40" s="41" t="str">
        <f t="shared" si="4"/>
        <v/>
      </c>
      <c r="F40" s="16">
        <v>2472.5300000000002</v>
      </c>
      <c r="G40" s="16">
        <v>321</v>
      </c>
      <c r="H40" s="16">
        <v>17.78</v>
      </c>
      <c r="I40" s="16">
        <v>1616.28</v>
      </c>
      <c r="J40" s="14">
        <v>729.54</v>
      </c>
      <c r="K40" s="14">
        <v>1038.42</v>
      </c>
      <c r="L40" s="32"/>
      <c r="M40" s="32"/>
      <c r="N40" s="32"/>
      <c r="O40" s="32"/>
      <c r="P40" s="32"/>
      <c r="Q40" s="32"/>
      <c r="R40" s="32"/>
      <c r="S40" s="32"/>
      <c r="T40" s="32"/>
    </row>
    <row r="41" spans="1:20" ht="18" customHeight="1">
      <c r="A41" s="9">
        <v>44835</v>
      </c>
      <c r="B41" s="11">
        <v>0.88847299999999996</v>
      </c>
      <c r="C41" s="30" t="str">
        <f t="shared" si="2"/>
        <v>Risk</v>
      </c>
      <c r="D41" s="41" t="str">
        <f t="shared" si="3"/>
        <v>Risk</v>
      </c>
      <c r="E41" s="41" t="str">
        <f t="shared" si="4"/>
        <v>Risk</v>
      </c>
      <c r="F41" s="16">
        <v>2293.61</v>
      </c>
      <c r="G41" s="16">
        <v>299.58</v>
      </c>
      <c r="H41" s="16">
        <v>21.97</v>
      </c>
      <c r="I41" s="16">
        <v>1520.46</v>
      </c>
      <c r="J41" s="14">
        <v>695.33</v>
      </c>
      <c r="K41" s="14">
        <v>1006.82</v>
      </c>
      <c r="L41" s="32"/>
      <c r="M41" s="32"/>
      <c r="N41" s="32"/>
      <c r="O41" s="32"/>
      <c r="P41" s="32"/>
      <c r="Q41" s="32"/>
      <c r="R41" s="32"/>
      <c r="S41" s="32"/>
      <c r="T41" s="32"/>
    </row>
    <row r="42" spans="1:20" ht="18" customHeight="1">
      <c r="A42" s="9">
        <v>44805</v>
      </c>
      <c r="B42" s="3">
        <v>0.83385600000000004</v>
      </c>
      <c r="C42" s="30" t="str">
        <f t="shared" si="2"/>
        <v>Risk</v>
      </c>
      <c r="D42" s="41" t="str">
        <f t="shared" si="3"/>
        <v>Risk</v>
      </c>
      <c r="E42" s="41" t="str">
        <f t="shared" si="4"/>
        <v>Risk</v>
      </c>
      <c r="F42" s="16">
        <v>2155.4899999999998</v>
      </c>
      <c r="G42" s="16">
        <v>281.36</v>
      </c>
      <c r="H42" s="16">
        <v>27.19</v>
      </c>
      <c r="I42" s="16">
        <v>1428.18</v>
      </c>
      <c r="J42" s="14">
        <v>672.65</v>
      </c>
      <c r="K42" s="14">
        <v>956.48</v>
      </c>
      <c r="L42" s="73">
        <f>1+(($I38/$I42)-1)*3</f>
        <v>1.4023862538335505</v>
      </c>
      <c r="M42" s="73">
        <f>1+(($I37/$I42)-1)*3</f>
        <v>1.3719489140024368</v>
      </c>
      <c r="N42" s="73">
        <f>1+(($I36/$I42)-1)*3</f>
        <v>1.4392933663823884</v>
      </c>
      <c r="O42" s="73">
        <f>1+(($I35/$I42)-1)*3</f>
        <v>1.467987228500609</v>
      </c>
      <c r="P42" s="73">
        <f>1+(($I34/$I42)-1)*3</f>
        <v>1.601856908793009</v>
      </c>
      <c r="Q42" s="73">
        <f>1+(($I33/$I42)-1)*3</f>
        <v>1.60114271310339</v>
      </c>
      <c r="R42" s="73">
        <f>1+(($I32/$I42)-1)*3</f>
        <v>1.6725202705541318</v>
      </c>
      <c r="S42" s="73">
        <f>1+(($I31/$I42)-1)*3</f>
        <v>1.5424316262655966</v>
      </c>
      <c r="T42" s="73">
        <f>1+(($I30/$I42)-1)*3</f>
        <v>1.4616644960719236</v>
      </c>
    </row>
    <row r="43" spans="1:20" ht="18" customHeight="1">
      <c r="A43" s="9">
        <v>44774</v>
      </c>
      <c r="B43" s="3">
        <v>0.97728800000000005</v>
      </c>
      <c r="C43" s="30" t="str">
        <f t="shared" si="2"/>
        <v>Risk</v>
      </c>
      <c r="D43" s="41" t="str">
        <f t="shared" si="3"/>
        <v/>
      </c>
      <c r="E43" s="41" t="str">
        <f t="shared" si="4"/>
        <v/>
      </c>
      <c r="F43" s="16">
        <v>2472.0500000000002</v>
      </c>
      <c r="G43" s="16">
        <v>322.95999999999998</v>
      </c>
      <c r="H43" s="16">
        <v>17.309999999999999</v>
      </c>
      <c r="I43" s="16">
        <v>1625.97</v>
      </c>
      <c r="J43" s="14">
        <v>807.04</v>
      </c>
      <c r="K43" s="14">
        <v>1155.03</v>
      </c>
      <c r="L43" s="32"/>
      <c r="M43" s="32"/>
      <c r="N43" s="32"/>
      <c r="O43" s="32"/>
      <c r="P43" s="32"/>
      <c r="Q43" s="32"/>
      <c r="R43" s="32"/>
      <c r="S43" s="32"/>
      <c r="T43" s="32"/>
    </row>
    <row r="44" spans="1:20" ht="18" customHeight="1">
      <c r="A44" s="9">
        <v>44743</v>
      </c>
      <c r="B44" s="3">
        <v>0.96806300000000001</v>
      </c>
      <c r="C44" s="30" t="str">
        <f t="shared" si="2"/>
        <v>Risk</v>
      </c>
      <c r="D44" s="41" t="str">
        <f t="shared" si="3"/>
        <v/>
      </c>
      <c r="E44" s="41" t="str">
        <f t="shared" si="4"/>
        <v/>
      </c>
      <c r="F44" s="16">
        <v>2451.5</v>
      </c>
      <c r="G44" s="16">
        <v>323.31</v>
      </c>
      <c r="H44" s="16">
        <v>17.79</v>
      </c>
      <c r="I44" s="16">
        <v>1638.38</v>
      </c>
      <c r="J44" s="14">
        <v>803.62</v>
      </c>
      <c r="K44" s="13">
        <v>1151.8</v>
      </c>
      <c r="L44" s="32"/>
      <c r="M44" s="32"/>
      <c r="N44" s="32"/>
      <c r="O44" s="32"/>
      <c r="P44" s="32"/>
      <c r="Q44" s="32"/>
      <c r="R44" s="32"/>
      <c r="S44" s="32"/>
      <c r="T44" s="32"/>
    </row>
    <row r="45" spans="1:20" ht="18" customHeight="1">
      <c r="A45" s="9">
        <v>44713</v>
      </c>
      <c r="B45" s="3">
        <v>0.92029099999999997</v>
      </c>
      <c r="C45" s="30" t="str">
        <f t="shared" si="2"/>
        <v>Risk</v>
      </c>
      <c r="D45" s="41" t="str">
        <f t="shared" si="3"/>
        <v>Risk</v>
      </c>
      <c r="E45" s="41" t="str">
        <f t="shared" si="4"/>
        <v/>
      </c>
      <c r="F45" s="16">
        <v>2332.64</v>
      </c>
      <c r="G45" s="16">
        <v>307.2</v>
      </c>
      <c r="H45" s="16">
        <v>23.9</v>
      </c>
      <c r="I45" s="16">
        <v>1557.34</v>
      </c>
      <c r="J45" s="14">
        <v>745.44</v>
      </c>
      <c r="K45" s="14">
        <v>1056.42</v>
      </c>
      <c r="L45" s="35">
        <f>1+(($I42/$I45)-1)*2</f>
        <v>0.83412742239973303</v>
      </c>
      <c r="M45" s="35">
        <f t="shared" ref="M45:T45" si="6">1+(($I42/$I45)-1)*2</f>
        <v>0.83412742239973303</v>
      </c>
      <c r="N45" s="35">
        <f t="shared" si="6"/>
        <v>0.83412742239973303</v>
      </c>
      <c r="O45" s="35">
        <f t="shared" si="6"/>
        <v>0.83412742239973303</v>
      </c>
      <c r="P45" s="35">
        <f t="shared" si="6"/>
        <v>0.83412742239973303</v>
      </c>
      <c r="Q45" s="35">
        <f t="shared" si="6"/>
        <v>0.83412742239973303</v>
      </c>
      <c r="R45" s="35">
        <f t="shared" si="6"/>
        <v>0.83412742239973303</v>
      </c>
      <c r="S45" s="35">
        <f t="shared" si="6"/>
        <v>0.83412742239973303</v>
      </c>
      <c r="T45" s="35">
        <f t="shared" si="6"/>
        <v>0.83412742239973303</v>
      </c>
    </row>
    <row r="46" spans="1:20" ht="18" customHeight="1">
      <c r="A46" s="9">
        <v>44682</v>
      </c>
      <c r="B46" s="3">
        <v>1.075215</v>
      </c>
      <c r="C46" s="30" t="str">
        <f t="shared" si="2"/>
        <v/>
      </c>
      <c r="D46" s="41" t="str">
        <f t="shared" si="3"/>
        <v/>
      </c>
      <c r="E46" s="41" t="str">
        <f t="shared" si="4"/>
        <v/>
      </c>
      <c r="F46" s="16">
        <v>2685.9</v>
      </c>
      <c r="G46" s="16">
        <v>354.54</v>
      </c>
      <c r="H46" s="16">
        <v>17.260000000000002</v>
      </c>
      <c r="I46" s="16">
        <v>1793.38</v>
      </c>
      <c r="J46" s="14">
        <v>893.36</v>
      </c>
      <c r="K46" s="14">
        <v>1269.22</v>
      </c>
    </row>
    <row r="47" spans="1:20" ht="18" customHeight="1">
      <c r="A47" s="9">
        <v>44652</v>
      </c>
      <c r="B47" s="3">
        <v>1.097928</v>
      </c>
      <c r="C47" s="30" t="str">
        <f t="shared" si="2"/>
        <v/>
      </c>
      <c r="D47" s="41" t="str">
        <f t="shared" si="3"/>
        <v/>
      </c>
      <c r="E47" s="41" t="str">
        <f t="shared" si="4"/>
        <v/>
      </c>
      <c r="F47" s="16">
        <v>2695.05</v>
      </c>
      <c r="G47" s="16">
        <v>355.08</v>
      </c>
      <c r="H47" s="16">
        <v>18.920000000000002</v>
      </c>
      <c r="I47" s="16">
        <v>1800.72</v>
      </c>
      <c r="J47" s="14">
        <v>904.75</v>
      </c>
      <c r="K47" s="14">
        <v>1261.29</v>
      </c>
    </row>
    <row r="48" spans="1:20" ht="18" customHeight="1">
      <c r="A48" s="9">
        <v>44621</v>
      </c>
      <c r="B48" s="3">
        <v>1.1232880000000001</v>
      </c>
      <c r="C48" s="30" t="str">
        <f t="shared" si="2"/>
        <v/>
      </c>
      <c r="D48" s="41" t="str">
        <f t="shared" si="3"/>
        <v/>
      </c>
      <c r="E48" s="41" t="str">
        <f t="shared" si="4"/>
        <v/>
      </c>
      <c r="F48" s="16">
        <v>2757.65</v>
      </c>
      <c r="G48" s="16">
        <v>365.61</v>
      </c>
      <c r="H48" s="16">
        <v>17.14</v>
      </c>
      <c r="I48" s="16">
        <v>1851.87</v>
      </c>
      <c r="J48" s="14">
        <v>944.53</v>
      </c>
      <c r="K48" s="14">
        <v>1332.65</v>
      </c>
    </row>
    <row r="49" spans="1:20" ht="18" customHeight="1">
      <c r="A49" s="9">
        <v>44593</v>
      </c>
      <c r="B49" s="3">
        <v>1.0990470000000001</v>
      </c>
      <c r="C49" s="30" t="str">
        <f t="shared" si="2"/>
        <v/>
      </c>
      <c r="D49" s="41" t="str">
        <f t="shared" si="3"/>
        <v/>
      </c>
      <c r="E49" s="41" t="str">
        <f t="shared" si="4"/>
        <v/>
      </c>
      <c r="F49" s="16">
        <v>2699.18</v>
      </c>
      <c r="G49" s="16">
        <v>361.54</v>
      </c>
      <c r="H49" s="16">
        <v>24.41</v>
      </c>
      <c r="I49" s="16">
        <v>1828.27</v>
      </c>
      <c r="J49" s="14">
        <v>881.07</v>
      </c>
      <c r="K49" s="14">
        <v>1257.1400000000001</v>
      </c>
    </row>
    <row r="50" spans="1:20" ht="18" customHeight="1">
      <c r="A50" s="9">
        <v>44562</v>
      </c>
      <c r="B50" s="3">
        <v>1.0827770000000001</v>
      </c>
      <c r="C50" s="30" t="str">
        <f t="shared" si="2"/>
        <v/>
      </c>
      <c r="D50" s="41" t="str">
        <f t="shared" si="3"/>
        <v/>
      </c>
      <c r="E50" s="41" t="str">
        <f t="shared" si="4"/>
        <v/>
      </c>
      <c r="F50" s="16">
        <v>2663.34</v>
      </c>
      <c r="G50" s="16">
        <v>357.98</v>
      </c>
      <c r="H50" s="16">
        <v>23.97</v>
      </c>
      <c r="I50" s="16">
        <v>1804.99</v>
      </c>
      <c r="J50" s="14">
        <v>872.87</v>
      </c>
      <c r="K50" s="13">
        <v>1244.9000000000001</v>
      </c>
    </row>
    <row r="51" spans="1:20" ht="18" customHeight="1">
      <c r="A51" s="9">
        <v>44531</v>
      </c>
      <c r="B51" s="3">
        <v>1.1415519999999999</v>
      </c>
      <c r="C51" s="30" t="str">
        <f t="shared" si="2"/>
        <v/>
      </c>
      <c r="D51" s="41" t="str">
        <f t="shared" si="3"/>
        <v/>
      </c>
      <c r="E51" s="41" t="str">
        <f t="shared" si="4"/>
        <v/>
      </c>
      <c r="F51" s="16">
        <v>2977.65</v>
      </c>
      <c r="G51" s="16">
        <v>394.19</v>
      </c>
      <c r="H51" s="16">
        <v>16.5</v>
      </c>
      <c r="I51" s="16">
        <v>1995.56</v>
      </c>
      <c r="J51" s="14">
        <v>1033.98</v>
      </c>
      <c r="K51" s="14">
        <v>1524.21</v>
      </c>
    </row>
    <row r="52" spans="1:20" ht="18" customHeight="1">
      <c r="A52" s="9">
        <v>44501</v>
      </c>
      <c r="B52" s="3">
        <v>1.1318319999999999</v>
      </c>
      <c r="C52" s="30" t="str">
        <f t="shared" si="2"/>
        <v/>
      </c>
      <c r="D52" s="41" t="str">
        <f t="shared" si="3"/>
        <v/>
      </c>
      <c r="E52" s="41" t="str">
        <f t="shared" si="4"/>
        <v/>
      </c>
      <c r="F52" s="16">
        <v>2839.01</v>
      </c>
      <c r="G52" s="16">
        <v>373.24</v>
      </c>
      <c r="H52" s="16">
        <v>23.23</v>
      </c>
      <c r="I52" s="16">
        <v>1873.74</v>
      </c>
      <c r="J52" s="14">
        <v>965.63</v>
      </c>
      <c r="K52" s="14">
        <v>1448.84</v>
      </c>
    </row>
    <row r="53" spans="1:20" ht="18" customHeight="1">
      <c r="A53" s="9">
        <v>44470</v>
      </c>
      <c r="B53" s="3">
        <v>1.1723330000000001</v>
      </c>
      <c r="C53" s="30" t="str">
        <f t="shared" si="2"/>
        <v/>
      </c>
      <c r="D53" s="41" t="str">
        <f t="shared" si="3"/>
        <v/>
      </c>
      <c r="E53" s="41" t="str">
        <f t="shared" si="4"/>
        <v/>
      </c>
      <c r="F53" s="16">
        <v>2970.68</v>
      </c>
      <c r="G53" s="16">
        <v>388.47</v>
      </c>
      <c r="H53" s="16">
        <v>18.55</v>
      </c>
      <c r="I53" s="16">
        <v>1948.02</v>
      </c>
      <c r="J53" s="14">
        <v>992.33</v>
      </c>
      <c r="K53" s="14">
        <v>1444.19</v>
      </c>
    </row>
    <row r="54" spans="1:20" ht="18" customHeight="1">
      <c r="A54" s="9">
        <v>44440</v>
      </c>
      <c r="B54" s="3">
        <v>1.2105570000000001</v>
      </c>
      <c r="C54" s="30" t="str">
        <f t="shared" si="2"/>
        <v/>
      </c>
      <c r="D54" s="41" t="str">
        <f t="shared" si="3"/>
        <v/>
      </c>
      <c r="E54" s="41" t="str">
        <f t="shared" si="4"/>
        <v/>
      </c>
      <c r="F54" s="16">
        <v>3068.82</v>
      </c>
      <c r="G54" s="16">
        <v>401.3</v>
      </c>
      <c r="H54" s="16">
        <v>17.350000000000001</v>
      </c>
      <c r="I54" s="16">
        <v>2015.02</v>
      </c>
      <c r="J54" s="14">
        <v>1003.27</v>
      </c>
      <c r="K54" s="14">
        <v>1475.06</v>
      </c>
      <c r="S54" s="32"/>
    </row>
    <row r="55" spans="1:20" ht="18" customHeight="1">
      <c r="A55" s="9">
        <v>44409</v>
      </c>
      <c r="B55" s="3">
        <v>1.300484</v>
      </c>
      <c r="C55" s="30" t="str">
        <f t="shared" si="2"/>
        <v/>
      </c>
      <c r="D55" s="41" t="str">
        <f t="shared" si="3"/>
        <v/>
      </c>
      <c r="E55" s="41" t="str">
        <f t="shared" si="4"/>
        <v/>
      </c>
      <c r="F55" s="16">
        <v>3199.27</v>
      </c>
      <c r="G55" s="16">
        <v>419.79</v>
      </c>
      <c r="H55" s="16">
        <v>14.76</v>
      </c>
      <c r="I55" s="16">
        <v>2103.6999999999998</v>
      </c>
      <c r="J55" s="14">
        <v>1038.33</v>
      </c>
      <c r="K55" s="14">
        <v>1512.05</v>
      </c>
      <c r="S55" s="32"/>
    </row>
    <row r="56" spans="1:20" ht="18" customHeight="1">
      <c r="A56" s="9">
        <v>44378</v>
      </c>
      <c r="B56" s="3">
        <v>1.2705679999999999</v>
      </c>
      <c r="C56" s="30" t="str">
        <f t="shared" si="2"/>
        <v/>
      </c>
      <c r="D56" s="41" t="str">
        <f t="shared" si="3"/>
        <v/>
      </c>
      <c r="E56" s="41" t="str">
        <f t="shared" si="4"/>
        <v/>
      </c>
      <c r="F56" s="16">
        <v>3202.32</v>
      </c>
      <c r="G56" s="16">
        <v>423.91</v>
      </c>
      <c r="H56" s="16">
        <v>17.3</v>
      </c>
      <c r="I56" s="16">
        <v>2128.27</v>
      </c>
      <c r="J56" s="14">
        <v>1031.1400000000001</v>
      </c>
      <c r="K56" s="14">
        <v>1452.86</v>
      </c>
      <c r="R56" s="32"/>
      <c r="S56" s="32"/>
    </row>
    <row r="57" spans="1:20" ht="18" customHeight="1">
      <c r="A57" s="9">
        <v>44348</v>
      </c>
      <c r="B57" s="3">
        <v>1.3026359999999999</v>
      </c>
      <c r="C57" s="30" t="str">
        <f t="shared" si="2"/>
        <v/>
      </c>
      <c r="D57" s="41" t="str">
        <f t="shared" si="3"/>
        <v/>
      </c>
      <c r="E57" s="41" t="str">
        <f t="shared" si="4"/>
        <v/>
      </c>
      <c r="F57" s="16">
        <v>3296.68</v>
      </c>
      <c r="G57" s="16">
        <v>438.84</v>
      </c>
      <c r="H57" s="16">
        <v>14.17</v>
      </c>
      <c r="I57" s="16">
        <v>2200.7399999999998</v>
      </c>
      <c r="J57" s="14">
        <v>1029.96</v>
      </c>
      <c r="K57" s="14">
        <v>1464.08</v>
      </c>
      <c r="R57" s="32"/>
      <c r="S57" s="32"/>
    </row>
    <row r="58" spans="1:20" ht="18" customHeight="1">
      <c r="A58" s="9">
        <v>44317</v>
      </c>
      <c r="B58" s="3">
        <v>1.2930200000000001</v>
      </c>
      <c r="C58" s="30" t="str">
        <f t="shared" si="2"/>
        <v/>
      </c>
      <c r="D58" s="41" t="str">
        <f t="shared" si="3"/>
        <v/>
      </c>
      <c r="E58" s="41" t="str">
        <f t="shared" si="4"/>
        <v/>
      </c>
      <c r="F58" s="16">
        <v>3203.92</v>
      </c>
      <c r="G58" s="16">
        <v>427.91</v>
      </c>
      <c r="H58" s="16">
        <v>17.04</v>
      </c>
      <c r="I58" s="16">
        <v>2141.91</v>
      </c>
      <c r="J58" s="14">
        <v>981.78</v>
      </c>
      <c r="K58" s="13">
        <v>1399.6</v>
      </c>
      <c r="O58" s="32"/>
      <c r="R58" s="32"/>
      <c r="S58" s="32"/>
    </row>
    <row r="59" spans="1:20" ht="18" customHeight="1">
      <c r="A59" s="9">
        <v>44287</v>
      </c>
      <c r="B59" s="3">
        <v>1.281185</v>
      </c>
      <c r="C59" s="30" t="str">
        <f t="shared" si="2"/>
        <v/>
      </c>
      <c r="D59" s="41" t="str">
        <f t="shared" si="3"/>
        <v/>
      </c>
      <c r="E59" s="41" t="str">
        <f t="shared" si="4"/>
        <v/>
      </c>
      <c r="F59" s="16">
        <v>3147.86</v>
      </c>
      <c r="G59" s="16">
        <v>422.36</v>
      </c>
      <c r="H59" s="16">
        <v>18.84</v>
      </c>
      <c r="I59" s="16">
        <v>2113.87</v>
      </c>
      <c r="J59" s="14">
        <v>983.45</v>
      </c>
      <c r="K59" s="14">
        <v>1405.47</v>
      </c>
      <c r="O59" s="32"/>
      <c r="R59" s="32"/>
      <c r="S59" s="32"/>
    </row>
    <row r="60" spans="1:20" ht="18" customHeight="1">
      <c r="A60" s="9">
        <v>44256</v>
      </c>
      <c r="B60" s="3">
        <v>1.2439530000000001</v>
      </c>
      <c r="C60" s="30" t="str">
        <f t="shared" si="2"/>
        <v/>
      </c>
      <c r="D60" s="41" t="str">
        <f t="shared" si="3"/>
        <v/>
      </c>
      <c r="E60" s="41" t="str">
        <f t="shared" si="4"/>
        <v/>
      </c>
      <c r="F60" s="16">
        <v>3061.42</v>
      </c>
      <c r="G60" s="16">
        <v>415.04</v>
      </c>
      <c r="H60" s="16">
        <v>20.440000000000001</v>
      </c>
      <c r="I60" s="16">
        <v>2076.56</v>
      </c>
      <c r="J60" s="14">
        <v>956.17</v>
      </c>
      <c r="K60" s="13">
        <v>1423.2</v>
      </c>
      <c r="O60" s="32"/>
      <c r="Q60" s="32"/>
      <c r="R60" s="32"/>
      <c r="S60" s="32"/>
    </row>
    <row r="61" spans="1:20" ht="18" customHeight="1">
      <c r="A61" s="9">
        <v>44228</v>
      </c>
      <c r="B61" s="3">
        <v>1.216664</v>
      </c>
      <c r="C61" s="30" t="str">
        <f t="shared" si="2"/>
        <v/>
      </c>
      <c r="D61" s="41" t="str">
        <f t="shared" si="3"/>
        <v/>
      </c>
      <c r="E61" s="41" t="str">
        <f t="shared" si="4"/>
        <v/>
      </c>
      <c r="F61" s="16">
        <v>3012.95</v>
      </c>
      <c r="G61" s="16">
        <v>409.91</v>
      </c>
      <c r="H61" s="16">
        <v>31.34</v>
      </c>
      <c r="I61" s="16">
        <v>2049.71</v>
      </c>
      <c r="J61" s="14">
        <v>913.94</v>
      </c>
      <c r="K61" s="14">
        <v>1363.12</v>
      </c>
      <c r="O61" s="32"/>
      <c r="Q61" s="32"/>
      <c r="R61" s="32"/>
      <c r="S61" s="32"/>
    </row>
    <row r="62" spans="1:20" ht="18" customHeight="1">
      <c r="A62" s="9">
        <v>44197</v>
      </c>
      <c r="B62" s="3">
        <v>1.200699</v>
      </c>
      <c r="C62" s="30" t="str">
        <f t="shared" si="2"/>
        <v/>
      </c>
      <c r="D62" s="41" t="str">
        <f t="shared" si="3"/>
        <v/>
      </c>
      <c r="E62" s="41" t="str">
        <f t="shared" si="4"/>
        <v/>
      </c>
      <c r="F62" s="16">
        <v>2976.21</v>
      </c>
      <c r="G62" s="16">
        <v>404.56</v>
      </c>
      <c r="H62" s="16">
        <v>35.729999999999997</v>
      </c>
      <c r="I62" s="16">
        <v>2022.21</v>
      </c>
      <c r="J62" s="14">
        <v>928.73</v>
      </c>
      <c r="K62" s="14">
        <v>1427.72</v>
      </c>
      <c r="L62" s="32"/>
      <c r="N62" s="32"/>
      <c r="O62" s="32"/>
      <c r="Q62" s="32"/>
      <c r="R62" s="32"/>
      <c r="S62" s="32"/>
    </row>
    <row r="63" spans="1:20" ht="18" customHeight="1">
      <c r="A63" s="9">
        <v>44166</v>
      </c>
      <c r="B63" s="3">
        <v>1.1567099999999999</v>
      </c>
      <c r="C63" s="30" t="str">
        <f t="shared" si="2"/>
        <v/>
      </c>
      <c r="D63" s="41" t="str">
        <f t="shared" si="3"/>
        <v/>
      </c>
      <c r="E63" s="41" t="str">
        <f t="shared" si="4"/>
        <v/>
      </c>
      <c r="F63" s="16">
        <v>2873.47</v>
      </c>
      <c r="G63" s="16">
        <v>389.29</v>
      </c>
      <c r="H63" s="16">
        <v>22.09</v>
      </c>
      <c r="I63" s="16">
        <v>1945.71</v>
      </c>
      <c r="J63" s="14">
        <v>968.42</v>
      </c>
      <c r="K63" s="14">
        <v>1532.52</v>
      </c>
      <c r="L63" s="32"/>
      <c r="N63" s="32"/>
      <c r="O63" s="32"/>
      <c r="P63" s="32"/>
      <c r="Q63" s="32"/>
      <c r="R63" s="32"/>
      <c r="S63" s="32"/>
    </row>
    <row r="64" spans="1:20" ht="18" customHeight="1">
      <c r="A64" s="9">
        <v>44136</v>
      </c>
      <c r="B64" s="3">
        <v>1.0639050000000001</v>
      </c>
      <c r="C64" s="30" t="str">
        <f t="shared" si="2"/>
        <v/>
      </c>
      <c r="D64" s="41" t="str">
        <f t="shared" si="3"/>
        <v/>
      </c>
      <c r="E64" s="41" t="str">
        <f t="shared" si="4"/>
        <v/>
      </c>
      <c r="F64" s="16">
        <v>2591.34</v>
      </c>
      <c r="G64" s="16">
        <v>346.05</v>
      </c>
      <c r="H64" s="16">
        <v>20.77</v>
      </c>
      <c r="I64" s="16">
        <v>1713.2</v>
      </c>
      <c r="J64" s="14">
        <v>886.11</v>
      </c>
      <c r="K64" s="14">
        <v>1348.49</v>
      </c>
      <c r="L64" s="32"/>
      <c r="N64" s="32"/>
      <c r="O64" s="32"/>
      <c r="P64" s="32"/>
      <c r="Q64" s="32"/>
      <c r="R64" s="32"/>
      <c r="S64" s="32"/>
      <c r="T64" s="32"/>
    </row>
    <row r="65" spans="1:20" ht="18" customHeight="1">
      <c r="A65" s="9">
        <v>44105</v>
      </c>
      <c r="B65" s="3">
        <v>0.92899500000000002</v>
      </c>
      <c r="C65" s="30" t="str">
        <f t="shared" si="2"/>
        <v>Risk</v>
      </c>
      <c r="D65" s="41" t="str">
        <f t="shared" si="3"/>
        <v>Risk</v>
      </c>
      <c r="E65" s="41" t="str">
        <f t="shared" si="4"/>
        <v/>
      </c>
      <c r="F65" s="16">
        <v>2267.15</v>
      </c>
      <c r="G65" s="16">
        <v>301.60000000000002</v>
      </c>
      <c r="H65" s="16">
        <v>31.97</v>
      </c>
      <c r="I65" s="16">
        <v>1488.97</v>
      </c>
      <c r="J65" s="14">
        <v>792.65</v>
      </c>
      <c r="K65" s="14">
        <v>1203.73</v>
      </c>
      <c r="L65" s="32"/>
      <c r="M65" s="32"/>
      <c r="N65" s="32"/>
      <c r="O65" s="35">
        <f>1+(($I58/$I65)-1)*2</f>
        <v>1.8770358032734036</v>
      </c>
      <c r="P65" s="32"/>
      <c r="Q65" s="32"/>
      <c r="R65" s="32"/>
      <c r="S65" s="35">
        <f>1+(($I54/$I65)-1)*2</f>
        <v>1.7065958347045274</v>
      </c>
      <c r="T65" s="32"/>
    </row>
    <row r="66" spans="1:20" ht="18" customHeight="1">
      <c r="A66" s="9">
        <v>44075</v>
      </c>
      <c r="B66" s="12">
        <v>0.94691700000000001</v>
      </c>
      <c r="C66" s="30" t="str">
        <f t="shared" si="2"/>
        <v>Risk</v>
      </c>
      <c r="D66" s="41" t="str">
        <f t="shared" si="3"/>
        <v>Risk</v>
      </c>
      <c r="E66" s="41" t="str">
        <f t="shared" si="4"/>
        <v/>
      </c>
      <c r="F66" s="16">
        <v>2327.89</v>
      </c>
      <c r="G66" s="16">
        <v>309.44</v>
      </c>
      <c r="H66" s="16">
        <v>24.15</v>
      </c>
      <c r="I66" s="16">
        <v>1529.18</v>
      </c>
      <c r="J66" s="14">
        <v>848.15</v>
      </c>
      <c r="K66" s="14">
        <v>1310.49</v>
      </c>
      <c r="L66" s="35">
        <f>1+(($I62/$I66)-1)*2</f>
        <v>1.64482925489478</v>
      </c>
      <c r="M66" s="32"/>
      <c r="N66" s="32"/>
      <c r="O66" s="32"/>
      <c r="P66" s="32"/>
      <c r="Q66" s="32"/>
      <c r="R66" s="35">
        <f>1+(($I56/$I66)-1)*2</f>
        <v>1.7835441216861323</v>
      </c>
      <c r="S66" s="32"/>
      <c r="T66" s="32"/>
    </row>
    <row r="67" spans="1:20" ht="18" customHeight="1">
      <c r="A67" s="9">
        <v>44044</v>
      </c>
      <c r="B67" s="12">
        <v>0.96567000000000003</v>
      </c>
      <c r="C67" s="30" t="str">
        <f t="shared" si="2"/>
        <v>Risk</v>
      </c>
      <c r="D67" s="41" t="str">
        <f t="shared" si="3"/>
        <v/>
      </c>
      <c r="E67" s="41" t="str">
        <f t="shared" si="4"/>
        <v/>
      </c>
      <c r="F67" s="16">
        <v>2326.17</v>
      </c>
      <c r="G67" s="16">
        <v>307.14</v>
      </c>
      <c r="H67" s="16">
        <v>27.77</v>
      </c>
      <c r="I67" s="16">
        <v>1510.89</v>
      </c>
      <c r="J67" s="14">
        <v>848.24</v>
      </c>
      <c r="K67" s="14">
        <v>1336.94</v>
      </c>
      <c r="L67" s="34">
        <f>$I66/$I67</f>
        <v>1.0121054477824329</v>
      </c>
      <c r="M67" s="32"/>
      <c r="N67" s="32"/>
      <c r="O67" s="32"/>
      <c r="P67" s="32"/>
      <c r="Q67" s="32"/>
      <c r="S67" s="32"/>
      <c r="T67" s="32"/>
    </row>
    <row r="68" spans="1:20" ht="18" customHeight="1">
      <c r="A68" s="9">
        <v>44013</v>
      </c>
      <c r="B68" s="12">
        <v>0.93300700000000003</v>
      </c>
      <c r="C68" s="30" t="str">
        <f t="shared" ref="C68:C131" si="7">IF(B68&lt;=C$1, "Risk", "")</f>
        <v>Risk</v>
      </c>
      <c r="D68" s="41" t="str">
        <f t="shared" si="3"/>
        <v>Risk</v>
      </c>
      <c r="E68" s="41" t="str">
        <f t="shared" si="4"/>
        <v/>
      </c>
      <c r="F68" s="16">
        <v>2249.37</v>
      </c>
      <c r="G68" s="16">
        <v>299.32</v>
      </c>
      <c r="H68" s="16">
        <v>23.57</v>
      </c>
      <c r="I68" s="16">
        <v>1474.68</v>
      </c>
      <c r="J68" s="13">
        <v>815.3</v>
      </c>
      <c r="K68" s="14">
        <v>1277.58</v>
      </c>
      <c r="L68" s="32"/>
      <c r="M68" s="32"/>
      <c r="N68" s="35">
        <f>1+(($I62/$I68)-1)*2</f>
        <v>1.7425746602652779</v>
      </c>
      <c r="O68" s="32"/>
      <c r="P68" s="32"/>
      <c r="Q68" s="32"/>
      <c r="R68" s="32"/>
      <c r="S68" s="32"/>
      <c r="T68" s="32"/>
    </row>
    <row r="69" spans="1:20" ht="18" customHeight="1">
      <c r="A69" s="9">
        <v>43983</v>
      </c>
      <c r="B69" s="12">
        <v>0.86749100000000001</v>
      </c>
      <c r="C69" s="30" t="str">
        <f t="shared" si="7"/>
        <v>Risk</v>
      </c>
      <c r="D69" s="41" t="str">
        <f t="shared" ref="D69:D132" si="8">IF(B69&lt;=D$1, "Risk", "")</f>
        <v>Risk</v>
      </c>
      <c r="E69" s="41" t="str">
        <f t="shared" ref="E69:E132" si="9">IF(B69&lt;=E$1, "Risk", "")</f>
        <v>Risk</v>
      </c>
      <c r="F69" s="16">
        <v>2108.33</v>
      </c>
      <c r="G69" s="16">
        <v>280.08999999999997</v>
      </c>
      <c r="H69" s="16">
        <v>31.07</v>
      </c>
      <c r="I69" s="16">
        <v>1383.3</v>
      </c>
      <c r="J69" s="14">
        <v>737.97</v>
      </c>
      <c r="K69" s="14">
        <v>1167.1400000000001</v>
      </c>
      <c r="L69" s="32"/>
      <c r="M69" s="32"/>
      <c r="N69" s="32"/>
      <c r="O69" s="32"/>
      <c r="P69" s="32"/>
      <c r="Q69" s="73">
        <f>1+(($I60/$I69)-1)*3</f>
        <v>2.5034916504012146</v>
      </c>
      <c r="R69" s="32"/>
      <c r="S69" s="32"/>
      <c r="T69" s="32"/>
    </row>
    <row r="70" spans="1:20" ht="18" customHeight="1">
      <c r="A70" s="9">
        <v>43952</v>
      </c>
      <c r="B70" s="12">
        <v>0.83083600000000002</v>
      </c>
      <c r="C70" s="30" t="str">
        <f t="shared" si="7"/>
        <v>Risk</v>
      </c>
      <c r="D70" s="41" t="str">
        <f t="shared" si="8"/>
        <v>Risk</v>
      </c>
      <c r="E70" s="41" t="str">
        <f t="shared" si="9"/>
        <v>Risk</v>
      </c>
      <c r="F70" s="16">
        <v>2029.6</v>
      </c>
      <c r="G70" s="16">
        <v>268.32</v>
      </c>
      <c r="H70" s="16">
        <v>25.64</v>
      </c>
      <c r="I70" s="16">
        <v>1311.92</v>
      </c>
      <c r="J70" s="14">
        <v>713.68</v>
      </c>
      <c r="K70" s="14">
        <v>1093.3800000000001</v>
      </c>
      <c r="L70" s="32"/>
      <c r="M70" s="73">
        <f>1+(($I65/$I70)-1)*3</f>
        <v>1.4048646258918227</v>
      </c>
      <c r="N70" s="32"/>
      <c r="O70" s="32"/>
      <c r="P70" s="32"/>
      <c r="Q70" s="32"/>
      <c r="R70" s="32"/>
      <c r="S70" s="32"/>
      <c r="T70" s="32"/>
    </row>
    <row r="71" spans="1:20" ht="18" customHeight="1">
      <c r="A71" s="9">
        <v>43922</v>
      </c>
      <c r="B71" s="12">
        <v>0.79072900000000002</v>
      </c>
      <c r="C71" s="30" t="str">
        <f t="shared" si="7"/>
        <v>Risk</v>
      </c>
      <c r="D71" s="41" t="str">
        <f t="shared" si="8"/>
        <v>Risk</v>
      </c>
      <c r="E71" s="41" t="str">
        <f t="shared" si="9"/>
        <v>Risk</v>
      </c>
      <c r="F71" s="16">
        <v>1947.56</v>
      </c>
      <c r="G71" s="16">
        <v>258.14999999999998</v>
      </c>
      <c r="H71" s="16">
        <v>30.51</v>
      </c>
      <c r="I71" s="16">
        <v>1268.19</v>
      </c>
      <c r="J71" s="14">
        <v>645.17999999999995</v>
      </c>
      <c r="K71" s="13">
        <v>992.7</v>
      </c>
      <c r="L71" s="32"/>
      <c r="M71" s="32"/>
      <c r="N71" s="32"/>
      <c r="O71" s="32"/>
      <c r="P71" s="73">
        <f>1+(($I63/$I71)-1)*3</f>
        <v>2.6027251437087502</v>
      </c>
      <c r="Q71" s="32"/>
      <c r="R71" s="32"/>
      <c r="S71" s="32"/>
      <c r="T71" s="32"/>
    </row>
    <row r="72" spans="1:20" ht="18" customHeight="1">
      <c r="A72" s="9">
        <v>43891</v>
      </c>
      <c r="B72" s="11">
        <v>0.71247499999999997</v>
      </c>
      <c r="C72" s="30" t="str">
        <f t="shared" si="7"/>
        <v>Risk</v>
      </c>
      <c r="D72" s="41" t="str">
        <f t="shared" si="8"/>
        <v>Risk</v>
      </c>
      <c r="E72" s="41" t="str">
        <f t="shared" si="9"/>
        <v>Risk</v>
      </c>
      <c r="F72" s="16">
        <v>1754.64</v>
      </c>
      <c r="G72" s="16">
        <v>236.82</v>
      </c>
      <c r="H72" s="16">
        <v>48.55</v>
      </c>
      <c r="I72" s="16">
        <v>1159.5999999999999</v>
      </c>
      <c r="J72" s="14">
        <v>569.07000000000005</v>
      </c>
      <c r="K72" s="13">
        <v>916.5</v>
      </c>
      <c r="L72" s="73">
        <f>1+(($I68/$I72)-1)*3</f>
        <v>1.8151431528113144</v>
      </c>
      <c r="M72" s="32"/>
      <c r="N72" s="32"/>
      <c r="O72" s="32"/>
      <c r="P72" s="32"/>
      <c r="Q72" s="32"/>
      <c r="R72" s="32"/>
      <c r="S72" s="32"/>
      <c r="T72" s="32"/>
    </row>
    <row r="73" spans="1:20" ht="18" customHeight="1">
      <c r="A73" s="9">
        <v>43862</v>
      </c>
      <c r="B73" s="3">
        <v>0.806952</v>
      </c>
      <c r="C73" s="30" t="str">
        <f t="shared" si="7"/>
        <v>Risk</v>
      </c>
      <c r="D73" s="41" t="str">
        <f t="shared" si="8"/>
        <v>Risk</v>
      </c>
      <c r="E73" s="41" t="str">
        <f t="shared" si="9"/>
        <v>Risk</v>
      </c>
      <c r="F73" s="16">
        <v>1987.01</v>
      </c>
      <c r="G73" s="16">
        <v>268.02</v>
      </c>
      <c r="H73" s="16">
        <v>33.81</v>
      </c>
      <c r="I73" s="16">
        <v>1312.77</v>
      </c>
      <c r="J73" s="14">
        <v>610.73</v>
      </c>
      <c r="K73" s="14">
        <v>927.48</v>
      </c>
      <c r="L73" s="32"/>
      <c r="M73" s="32"/>
      <c r="N73" s="32"/>
      <c r="O73" s="73">
        <f>1+(($I66/$I73)-1)*3</f>
        <v>1.494549692634658</v>
      </c>
      <c r="P73" s="32"/>
      <c r="Q73" s="32"/>
      <c r="R73" s="32"/>
      <c r="S73" s="32"/>
      <c r="T73" s="32"/>
    </row>
    <row r="74" spans="1:20" ht="18" customHeight="1">
      <c r="A74" s="9">
        <v>43831</v>
      </c>
      <c r="B74" s="11">
        <v>0.85994499999999996</v>
      </c>
      <c r="C74" s="30" t="str">
        <f t="shared" si="7"/>
        <v>Risk</v>
      </c>
      <c r="D74" s="41" t="str">
        <f t="shared" si="8"/>
        <v>Risk</v>
      </c>
      <c r="E74" s="41" t="str">
        <f t="shared" si="9"/>
        <v>Risk</v>
      </c>
      <c r="F74" s="16">
        <v>2119.0100000000002</v>
      </c>
      <c r="G74" s="16">
        <v>284.52999999999997</v>
      </c>
      <c r="H74" s="16">
        <v>19.29</v>
      </c>
      <c r="I74" s="16">
        <v>1397.56</v>
      </c>
      <c r="J74" s="14">
        <v>642.48</v>
      </c>
      <c r="K74" s="14">
        <v>958.52</v>
      </c>
      <c r="L74" s="32"/>
      <c r="M74" s="32"/>
      <c r="N74" s="32"/>
      <c r="O74" s="32"/>
      <c r="P74" s="32"/>
      <c r="Q74" s="32"/>
      <c r="R74" s="32"/>
      <c r="S74" s="32"/>
      <c r="T74" s="32"/>
    </row>
    <row r="75" spans="1:20" ht="18" customHeight="1">
      <c r="A75" s="9">
        <v>43800</v>
      </c>
      <c r="B75" s="11">
        <v>0.89135299999999995</v>
      </c>
      <c r="C75" s="30" t="str">
        <f t="shared" si="7"/>
        <v>Risk</v>
      </c>
      <c r="D75" s="41" t="str">
        <f t="shared" si="8"/>
        <v>Risk</v>
      </c>
      <c r="E75" s="41" t="str">
        <f t="shared" si="9"/>
        <v>Risk</v>
      </c>
      <c r="F75" s="16">
        <v>2197.67</v>
      </c>
      <c r="G75" s="16">
        <v>293.77</v>
      </c>
      <c r="H75" s="16">
        <v>14.69</v>
      </c>
      <c r="I75" s="16">
        <v>1446.82</v>
      </c>
      <c r="J75" s="14">
        <v>669.83</v>
      </c>
      <c r="K75" s="14">
        <v>1029.57</v>
      </c>
      <c r="L75" s="32"/>
      <c r="M75" s="32"/>
      <c r="N75" s="73">
        <f>1+(($I69/$I75)-1)*3</f>
        <v>0.86829045769342428</v>
      </c>
      <c r="O75" s="32"/>
      <c r="P75" s="32"/>
      <c r="Q75" s="32"/>
      <c r="R75" s="32"/>
      <c r="S75" s="32"/>
      <c r="T75" s="32"/>
    </row>
    <row r="76" spans="1:20" ht="18" customHeight="1">
      <c r="A76" s="9">
        <v>43770</v>
      </c>
      <c r="B76" s="11">
        <v>0.86090999999999995</v>
      </c>
      <c r="C76" s="30" t="str">
        <f t="shared" si="7"/>
        <v>Risk</v>
      </c>
      <c r="D76" s="41" t="str">
        <f t="shared" si="8"/>
        <v>Risk</v>
      </c>
      <c r="E76" s="41" t="str">
        <f t="shared" si="9"/>
        <v>Risk</v>
      </c>
      <c r="F76" s="16">
        <v>2087.96</v>
      </c>
      <c r="G76" s="16">
        <v>276.77999999999997</v>
      </c>
      <c r="H76" s="16">
        <v>13.96</v>
      </c>
      <c r="I76" s="16">
        <v>1347.44</v>
      </c>
      <c r="J76" s="14">
        <v>632.99</v>
      </c>
      <c r="K76" s="37">
        <v>946.89</v>
      </c>
      <c r="L76" s="32"/>
      <c r="M76" s="73">
        <f>1+(($I71/$I76)-1)*3</f>
        <v>0.82355429555304871</v>
      </c>
      <c r="N76" s="32"/>
      <c r="O76" s="32"/>
      <c r="P76" s="32"/>
      <c r="Q76" s="32"/>
      <c r="R76" s="32"/>
      <c r="S76" s="32"/>
      <c r="T76" s="73">
        <f>1+(($I64/$I76)-1)*3</f>
        <v>1.8143442379623582</v>
      </c>
    </row>
    <row r="77" spans="1:20" ht="18" customHeight="1">
      <c r="A77" s="9">
        <v>43739</v>
      </c>
      <c r="B77" s="11">
        <v>0.85831400000000002</v>
      </c>
      <c r="C77" s="30" t="str">
        <f t="shared" si="7"/>
        <v>Risk</v>
      </c>
      <c r="D77" s="41" t="str">
        <f t="shared" si="8"/>
        <v>Risk</v>
      </c>
      <c r="E77" s="41" t="str">
        <f t="shared" si="9"/>
        <v>Risk</v>
      </c>
      <c r="F77" s="16">
        <v>2083.48</v>
      </c>
      <c r="G77" s="16">
        <v>275.82</v>
      </c>
      <c r="H77" s="16">
        <v>13.59</v>
      </c>
      <c r="I77" s="16">
        <v>1342.34</v>
      </c>
      <c r="J77" s="14">
        <v>658.52</v>
      </c>
      <c r="K77" s="14">
        <v>1016.62</v>
      </c>
      <c r="L77" s="73">
        <f>1+(($I73/$I77)-1)*3</f>
        <v>0.93391391152763115</v>
      </c>
      <c r="M77" s="32"/>
      <c r="N77" s="32"/>
      <c r="O77" s="32"/>
      <c r="P77" s="32"/>
      <c r="Q77" s="32"/>
      <c r="R77" s="32"/>
      <c r="S77" s="73">
        <f>1+(($I66/$I77)-1)*3</f>
        <v>1.4175693192484766</v>
      </c>
      <c r="T77" s="32"/>
    </row>
    <row r="78" spans="1:20" ht="18" customHeight="1">
      <c r="A78" s="9">
        <v>43709</v>
      </c>
      <c r="B78" s="11">
        <v>0.84934799999999999</v>
      </c>
      <c r="C78" s="30" t="str">
        <f t="shared" si="7"/>
        <v>Risk</v>
      </c>
      <c r="D78" s="41" t="str">
        <f t="shared" si="8"/>
        <v>Risk</v>
      </c>
      <c r="E78" s="41" t="str">
        <f t="shared" si="9"/>
        <v>Risk</v>
      </c>
      <c r="F78" s="16">
        <v>2063.0500000000002</v>
      </c>
      <c r="G78" s="16">
        <v>273.55</v>
      </c>
      <c r="H78" s="16">
        <v>15.15</v>
      </c>
      <c r="I78" s="16">
        <v>1330.93</v>
      </c>
      <c r="J78" s="14">
        <v>621.76</v>
      </c>
      <c r="K78" s="14">
        <v>894.36</v>
      </c>
      <c r="L78" s="32"/>
      <c r="M78" s="32"/>
      <c r="N78" s="32"/>
      <c r="O78" s="32"/>
      <c r="P78" s="32"/>
      <c r="Q78" s="32"/>
      <c r="R78" s="73">
        <f>1+(($I68/$I78)-1)*3</f>
        <v>1.3240215488417872</v>
      </c>
      <c r="S78" s="32"/>
      <c r="T78" s="32"/>
    </row>
    <row r="79" spans="1:20" ht="18" customHeight="1">
      <c r="A79" s="9">
        <v>43678</v>
      </c>
      <c r="B79" s="11">
        <v>0.826874</v>
      </c>
      <c r="C79" s="30" t="str">
        <f t="shared" si="7"/>
        <v>Risk</v>
      </c>
      <c r="D79" s="41" t="str">
        <f t="shared" si="8"/>
        <v>Risk</v>
      </c>
      <c r="E79" s="41" t="str">
        <f t="shared" si="9"/>
        <v>Risk</v>
      </c>
      <c r="F79" s="16">
        <v>1967.79</v>
      </c>
      <c r="G79" s="16">
        <v>259</v>
      </c>
      <c r="H79" s="16">
        <v>15.75</v>
      </c>
      <c r="I79" s="16">
        <v>1258.81</v>
      </c>
      <c r="J79" s="14">
        <v>610.54999999999995</v>
      </c>
      <c r="K79" s="14">
        <v>891.39</v>
      </c>
      <c r="L79" s="32"/>
      <c r="M79" s="32"/>
      <c r="N79" s="32"/>
      <c r="O79" s="32"/>
      <c r="P79" s="32"/>
      <c r="Q79" s="73">
        <f>1+(($I70/$I79)-1)*3</f>
        <v>1.1265719211000869</v>
      </c>
      <c r="R79" s="32"/>
      <c r="S79" s="32"/>
      <c r="T79" s="32"/>
    </row>
    <row r="80" spans="1:20" ht="18" customHeight="1">
      <c r="A80" s="9">
        <v>43647</v>
      </c>
      <c r="B80" s="3">
        <v>0.85062599999999999</v>
      </c>
      <c r="C80" s="30" t="str">
        <f t="shared" si="7"/>
        <v>Risk</v>
      </c>
      <c r="D80" s="41" t="str">
        <f t="shared" si="8"/>
        <v>Risk</v>
      </c>
      <c r="E80" s="41" t="str">
        <f t="shared" si="9"/>
        <v>Risk</v>
      </c>
      <c r="F80" s="16">
        <v>2024.55</v>
      </c>
      <c r="G80" s="16">
        <v>266.33999999999997</v>
      </c>
      <c r="H80" s="16">
        <v>15.29</v>
      </c>
      <c r="I80" s="16">
        <v>1296.21</v>
      </c>
      <c r="J80" s="14">
        <v>630.17999999999995</v>
      </c>
      <c r="K80" s="14">
        <v>939.73</v>
      </c>
      <c r="L80" s="32"/>
      <c r="M80" s="32"/>
      <c r="N80" s="32"/>
      <c r="O80" s="32"/>
      <c r="P80" s="73">
        <f>1+(($I72/$I80)-1)*3</f>
        <v>0.68382438030874604</v>
      </c>
      <c r="Q80" s="32"/>
      <c r="R80" s="32"/>
      <c r="S80" s="32"/>
      <c r="T80" s="32"/>
    </row>
    <row r="81" spans="1:20" ht="18" customHeight="1">
      <c r="A81" s="9">
        <v>43617</v>
      </c>
      <c r="B81" s="3">
        <v>0.89509099999999997</v>
      </c>
      <c r="C81" s="30" t="str">
        <f t="shared" si="7"/>
        <v>Risk</v>
      </c>
      <c r="D81" s="41" t="str">
        <f t="shared" si="8"/>
        <v>Risk</v>
      </c>
      <c r="E81" s="41" t="str">
        <f t="shared" si="9"/>
        <v>Risk</v>
      </c>
      <c r="F81" s="16">
        <v>2130.62</v>
      </c>
      <c r="G81" s="16">
        <v>277.5</v>
      </c>
      <c r="H81" s="16">
        <v>14.43</v>
      </c>
      <c r="I81" s="16">
        <v>1352.31</v>
      </c>
      <c r="J81" s="14">
        <v>690.53</v>
      </c>
      <c r="K81" s="14">
        <v>1012.74</v>
      </c>
      <c r="L81" s="32"/>
      <c r="M81" s="32"/>
      <c r="N81" s="32"/>
      <c r="O81" s="73">
        <f>1+(($I74/$I81)-1)*3</f>
        <v>1.1003837877409763</v>
      </c>
      <c r="P81" s="32"/>
      <c r="Q81" s="32"/>
      <c r="R81" s="32"/>
      <c r="S81" s="32"/>
      <c r="T81" s="32"/>
    </row>
    <row r="82" spans="1:20" ht="18" customHeight="1">
      <c r="A82" s="9">
        <v>43586</v>
      </c>
      <c r="B82" s="3">
        <v>0.87327999999999995</v>
      </c>
      <c r="C82" s="30" t="str">
        <f t="shared" si="7"/>
        <v>Risk</v>
      </c>
      <c r="D82" s="41" t="str">
        <f t="shared" si="8"/>
        <v>Risk</v>
      </c>
      <c r="E82" s="41" t="str">
        <f t="shared" si="9"/>
        <v>Risk</v>
      </c>
      <c r="F82" s="16">
        <v>2041.74</v>
      </c>
      <c r="G82" s="16">
        <v>263.89</v>
      </c>
      <c r="H82" s="16">
        <v>17.32</v>
      </c>
      <c r="I82" s="16">
        <v>1280.67</v>
      </c>
      <c r="J82" s="14">
        <v>696.47</v>
      </c>
      <c r="K82" s="14">
        <v>1075.28</v>
      </c>
      <c r="L82" s="73">
        <f>1+(($I78/$I82)-1)*3</f>
        <v>1.1177352479561482</v>
      </c>
      <c r="M82" s="73">
        <f>1+(($I77/$I82)-1)*3</f>
        <v>1.144463444915552</v>
      </c>
      <c r="N82" s="73">
        <f>1+(($I76/$I82)-1)*3</f>
        <v>1.1564103164749704</v>
      </c>
      <c r="O82" s="32"/>
      <c r="P82" s="32"/>
      <c r="Q82" s="32"/>
      <c r="R82" s="32"/>
      <c r="S82" s="32"/>
      <c r="T82" s="32"/>
    </row>
    <row r="83" spans="1:20" ht="18" customHeight="1">
      <c r="A83" s="9">
        <v>43556</v>
      </c>
      <c r="B83" s="3">
        <v>0.947048</v>
      </c>
      <c r="C83" s="30" t="str">
        <f t="shared" si="7"/>
        <v>Risk</v>
      </c>
      <c r="D83" s="41" t="str">
        <f t="shared" si="8"/>
        <v>Risk</v>
      </c>
      <c r="E83" s="41" t="str">
        <f t="shared" si="9"/>
        <v/>
      </c>
      <c r="F83" s="16">
        <v>2203.59</v>
      </c>
      <c r="G83" s="16">
        <v>284.92</v>
      </c>
      <c r="H83" s="16">
        <v>13.28</v>
      </c>
      <c r="I83" s="16">
        <v>1387.11</v>
      </c>
      <c r="J83" s="14">
        <v>754.74</v>
      </c>
      <c r="K83" s="14">
        <v>1207.56</v>
      </c>
      <c r="L83" s="32"/>
      <c r="M83" s="35">
        <f>1+(($I82/$I83)-1)*2</f>
        <v>0.84652983541319737</v>
      </c>
      <c r="N83" s="32"/>
      <c r="O83" s="32"/>
      <c r="P83" s="32"/>
      <c r="Q83" s="32"/>
      <c r="R83" s="32"/>
      <c r="S83" s="32"/>
      <c r="T83" s="32"/>
    </row>
    <row r="84" spans="1:20" ht="18" customHeight="1">
      <c r="A84" s="9">
        <v>43525</v>
      </c>
      <c r="B84" s="3">
        <v>0.91991199999999995</v>
      </c>
      <c r="C84" s="30" t="str">
        <f t="shared" si="7"/>
        <v>Risk</v>
      </c>
      <c r="D84" s="41" t="str">
        <f t="shared" si="8"/>
        <v>Risk</v>
      </c>
      <c r="E84" s="41" t="str">
        <f t="shared" si="9"/>
        <v/>
      </c>
      <c r="F84" s="16">
        <v>2140.67</v>
      </c>
      <c r="G84" s="16">
        <v>276.48</v>
      </c>
      <c r="H84" s="16">
        <v>14.29</v>
      </c>
      <c r="I84" s="16">
        <v>1347.26</v>
      </c>
      <c r="J84" s="14">
        <v>729.31</v>
      </c>
      <c r="K84" s="13">
        <v>1193.9000000000001</v>
      </c>
      <c r="L84" s="35">
        <f>1+(($I82/$I84)-1)*2</f>
        <v>0.90114751421403461</v>
      </c>
      <c r="M84" s="32"/>
      <c r="N84" s="32"/>
      <c r="O84" s="32"/>
      <c r="P84" s="32"/>
      <c r="Q84" s="32"/>
      <c r="R84" s="32"/>
      <c r="S84" s="32"/>
      <c r="T84" s="32"/>
    </row>
    <row r="85" spans="1:20" ht="18" customHeight="1">
      <c r="A85" s="9">
        <v>43497</v>
      </c>
      <c r="B85" s="3">
        <v>0.94048799999999999</v>
      </c>
      <c r="C85" s="30" t="str">
        <f t="shared" si="7"/>
        <v>Risk</v>
      </c>
      <c r="D85" s="41" t="str">
        <f t="shared" si="8"/>
        <v>Risk</v>
      </c>
      <c r="E85" s="41" t="str">
        <f t="shared" si="9"/>
        <v/>
      </c>
      <c r="F85" s="16">
        <v>2195.44</v>
      </c>
      <c r="G85" s="16">
        <v>283.8</v>
      </c>
      <c r="H85" s="16">
        <v>15.49</v>
      </c>
      <c r="I85" s="16">
        <v>1383.39</v>
      </c>
      <c r="J85" s="14">
        <v>731.25</v>
      </c>
      <c r="K85" s="14">
        <v>1235.26</v>
      </c>
      <c r="L85" s="32"/>
      <c r="M85" s="32"/>
      <c r="N85" s="32"/>
      <c r="O85" s="32"/>
      <c r="P85" s="32"/>
      <c r="Q85" s="32"/>
      <c r="R85" s="32"/>
      <c r="S85" s="32"/>
      <c r="T85" s="32"/>
    </row>
    <row r="86" spans="1:20" ht="18" customHeight="1">
      <c r="A86" s="9">
        <v>43466</v>
      </c>
      <c r="B86" s="3">
        <v>0.93744499999999997</v>
      </c>
      <c r="C86" s="30" t="str">
        <f t="shared" si="7"/>
        <v>Risk</v>
      </c>
      <c r="D86" s="41" t="str">
        <f t="shared" si="8"/>
        <v>Risk</v>
      </c>
      <c r="E86" s="41" t="str">
        <f t="shared" si="9"/>
        <v/>
      </c>
      <c r="F86" s="16">
        <v>2204.85</v>
      </c>
      <c r="G86" s="16">
        <v>285.89</v>
      </c>
      <c r="H86" s="16">
        <v>15.51</v>
      </c>
      <c r="I86" s="16">
        <v>1398.5</v>
      </c>
      <c r="J86" s="14">
        <v>716.86</v>
      </c>
      <c r="K86" s="14">
        <v>1191.47</v>
      </c>
      <c r="L86" s="32"/>
      <c r="M86" s="32"/>
      <c r="N86" s="32"/>
      <c r="O86" s="32"/>
      <c r="P86" s="32"/>
      <c r="Q86" s="32"/>
      <c r="R86" s="32"/>
      <c r="S86" s="32"/>
      <c r="T86" s="32"/>
    </row>
    <row r="87" spans="1:20" ht="18" customHeight="1">
      <c r="A87" s="9">
        <v>43435</v>
      </c>
      <c r="B87" s="3">
        <v>0.867363</v>
      </c>
      <c r="C87" s="30" t="str">
        <f t="shared" si="7"/>
        <v>Risk</v>
      </c>
      <c r="D87" s="41" t="str">
        <f t="shared" si="8"/>
        <v>Risk</v>
      </c>
      <c r="E87" s="41" t="str">
        <f t="shared" si="9"/>
        <v>Risk</v>
      </c>
      <c r="F87" s="16">
        <v>2041.04</v>
      </c>
      <c r="G87" s="16">
        <v>261.98</v>
      </c>
      <c r="H87" s="16">
        <v>18.989999999999998</v>
      </c>
      <c r="I87" s="16">
        <v>1276.9000000000001</v>
      </c>
      <c r="J87" s="14">
        <v>675.65</v>
      </c>
      <c r="K87" s="14">
        <v>1166.25</v>
      </c>
      <c r="L87" s="32"/>
      <c r="M87" s="32"/>
      <c r="N87" s="32"/>
      <c r="O87" s="32"/>
      <c r="P87" s="32"/>
      <c r="Q87" s="32"/>
      <c r="R87" s="32"/>
      <c r="S87" s="32"/>
      <c r="T87" s="32"/>
    </row>
    <row r="88" spans="1:20" ht="18" customHeight="1">
      <c r="A88" s="9">
        <v>43405</v>
      </c>
      <c r="B88" s="3">
        <v>0.92381400000000002</v>
      </c>
      <c r="C88" s="30" t="str">
        <f t="shared" si="7"/>
        <v>Risk</v>
      </c>
      <c r="D88" s="41" t="str">
        <f t="shared" si="8"/>
        <v>Risk</v>
      </c>
      <c r="E88" s="41" t="str">
        <f t="shared" si="9"/>
        <v/>
      </c>
      <c r="F88" s="16">
        <v>2096.86</v>
      </c>
      <c r="G88" s="16">
        <v>271.35000000000002</v>
      </c>
      <c r="H88" s="16">
        <v>18.57</v>
      </c>
      <c r="I88" s="16">
        <v>1309.6300000000001</v>
      </c>
      <c r="J88" s="14">
        <v>695.76</v>
      </c>
      <c r="K88" s="14">
        <v>1186.6300000000001</v>
      </c>
      <c r="L88" s="32"/>
      <c r="M88" s="32"/>
      <c r="N88" s="32"/>
      <c r="O88" s="32"/>
      <c r="P88" s="32"/>
      <c r="Q88" s="32"/>
      <c r="R88" s="32"/>
      <c r="S88" s="32"/>
      <c r="T88" s="32"/>
    </row>
    <row r="89" spans="1:20" ht="18" customHeight="1">
      <c r="A89" s="9">
        <v>43374</v>
      </c>
      <c r="B89" s="3">
        <v>0.89380899999999996</v>
      </c>
      <c r="C89" s="30" t="str">
        <f t="shared" si="7"/>
        <v>Risk</v>
      </c>
      <c r="D89" s="41" t="str">
        <f t="shared" si="8"/>
        <v>Risk</v>
      </c>
      <c r="E89" s="41" t="str">
        <f t="shared" si="9"/>
        <v>Risk</v>
      </c>
      <c r="F89" s="16">
        <v>2029.69</v>
      </c>
      <c r="G89" s="16">
        <v>264.01</v>
      </c>
      <c r="H89" s="16">
        <v>20.49</v>
      </c>
      <c r="I89" s="16">
        <v>1273.47</v>
      </c>
      <c r="J89" s="14">
        <v>648.66999999999996</v>
      </c>
      <c r="K89" s="14">
        <v>1124.49</v>
      </c>
      <c r="L89" s="73">
        <f>1+(($I85/$I89)-1)*3</f>
        <v>1.2589460293528707</v>
      </c>
      <c r="M89" s="73">
        <f>1+(($I84/$I89)-1)*3</f>
        <v>1.173832127965323</v>
      </c>
      <c r="N89" s="73">
        <f>1+(($I83/$I89)-1)*3</f>
        <v>1.2677094866781309</v>
      </c>
      <c r="O89" s="73">
        <f>1+(($I82/$I89)-1)*3</f>
        <v>1.016961530306957</v>
      </c>
      <c r="P89" s="73">
        <f>1+(($I81/$I89)-1)*3</f>
        <v>1.1857287568611745</v>
      </c>
      <c r="Q89" s="73">
        <f>1+(($I80/$I89)-1)*3</f>
        <v>1.0535701665528048</v>
      </c>
      <c r="R89" s="73">
        <f>1+(($I79/$I89)-1)*3</f>
        <v>0.96546443968055773</v>
      </c>
      <c r="S89" s="73">
        <f>1+(($I78/$I89)-1)*3</f>
        <v>1.1353624349219062</v>
      </c>
      <c r="T89" s="73">
        <f>1+(($I77/$I89)-1)*3</f>
        <v>1.1622417489222361</v>
      </c>
    </row>
    <row r="90" spans="1:20" ht="18" customHeight="1">
      <c r="A90" s="9">
        <v>43344</v>
      </c>
      <c r="B90" s="3">
        <v>1.030465</v>
      </c>
      <c r="C90" s="30" t="str">
        <f t="shared" si="7"/>
        <v/>
      </c>
      <c r="D90" s="41" t="str">
        <f t="shared" si="8"/>
        <v/>
      </c>
      <c r="E90" s="41" t="str">
        <f t="shared" si="9"/>
        <v/>
      </c>
      <c r="F90" s="16">
        <v>2343.0700000000002</v>
      </c>
      <c r="G90" s="16">
        <v>300.51</v>
      </c>
      <c r="H90" s="16">
        <v>11.24</v>
      </c>
      <c r="I90" s="16">
        <v>1454.29</v>
      </c>
      <c r="J90" s="14">
        <v>822.27</v>
      </c>
      <c r="K90" s="14">
        <v>1411.73</v>
      </c>
    </row>
    <row r="91" spans="1:20" ht="18" customHeight="1">
      <c r="A91" s="9">
        <v>43313</v>
      </c>
      <c r="B91" s="3">
        <v>1.0442990000000001</v>
      </c>
      <c r="C91" s="30" t="str">
        <f t="shared" si="7"/>
        <v/>
      </c>
      <c r="D91" s="41" t="str">
        <f t="shared" si="8"/>
        <v/>
      </c>
      <c r="E91" s="41" t="str">
        <f t="shared" si="9"/>
        <v/>
      </c>
      <c r="F91" s="16">
        <v>2322.88</v>
      </c>
      <c r="G91" s="16">
        <v>300.07</v>
      </c>
      <c r="H91" s="16">
        <v>11.64</v>
      </c>
      <c r="I91" s="16">
        <v>1445.99</v>
      </c>
      <c r="J91" s="14">
        <v>816.97</v>
      </c>
      <c r="K91" s="14">
        <v>1376.46</v>
      </c>
    </row>
    <row r="92" spans="1:20" ht="18" customHeight="1">
      <c r="A92" s="9">
        <v>43282</v>
      </c>
      <c r="B92" s="3">
        <v>1.0321480000000001</v>
      </c>
      <c r="C92" s="30" t="str">
        <f t="shared" si="7"/>
        <v/>
      </c>
      <c r="D92" s="41" t="str">
        <f t="shared" si="8"/>
        <v/>
      </c>
      <c r="E92" s="41" t="str">
        <f t="shared" si="9"/>
        <v/>
      </c>
      <c r="F92" s="16">
        <v>2295.2600000000002</v>
      </c>
      <c r="G92" s="16">
        <v>297.45</v>
      </c>
      <c r="H92" s="16">
        <v>13.05</v>
      </c>
      <c r="I92" s="16">
        <v>1438.27</v>
      </c>
      <c r="J92" s="14">
        <v>775.52</v>
      </c>
      <c r="K92" s="14">
        <v>1265.58</v>
      </c>
    </row>
    <row r="93" spans="1:20" ht="18" customHeight="1">
      <c r="A93" s="9">
        <v>43252</v>
      </c>
      <c r="B93" s="3">
        <v>1.0479160000000001</v>
      </c>
      <c r="C93" s="30" t="str">
        <f t="shared" si="7"/>
        <v/>
      </c>
      <c r="D93" s="41" t="str">
        <f t="shared" si="8"/>
        <v/>
      </c>
      <c r="E93" s="41" t="str">
        <f t="shared" si="9"/>
        <v/>
      </c>
      <c r="F93" s="16">
        <v>2326.13</v>
      </c>
      <c r="G93" s="16">
        <v>299.66000000000003</v>
      </c>
      <c r="H93" s="16">
        <v>16.04</v>
      </c>
      <c r="I93" s="16">
        <v>1448.16</v>
      </c>
      <c r="J93" s="14">
        <v>818.22</v>
      </c>
      <c r="K93" s="14">
        <v>1391.83</v>
      </c>
    </row>
    <row r="94" spans="1:20" ht="18" customHeight="1">
      <c r="A94" s="9">
        <v>43221</v>
      </c>
      <c r="B94" s="3">
        <v>1.1065240000000001</v>
      </c>
      <c r="C94" s="30" t="str">
        <f t="shared" si="7"/>
        <v/>
      </c>
      <c r="D94" s="41" t="str">
        <f t="shared" si="8"/>
        <v/>
      </c>
      <c r="E94" s="41" t="str">
        <f t="shared" si="9"/>
        <v/>
      </c>
      <c r="F94" s="16">
        <v>2423.0100000000002</v>
      </c>
      <c r="G94" s="16">
        <v>310.92</v>
      </c>
      <c r="H94" s="16">
        <v>14.55</v>
      </c>
      <c r="I94" s="16">
        <v>1498.26</v>
      </c>
      <c r="J94" s="14">
        <v>879.66</v>
      </c>
      <c r="K94" s="13">
        <v>1491.9</v>
      </c>
    </row>
    <row r="95" spans="1:20" ht="18" customHeight="1">
      <c r="A95" s="9">
        <v>43191</v>
      </c>
      <c r="B95" s="3">
        <v>1.1569799999999999</v>
      </c>
      <c r="C95" s="30" t="str">
        <f t="shared" si="7"/>
        <v/>
      </c>
      <c r="D95" s="41" t="str">
        <f t="shared" si="8"/>
        <v/>
      </c>
      <c r="E95" s="41" t="str">
        <f t="shared" si="9"/>
        <v/>
      </c>
      <c r="F95" s="16">
        <v>2515.38</v>
      </c>
      <c r="G95" s="16">
        <v>323.56</v>
      </c>
      <c r="H95" s="16">
        <v>13.59</v>
      </c>
      <c r="I95" s="16">
        <v>1558.62</v>
      </c>
      <c r="J95" s="14">
        <v>875.95</v>
      </c>
      <c r="K95" s="14">
        <v>1495.09</v>
      </c>
    </row>
    <row r="96" spans="1:20" ht="18" customHeight="1">
      <c r="A96" s="9">
        <v>43160</v>
      </c>
      <c r="B96" s="3">
        <v>1.1228480000000001</v>
      </c>
      <c r="C96" s="30" t="str">
        <f t="shared" si="7"/>
        <v/>
      </c>
      <c r="D96" s="41" t="str">
        <f t="shared" si="8"/>
        <v/>
      </c>
      <c r="E96" s="41" t="str">
        <f t="shared" si="9"/>
        <v/>
      </c>
      <c r="F96" s="16">
        <v>2445.85</v>
      </c>
      <c r="G96" s="16">
        <v>314.61</v>
      </c>
      <c r="H96" s="16">
        <v>17.54</v>
      </c>
      <c r="I96" s="16">
        <v>1524.33</v>
      </c>
      <c r="J96" s="14">
        <v>871.09</v>
      </c>
      <c r="K96" s="14">
        <v>1551.48</v>
      </c>
    </row>
    <row r="97" spans="1:20" ht="18" customHeight="1">
      <c r="A97" s="9">
        <v>43132</v>
      </c>
      <c r="B97" s="3">
        <v>1.113524</v>
      </c>
      <c r="C97" s="30" t="str">
        <f t="shared" si="7"/>
        <v/>
      </c>
      <c r="D97" s="41" t="str">
        <f t="shared" si="8"/>
        <v/>
      </c>
      <c r="E97" s="41" t="str">
        <f t="shared" si="9"/>
        <v/>
      </c>
      <c r="F97" s="16">
        <v>2427.36</v>
      </c>
      <c r="G97" s="16">
        <v>312.86</v>
      </c>
      <c r="H97" s="16">
        <v>15.55</v>
      </c>
      <c r="I97" s="16">
        <v>1515.9</v>
      </c>
      <c r="J97" s="14">
        <v>857.06</v>
      </c>
      <c r="K97" s="13">
        <v>1535.3</v>
      </c>
    </row>
    <row r="98" spans="1:20" ht="18" customHeight="1">
      <c r="A98" s="9">
        <v>43101</v>
      </c>
      <c r="B98" s="3">
        <v>1.152892</v>
      </c>
      <c r="C98" s="30" t="str">
        <f t="shared" si="7"/>
        <v/>
      </c>
      <c r="D98" s="41" t="str">
        <f t="shared" si="8"/>
        <v/>
      </c>
      <c r="E98" s="41" t="str">
        <f t="shared" si="9"/>
        <v/>
      </c>
      <c r="F98" s="16">
        <v>2566.46</v>
      </c>
      <c r="G98" s="16">
        <v>333.38</v>
      </c>
      <c r="H98" s="16">
        <v>14.54</v>
      </c>
      <c r="I98" s="16">
        <v>1622.47</v>
      </c>
      <c r="J98" s="14">
        <v>913.57</v>
      </c>
      <c r="K98" s="14">
        <v>1664.36</v>
      </c>
    </row>
    <row r="99" spans="1:20" ht="18" customHeight="1">
      <c r="A99" s="9">
        <v>43070</v>
      </c>
      <c r="B99" s="3">
        <v>1.1098110000000001</v>
      </c>
      <c r="C99" s="30" t="str">
        <f t="shared" si="7"/>
        <v/>
      </c>
      <c r="D99" s="41" t="str">
        <f t="shared" si="8"/>
        <v/>
      </c>
      <c r="E99" s="41" t="str">
        <f t="shared" si="9"/>
        <v/>
      </c>
      <c r="F99" s="16">
        <v>2467.4899999999998</v>
      </c>
      <c r="G99" s="16">
        <v>324.74</v>
      </c>
      <c r="H99" s="16">
        <v>12.06</v>
      </c>
      <c r="I99" s="16">
        <v>1579.84</v>
      </c>
      <c r="J99" s="14">
        <v>798.42</v>
      </c>
      <c r="K99" s="13">
        <v>1413.8</v>
      </c>
    </row>
    <row r="100" spans="1:20" ht="18" customHeight="1">
      <c r="A100" s="9">
        <v>43040</v>
      </c>
      <c r="B100" s="3">
        <v>1.1375059999999999</v>
      </c>
      <c r="C100" s="30" t="str">
        <f t="shared" si="7"/>
        <v/>
      </c>
      <c r="D100" s="41" t="str">
        <f t="shared" si="8"/>
        <v/>
      </c>
      <c r="E100" s="41" t="str">
        <f t="shared" si="9"/>
        <v/>
      </c>
      <c r="F100" s="16">
        <v>2476.37</v>
      </c>
      <c r="G100" s="16">
        <v>325.25</v>
      </c>
      <c r="H100" s="16">
        <v>13.2</v>
      </c>
      <c r="I100" s="16">
        <v>1565.29</v>
      </c>
      <c r="J100" s="14">
        <v>771.42</v>
      </c>
      <c r="K100" s="14">
        <v>1348.84</v>
      </c>
    </row>
    <row r="101" spans="1:20" ht="18" customHeight="1">
      <c r="A101" s="9">
        <v>43009</v>
      </c>
      <c r="B101" s="3">
        <v>1.1598539999999999</v>
      </c>
      <c r="C101" s="30" t="str">
        <f t="shared" si="7"/>
        <v/>
      </c>
      <c r="D101" s="41" t="str">
        <f t="shared" si="8"/>
        <v/>
      </c>
      <c r="E101" s="41" t="str">
        <f t="shared" si="9"/>
        <v/>
      </c>
      <c r="F101" s="16">
        <v>2523.4299999999998</v>
      </c>
      <c r="G101" s="16">
        <v>333.57</v>
      </c>
      <c r="H101" s="16">
        <v>12.06</v>
      </c>
      <c r="I101" s="16">
        <v>1607.59</v>
      </c>
      <c r="J101" s="13">
        <v>694.2</v>
      </c>
      <c r="K101" s="14">
        <v>1196.8599999999999</v>
      </c>
      <c r="T101" s="32"/>
    </row>
    <row r="102" spans="1:20" ht="18" customHeight="1">
      <c r="A102" s="9">
        <v>42979</v>
      </c>
      <c r="B102" s="3">
        <v>1.1000099999999999</v>
      </c>
      <c r="C102" s="30" t="str">
        <f t="shared" si="7"/>
        <v/>
      </c>
      <c r="D102" s="41" t="str">
        <f t="shared" si="8"/>
        <v/>
      </c>
      <c r="E102" s="41" t="str">
        <f t="shared" si="9"/>
        <v/>
      </c>
      <c r="F102" s="16">
        <v>2394.4699999999998</v>
      </c>
      <c r="G102" s="16">
        <v>316.27</v>
      </c>
      <c r="H102" s="16">
        <v>13.41</v>
      </c>
      <c r="I102" s="16">
        <v>1527.07</v>
      </c>
      <c r="J102" s="14">
        <v>652.82000000000005</v>
      </c>
      <c r="K102" s="14">
        <v>1074.79</v>
      </c>
      <c r="S102" s="32"/>
      <c r="T102" s="32"/>
    </row>
    <row r="103" spans="1:20" ht="18" customHeight="1">
      <c r="A103" s="9">
        <v>42948</v>
      </c>
      <c r="B103" s="3">
        <v>1.1288959999999999</v>
      </c>
      <c r="C103" s="30" t="str">
        <f t="shared" si="7"/>
        <v/>
      </c>
      <c r="D103" s="41" t="str">
        <f t="shared" si="8"/>
        <v/>
      </c>
      <c r="E103" s="41" t="str">
        <f t="shared" si="9"/>
        <v/>
      </c>
      <c r="F103" s="16">
        <v>2363.19</v>
      </c>
      <c r="G103" s="16">
        <v>308.27999999999997</v>
      </c>
      <c r="H103" s="16">
        <v>13.64</v>
      </c>
      <c r="I103" s="16">
        <v>1485.29</v>
      </c>
      <c r="J103" s="14">
        <v>657.83</v>
      </c>
      <c r="K103" s="14">
        <v>1034.49</v>
      </c>
      <c r="R103" s="33"/>
      <c r="S103" s="32"/>
      <c r="T103" s="32"/>
    </row>
    <row r="104" spans="1:20" ht="18" customHeight="1">
      <c r="A104" s="9">
        <v>42917</v>
      </c>
      <c r="B104" s="3">
        <v>1.1488400000000001</v>
      </c>
      <c r="C104" s="30" t="str">
        <f t="shared" si="7"/>
        <v/>
      </c>
      <c r="D104" s="41" t="str">
        <f t="shared" si="8"/>
        <v/>
      </c>
      <c r="E104" s="41" t="str">
        <f t="shared" si="9"/>
        <v/>
      </c>
      <c r="F104" s="16">
        <v>2402.71</v>
      </c>
      <c r="G104" s="16">
        <v>314.60000000000002</v>
      </c>
      <c r="H104" s="16">
        <v>12.79</v>
      </c>
      <c r="I104" s="16">
        <v>1518.56</v>
      </c>
      <c r="J104" s="14">
        <v>650.47</v>
      </c>
      <c r="K104" s="14">
        <v>1008.63</v>
      </c>
      <c r="Q104" s="33"/>
      <c r="R104" s="33"/>
      <c r="S104" s="32"/>
      <c r="T104" s="32"/>
    </row>
    <row r="105" spans="1:20" ht="18" customHeight="1">
      <c r="A105" s="9">
        <v>42887</v>
      </c>
      <c r="B105" s="3">
        <v>1.144647</v>
      </c>
      <c r="C105" s="30" t="str">
        <f t="shared" si="7"/>
        <v/>
      </c>
      <c r="D105" s="41" t="str">
        <f t="shared" si="8"/>
        <v/>
      </c>
      <c r="E105" s="41" t="str">
        <f t="shared" si="9"/>
        <v/>
      </c>
      <c r="F105" s="16">
        <v>2391.79</v>
      </c>
      <c r="G105" s="16">
        <v>311.76</v>
      </c>
      <c r="H105" s="16">
        <v>12</v>
      </c>
      <c r="I105" s="16">
        <v>1508.92</v>
      </c>
      <c r="J105" s="14">
        <v>669.04</v>
      </c>
      <c r="K105" s="14">
        <v>1031.51</v>
      </c>
      <c r="P105" s="33"/>
      <c r="Q105" s="33"/>
      <c r="R105" s="33"/>
      <c r="S105" s="32"/>
      <c r="T105" s="32"/>
    </row>
    <row r="106" spans="1:20" ht="18" customHeight="1">
      <c r="A106" s="9">
        <v>42856</v>
      </c>
      <c r="B106" s="3">
        <v>1.1169709999999999</v>
      </c>
      <c r="C106" s="30" t="str">
        <f t="shared" si="7"/>
        <v/>
      </c>
      <c r="D106" s="41" t="str">
        <f t="shared" si="8"/>
        <v/>
      </c>
      <c r="E106" s="41" t="str">
        <f t="shared" si="9"/>
        <v/>
      </c>
      <c r="F106" s="16">
        <v>2347.38</v>
      </c>
      <c r="G106" s="16">
        <v>304.67</v>
      </c>
      <c r="H106" s="16">
        <v>13.18</v>
      </c>
      <c r="I106" s="16">
        <v>1475.69</v>
      </c>
      <c r="J106" s="14">
        <v>652.04</v>
      </c>
      <c r="K106" s="14">
        <v>988.04</v>
      </c>
      <c r="O106" s="33"/>
      <c r="P106" s="33"/>
      <c r="Q106" s="33"/>
      <c r="R106" s="33"/>
      <c r="S106" s="32"/>
      <c r="T106" s="32"/>
    </row>
    <row r="107" spans="1:20" ht="18" customHeight="1">
      <c r="A107" s="9">
        <v>42826</v>
      </c>
      <c r="B107" s="3">
        <v>1.0832040000000001</v>
      </c>
      <c r="C107" s="30" t="str">
        <f t="shared" si="7"/>
        <v/>
      </c>
      <c r="D107" s="41" t="str">
        <f t="shared" si="8"/>
        <v/>
      </c>
      <c r="E107" s="41" t="str">
        <f t="shared" si="9"/>
        <v/>
      </c>
      <c r="F107" s="16">
        <v>2205.44</v>
      </c>
      <c r="G107" s="16">
        <v>287.20999999999998</v>
      </c>
      <c r="H107" s="16">
        <v>12.27</v>
      </c>
      <c r="I107" s="16">
        <v>1392.27</v>
      </c>
      <c r="J107" s="14">
        <v>628.24</v>
      </c>
      <c r="K107" s="14">
        <v>940.33</v>
      </c>
      <c r="N107" s="33"/>
      <c r="O107" s="33"/>
      <c r="P107" s="33"/>
      <c r="Q107" s="33"/>
      <c r="R107" s="33"/>
      <c r="S107" s="32"/>
      <c r="T107" s="32"/>
    </row>
    <row r="108" spans="1:20" ht="18" customHeight="1">
      <c r="A108" s="9">
        <v>42795</v>
      </c>
      <c r="B108" s="3">
        <v>1.062262</v>
      </c>
      <c r="C108" s="30" t="str">
        <f t="shared" si="7"/>
        <v/>
      </c>
      <c r="D108" s="41" t="str">
        <f t="shared" si="8"/>
        <v/>
      </c>
      <c r="E108" s="41" t="str">
        <f t="shared" si="9"/>
        <v/>
      </c>
      <c r="F108" s="16">
        <v>2160.23</v>
      </c>
      <c r="G108" s="16">
        <v>280.64</v>
      </c>
      <c r="H108" s="16">
        <v>11.06</v>
      </c>
      <c r="I108" s="16">
        <v>1362.28</v>
      </c>
      <c r="J108" s="14">
        <v>619.28</v>
      </c>
      <c r="K108" s="14">
        <v>921.26</v>
      </c>
      <c r="M108" s="33"/>
      <c r="N108" s="33"/>
      <c r="O108" s="33"/>
      <c r="P108" s="33"/>
      <c r="Q108" s="33"/>
      <c r="R108" s="33"/>
      <c r="S108" s="32"/>
      <c r="T108" s="32"/>
    </row>
    <row r="109" spans="1:20" ht="18" customHeight="1">
      <c r="A109" s="9">
        <v>42767</v>
      </c>
      <c r="B109" s="3">
        <v>1.0296369999999999</v>
      </c>
      <c r="C109" s="30" t="str">
        <f t="shared" si="7"/>
        <v/>
      </c>
      <c r="D109" s="41" t="str">
        <f t="shared" si="8"/>
        <v/>
      </c>
      <c r="E109" s="41" t="str">
        <f t="shared" si="9"/>
        <v/>
      </c>
      <c r="F109" s="16">
        <v>2091.64</v>
      </c>
      <c r="G109" s="16">
        <v>270.06</v>
      </c>
      <c r="H109" s="16">
        <v>10.64</v>
      </c>
      <c r="I109" s="16">
        <v>1307.68</v>
      </c>
      <c r="J109" s="13">
        <v>612.20000000000005</v>
      </c>
      <c r="K109" s="14">
        <v>916.75</v>
      </c>
      <c r="L109" s="33"/>
      <c r="M109" s="33"/>
      <c r="N109" s="33"/>
      <c r="O109" s="33"/>
      <c r="P109" s="33"/>
      <c r="Q109" s="33"/>
      <c r="R109" s="33"/>
      <c r="S109" s="32"/>
      <c r="T109" s="32"/>
    </row>
    <row r="110" spans="1:20" ht="18" customHeight="1">
      <c r="A110" s="9">
        <v>42736</v>
      </c>
      <c r="B110" s="3">
        <v>1.0175460000000001</v>
      </c>
      <c r="C110" s="30" t="str">
        <f t="shared" si="7"/>
        <v/>
      </c>
      <c r="D110" s="41" t="str">
        <f t="shared" si="8"/>
        <v/>
      </c>
      <c r="E110" s="41" t="str">
        <f t="shared" si="9"/>
        <v/>
      </c>
      <c r="F110" s="16">
        <v>2067.5700000000002</v>
      </c>
      <c r="G110" s="16">
        <v>268.08999999999997</v>
      </c>
      <c r="H110" s="16">
        <v>12.53</v>
      </c>
      <c r="I110" s="16">
        <v>1305.02</v>
      </c>
      <c r="J110" s="14">
        <v>616.13</v>
      </c>
      <c r="K110" s="14">
        <v>904.84</v>
      </c>
      <c r="L110" s="33"/>
      <c r="M110" s="33"/>
      <c r="N110" s="33"/>
      <c r="O110" s="33"/>
      <c r="P110" s="33"/>
      <c r="Q110" s="33"/>
      <c r="R110" s="33"/>
      <c r="S110" s="32"/>
      <c r="T110" s="32"/>
    </row>
    <row r="111" spans="1:20" ht="18" customHeight="1">
      <c r="A111" s="9">
        <v>42705</v>
      </c>
      <c r="B111" s="3">
        <v>0.99650899999999998</v>
      </c>
      <c r="C111" s="30" t="str">
        <f t="shared" si="7"/>
        <v>Risk</v>
      </c>
      <c r="D111" s="41" t="str">
        <f t="shared" si="8"/>
        <v/>
      </c>
      <c r="E111" s="41" t="str">
        <f t="shared" si="9"/>
        <v/>
      </c>
      <c r="F111" s="16">
        <v>2026.46</v>
      </c>
      <c r="G111" s="16">
        <v>260.01</v>
      </c>
      <c r="H111" s="16">
        <v>11.51</v>
      </c>
      <c r="I111" s="16">
        <v>1260.6600000000001</v>
      </c>
      <c r="J111" s="14">
        <v>631.44000000000005</v>
      </c>
      <c r="K111" s="14">
        <v>936.09</v>
      </c>
      <c r="L111" s="33"/>
      <c r="M111" s="33"/>
      <c r="N111" s="33"/>
      <c r="O111" s="33"/>
      <c r="P111" s="33"/>
      <c r="Q111" s="33"/>
      <c r="R111" s="33"/>
      <c r="S111" s="32"/>
      <c r="T111" s="32"/>
    </row>
    <row r="112" spans="1:20" ht="18" customHeight="1">
      <c r="A112" s="9">
        <v>42675</v>
      </c>
      <c r="B112" s="3">
        <v>0.98469499999999999</v>
      </c>
      <c r="C112" s="30" t="str">
        <f t="shared" si="7"/>
        <v>Risk</v>
      </c>
      <c r="D112" s="41" t="str">
        <f t="shared" si="8"/>
        <v/>
      </c>
      <c r="E112" s="41" t="str">
        <f t="shared" si="9"/>
        <v/>
      </c>
      <c r="F112" s="16">
        <v>1983.48</v>
      </c>
      <c r="G112" s="16">
        <v>254.26</v>
      </c>
      <c r="H112" s="16">
        <v>12.8</v>
      </c>
      <c r="I112" s="16">
        <v>1218.23</v>
      </c>
      <c r="J112" s="14">
        <v>596.11</v>
      </c>
      <c r="K112" s="14">
        <v>892.08</v>
      </c>
      <c r="L112" s="33"/>
      <c r="M112" s="33"/>
      <c r="N112" s="33"/>
      <c r="O112" s="33"/>
      <c r="P112" s="33"/>
      <c r="Q112" s="33"/>
      <c r="R112" s="33"/>
      <c r="S112" s="32"/>
      <c r="T112" s="32"/>
    </row>
    <row r="113" spans="1:20" ht="18" customHeight="1">
      <c r="A113" s="9">
        <v>42644</v>
      </c>
      <c r="B113" s="3">
        <v>0.99016099999999996</v>
      </c>
      <c r="C113" s="30" t="str">
        <f t="shared" si="7"/>
        <v>Risk</v>
      </c>
      <c r="D113" s="41" t="str">
        <f t="shared" si="8"/>
        <v/>
      </c>
      <c r="E113" s="41" t="str">
        <f t="shared" si="9"/>
        <v/>
      </c>
      <c r="F113" s="16">
        <v>2008.19</v>
      </c>
      <c r="G113" s="16">
        <v>255.93</v>
      </c>
      <c r="H113" s="16">
        <v>14.61</v>
      </c>
      <c r="I113" s="16">
        <v>1229.5</v>
      </c>
      <c r="J113" s="14">
        <v>624.67999999999995</v>
      </c>
      <c r="K113" s="14">
        <v>939.76</v>
      </c>
      <c r="L113" s="34">
        <f>$I109/$I113</f>
        <v>1.0635868239121595</v>
      </c>
      <c r="M113" s="34">
        <f>$I108/$I113</f>
        <v>1.1079951199674665</v>
      </c>
      <c r="N113" s="34">
        <f>$I107/$I113</f>
        <v>1.1323871492476616</v>
      </c>
      <c r="O113" s="34">
        <f>$I106/$I113</f>
        <v>1.2002358682391217</v>
      </c>
      <c r="P113" s="34">
        <f>$I105/$I113</f>
        <v>1.227263115087434</v>
      </c>
      <c r="Q113" s="34">
        <f>$I104/$I113</f>
        <v>1.2351037006913379</v>
      </c>
      <c r="R113" s="34">
        <f>$I103/$I113</f>
        <v>1.2080439202928019</v>
      </c>
      <c r="S113" s="34">
        <f>$I102/$I113</f>
        <v>1.2420252135014234</v>
      </c>
      <c r="T113" s="34">
        <f>$I101/$I113</f>
        <v>1.3075152501016674</v>
      </c>
    </row>
    <row r="114" spans="1:20" ht="18" customHeight="1">
      <c r="A114" s="9">
        <v>42614</v>
      </c>
      <c r="B114" s="3">
        <v>1.081105</v>
      </c>
      <c r="C114" s="30" t="str">
        <f t="shared" si="7"/>
        <v/>
      </c>
      <c r="D114" s="41" t="str">
        <f t="shared" si="8"/>
        <v/>
      </c>
      <c r="E114" s="41" t="str">
        <f t="shared" si="9"/>
        <v/>
      </c>
      <c r="F114" s="16">
        <v>2043.63</v>
      </c>
      <c r="G114" s="16">
        <v>257.49</v>
      </c>
      <c r="H114" s="16">
        <v>14.11</v>
      </c>
      <c r="I114" s="16">
        <v>1237.6400000000001</v>
      </c>
      <c r="J114" s="14">
        <v>681.21</v>
      </c>
      <c r="K114" s="14">
        <v>1010.18</v>
      </c>
    </row>
    <row r="115" spans="1:20" ht="18" customHeight="1">
      <c r="A115" s="9">
        <v>42583</v>
      </c>
      <c r="B115" s="3">
        <v>1.076362</v>
      </c>
      <c r="C115" s="30" t="str">
        <f t="shared" si="7"/>
        <v/>
      </c>
      <c r="D115" s="41" t="str">
        <f t="shared" si="8"/>
        <v/>
      </c>
      <c r="E115" s="41" t="str">
        <f t="shared" si="9"/>
        <v/>
      </c>
      <c r="F115" s="16">
        <v>2034.65</v>
      </c>
      <c r="G115" s="16">
        <v>256.87</v>
      </c>
      <c r="H115" s="16">
        <v>11.56</v>
      </c>
      <c r="I115" s="16">
        <v>1234.47</v>
      </c>
      <c r="J115" s="14">
        <v>663.69</v>
      </c>
      <c r="K115" s="13">
        <v>997.9</v>
      </c>
    </row>
    <row r="116" spans="1:20" ht="18" customHeight="1">
      <c r="A116" s="9">
        <v>42552</v>
      </c>
      <c r="B116" s="3">
        <v>1.0668260000000001</v>
      </c>
      <c r="C116" s="30" t="str">
        <f t="shared" si="7"/>
        <v/>
      </c>
      <c r="D116" s="41" t="str">
        <f t="shared" si="8"/>
        <v/>
      </c>
      <c r="E116" s="41" t="str">
        <f t="shared" si="9"/>
        <v/>
      </c>
      <c r="F116" s="16">
        <v>2016.19</v>
      </c>
      <c r="G116" s="16">
        <v>251.48</v>
      </c>
      <c r="H116" s="16">
        <v>12.6</v>
      </c>
      <c r="I116" s="16">
        <v>1214.74</v>
      </c>
      <c r="J116" s="14">
        <v>706.24</v>
      </c>
      <c r="K116" s="15">
        <v>1058</v>
      </c>
    </row>
    <row r="117" spans="1:20" ht="18" customHeight="1">
      <c r="A117" s="9">
        <v>42522</v>
      </c>
      <c r="B117" s="3">
        <v>1.0395460000000001</v>
      </c>
      <c r="C117" s="30" t="str">
        <f t="shared" si="7"/>
        <v/>
      </c>
      <c r="D117" s="41" t="str">
        <f t="shared" si="8"/>
        <v/>
      </c>
      <c r="E117" s="41" t="str">
        <f t="shared" si="9"/>
        <v/>
      </c>
      <c r="F117" s="16">
        <v>1970.35</v>
      </c>
      <c r="G117" s="16">
        <v>244.14</v>
      </c>
      <c r="H117" s="16">
        <v>13.9</v>
      </c>
      <c r="I117" s="16">
        <v>1175.52</v>
      </c>
      <c r="J117" s="14">
        <v>675.09</v>
      </c>
      <c r="K117" s="14">
        <v>1032.75</v>
      </c>
    </row>
    <row r="118" spans="1:20" ht="18" customHeight="1">
      <c r="A118" s="9">
        <v>42491</v>
      </c>
      <c r="B118" s="3">
        <v>1.0459909999999999</v>
      </c>
      <c r="C118" s="30" t="str">
        <f t="shared" si="7"/>
        <v/>
      </c>
      <c r="D118" s="41" t="str">
        <f t="shared" si="8"/>
        <v/>
      </c>
      <c r="E118" s="41" t="str">
        <f t="shared" si="9"/>
        <v/>
      </c>
      <c r="F118" s="16">
        <v>1983.4</v>
      </c>
      <c r="G118" s="16">
        <v>243.63</v>
      </c>
      <c r="H118" s="16">
        <v>11.81</v>
      </c>
      <c r="I118" s="16">
        <v>1175.94</v>
      </c>
      <c r="J118" s="14">
        <v>698.45</v>
      </c>
      <c r="K118" s="14">
        <v>1068.73</v>
      </c>
    </row>
    <row r="119" spans="1:20" ht="18" customHeight="1">
      <c r="A119" s="9">
        <v>42461</v>
      </c>
      <c r="B119" s="3">
        <v>1.123364</v>
      </c>
      <c r="C119" s="30" t="str">
        <f t="shared" si="7"/>
        <v/>
      </c>
      <c r="D119" s="41" t="str">
        <f t="shared" si="8"/>
        <v/>
      </c>
      <c r="E119" s="41" t="str">
        <f t="shared" si="9"/>
        <v/>
      </c>
      <c r="F119" s="16">
        <v>1994.15</v>
      </c>
      <c r="G119" s="16">
        <v>245.2</v>
      </c>
      <c r="H119" s="16">
        <v>12.42</v>
      </c>
      <c r="I119" s="16">
        <v>1185.6099999999999</v>
      </c>
      <c r="J119" s="14">
        <v>699.77</v>
      </c>
      <c r="K119" s="14">
        <v>1065.27</v>
      </c>
    </row>
    <row r="120" spans="1:20" ht="18" customHeight="1">
      <c r="A120" s="9">
        <v>42430</v>
      </c>
      <c r="B120" s="3">
        <v>1.1237200000000001</v>
      </c>
      <c r="C120" s="30" t="str">
        <f t="shared" si="7"/>
        <v/>
      </c>
      <c r="D120" s="41" t="str">
        <f t="shared" si="8"/>
        <v/>
      </c>
      <c r="E120" s="41" t="str">
        <f t="shared" si="9"/>
        <v/>
      </c>
      <c r="F120" s="16">
        <v>1995.85</v>
      </c>
      <c r="G120" s="16">
        <v>245.86</v>
      </c>
      <c r="H120" s="16">
        <v>12.33</v>
      </c>
      <c r="I120" s="16">
        <v>1190.68</v>
      </c>
      <c r="J120" s="14">
        <v>688.38</v>
      </c>
      <c r="K120" s="14">
        <v>1073.68</v>
      </c>
    </row>
    <row r="121" spans="1:20" ht="18" customHeight="1">
      <c r="A121" s="9">
        <v>42401</v>
      </c>
      <c r="B121" s="3">
        <v>1.0790029999999999</v>
      </c>
      <c r="C121" s="30" t="str">
        <f t="shared" si="7"/>
        <v/>
      </c>
      <c r="D121" s="41" t="str">
        <f t="shared" si="8"/>
        <v/>
      </c>
      <c r="E121" s="41" t="str">
        <f t="shared" si="9"/>
        <v/>
      </c>
      <c r="F121" s="16">
        <v>1916.66</v>
      </c>
      <c r="G121" s="16">
        <v>234.63</v>
      </c>
      <c r="H121" s="16">
        <v>17.559999999999999</v>
      </c>
      <c r="I121" s="16">
        <v>1142.04</v>
      </c>
      <c r="J121" s="14">
        <v>651.62</v>
      </c>
      <c r="K121" s="14">
        <v>1045.53</v>
      </c>
    </row>
    <row r="122" spans="1:20" ht="18" customHeight="1">
      <c r="A122" s="9">
        <v>42370</v>
      </c>
      <c r="B122" s="3">
        <v>1.0715060000000001</v>
      </c>
      <c r="C122" s="30" t="str">
        <f t="shared" si="7"/>
        <v/>
      </c>
      <c r="D122" s="41" t="str">
        <f t="shared" si="8"/>
        <v/>
      </c>
      <c r="E122" s="41" t="str">
        <f t="shared" si="9"/>
        <v/>
      </c>
      <c r="F122" s="16">
        <v>1912.06</v>
      </c>
      <c r="G122" s="16">
        <v>232.1</v>
      </c>
      <c r="H122" s="16">
        <v>17.93</v>
      </c>
      <c r="I122" s="16">
        <v>1127.96</v>
      </c>
      <c r="J122" s="13">
        <v>682.8</v>
      </c>
      <c r="K122" s="14">
        <v>1128.24</v>
      </c>
    </row>
    <row r="123" spans="1:20" ht="18" customHeight="1">
      <c r="A123" s="9">
        <v>42339</v>
      </c>
      <c r="B123" s="3">
        <v>1.1016900000000001</v>
      </c>
      <c r="C123" s="30" t="str">
        <f t="shared" si="7"/>
        <v/>
      </c>
      <c r="D123" s="41" t="str">
        <f t="shared" si="8"/>
        <v/>
      </c>
      <c r="E123" s="41" t="str">
        <f t="shared" si="9"/>
        <v/>
      </c>
      <c r="F123" s="16">
        <v>1961.31</v>
      </c>
      <c r="G123" s="16">
        <v>240.38</v>
      </c>
      <c r="H123" s="16">
        <v>14.18</v>
      </c>
      <c r="I123" s="16">
        <v>1167.53</v>
      </c>
      <c r="J123" s="14">
        <v>682.35</v>
      </c>
      <c r="K123" s="14">
        <v>1095.46</v>
      </c>
    </row>
    <row r="124" spans="1:20" ht="18" customHeight="1">
      <c r="A124" s="9">
        <v>42309</v>
      </c>
      <c r="B124" s="3">
        <v>1.1182080000000001</v>
      </c>
      <c r="C124" s="30" t="str">
        <f t="shared" si="7"/>
        <v/>
      </c>
      <c r="D124" s="41" t="str">
        <f t="shared" si="8"/>
        <v/>
      </c>
      <c r="E124" s="41" t="str">
        <f t="shared" si="9"/>
        <v/>
      </c>
      <c r="F124" s="16">
        <v>1991.97</v>
      </c>
      <c r="G124" s="16">
        <v>244.24</v>
      </c>
      <c r="H124" s="16">
        <v>14.37</v>
      </c>
      <c r="I124" s="16">
        <v>1176.8</v>
      </c>
      <c r="J124" s="14">
        <v>688.38</v>
      </c>
      <c r="K124" s="14">
        <v>1102.28</v>
      </c>
    </row>
    <row r="125" spans="1:20" ht="18" customHeight="1">
      <c r="A125" s="9">
        <v>42278</v>
      </c>
      <c r="B125" s="3">
        <v>1.1388529999999999</v>
      </c>
      <c r="C125" s="30" t="str">
        <f t="shared" si="7"/>
        <v/>
      </c>
      <c r="D125" s="41" t="str">
        <f t="shared" si="8"/>
        <v/>
      </c>
      <c r="E125" s="41" t="str">
        <f t="shared" si="9"/>
        <v/>
      </c>
      <c r="F125" s="16">
        <v>2029.47</v>
      </c>
      <c r="G125" s="16">
        <v>249.41</v>
      </c>
      <c r="H125" s="16">
        <v>14.22</v>
      </c>
      <c r="I125" s="16">
        <v>1207.32</v>
      </c>
      <c r="J125" s="14">
        <v>683.63</v>
      </c>
      <c r="K125" s="14">
        <v>1069.95</v>
      </c>
    </row>
    <row r="126" spans="1:20" ht="18" customHeight="1">
      <c r="A126" s="9">
        <v>42248</v>
      </c>
      <c r="B126" s="3">
        <v>1.100371</v>
      </c>
      <c r="C126" s="30" t="str">
        <f t="shared" si="7"/>
        <v/>
      </c>
      <c r="D126" s="41" t="str">
        <f t="shared" si="8"/>
        <v/>
      </c>
      <c r="E126" s="41" t="str">
        <f t="shared" si="9"/>
        <v/>
      </c>
      <c r="F126" s="16">
        <v>1962.81</v>
      </c>
      <c r="G126" s="16">
        <v>236.71</v>
      </c>
      <c r="H126" s="16">
        <v>20.48</v>
      </c>
      <c r="I126" s="16">
        <v>1136.19</v>
      </c>
      <c r="J126" s="14">
        <v>678.48</v>
      </c>
      <c r="K126" s="14">
        <v>1068.3499999999999</v>
      </c>
    </row>
    <row r="127" spans="1:20" ht="18" customHeight="1">
      <c r="A127" s="9">
        <v>42217</v>
      </c>
      <c r="B127" s="3">
        <v>1.076578</v>
      </c>
      <c r="C127" s="30" t="str">
        <f t="shared" si="7"/>
        <v/>
      </c>
      <c r="D127" s="41" t="str">
        <f t="shared" si="8"/>
        <v/>
      </c>
      <c r="E127" s="41" t="str">
        <f t="shared" si="9"/>
        <v/>
      </c>
      <c r="F127" s="16">
        <v>1941.49</v>
      </c>
      <c r="G127" s="16">
        <v>232.8</v>
      </c>
      <c r="H127" s="16">
        <v>19.75</v>
      </c>
      <c r="I127" s="16">
        <v>1113.48</v>
      </c>
      <c r="J127" s="14">
        <v>687.11</v>
      </c>
      <c r="K127" s="14">
        <v>1115.31</v>
      </c>
    </row>
    <row r="128" spans="1:20" ht="18" customHeight="1">
      <c r="A128" s="9">
        <v>42186</v>
      </c>
      <c r="B128" s="3">
        <v>1.118217</v>
      </c>
      <c r="C128" s="30" t="str">
        <f t="shared" si="7"/>
        <v/>
      </c>
      <c r="D128" s="41" t="str">
        <f t="shared" si="8"/>
        <v/>
      </c>
      <c r="E128" s="41" t="str">
        <f t="shared" si="9"/>
        <v/>
      </c>
      <c r="F128" s="16">
        <v>2030.16</v>
      </c>
      <c r="G128" s="16">
        <v>244.3</v>
      </c>
      <c r="H128" s="16">
        <v>13.54</v>
      </c>
      <c r="I128" s="16">
        <v>1173</v>
      </c>
      <c r="J128" s="14">
        <v>725.06</v>
      </c>
      <c r="K128" s="14">
        <v>1163.3599999999999</v>
      </c>
    </row>
    <row r="129" spans="1:11" ht="18" customHeight="1">
      <c r="A129" s="9">
        <v>42156</v>
      </c>
      <c r="B129" s="3">
        <v>1.1449069999999999</v>
      </c>
      <c r="C129" s="30" t="str">
        <f t="shared" si="7"/>
        <v/>
      </c>
      <c r="D129" s="41" t="str">
        <f t="shared" si="8"/>
        <v/>
      </c>
      <c r="E129" s="41" t="str">
        <f t="shared" si="9"/>
        <v/>
      </c>
      <c r="F129" s="16">
        <v>2074.1999999999998</v>
      </c>
      <c r="G129" s="16">
        <v>252.27</v>
      </c>
      <c r="H129" s="16">
        <v>14.45</v>
      </c>
      <c r="I129" s="16">
        <v>1215.6500000000001</v>
      </c>
      <c r="J129" s="14">
        <v>742.27</v>
      </c>
      <c r="K129" s="14">
        <v>1139.1500000000001</v>
      </c>
    </row>
    <row r="130" spans="1:11" ht="18" customHeight="1">
      <c r="A130" s="9">
        <v>42125</v>
      </c>
      <c r="B130" s="3">
        <v>1.1653309999999999</v>
      </c>
      <c r="C130" s="30" t="str">
        <f t="shared" si="7"/>
        <v/>
      </c>
      <c r="D130" s="41" t="str">
        <f t="shared" si="8"/>
        <v/>
      </c>
      <c r="E130" s="41" t="str">
        <f t="shared" si="9"/>
        <v/>
      </c>
      <c r="F130" s="16">
        <v>2114.8000000000002</v>
      </c>
      <c r="G130" s="16">
        <v>260.39</v>
      </c>
      <c r="H130" s="16">
        <v>12.59</v>
      </c>
      <c r="I130" s="16">
        <v>1262.31</v>
      </c>
      <c r="J130" s="14">
        <v>711.39</v>
      </c>
      <c r="K130" s="14">
        <v>1129.76</v>
      </c>
    </row>
    <row r="131" spans="1:11" ht="18" customHeight="1">
      <c r="A131" s="9">
        <v>42095</v>
      </c>
      <c r="B131" s="3">
        <v>1.2403200000000001</v>
      </c>
      <c r="C131" s="30" t="str">
        <f t="shared" si="7"/>
        <v/>
      </c>
      <c r="D131" s="41" t="str">
        <f t="shared" si="8"/>
        <v/>
      </c>
      <c r="E131" s="41" t="str">
        <f t="shared" si="9"/>
        <v/>
      </c>
      <c r="F131" s="16">
        <v>2127.17</v>
      </c>
      <c r="G131" s="16">
        <v>266.42</v>
      </c>
      <c r="H131" s="16">
        <v>11.76</v>
      </c>
      <c r="I131" s="16">
        <v>1295.9000000000001</v>
      </c>
      <c r="J131" s="14">
        <v>689.01</v>
      </c>
      <c r="K131" s="13">
        <v>1104.2</v>
      </c>
    </row>
    <row r="132" spans="1:11" ht="18" customHeight="1">
      <c r="A132" s="9">
        <v>42064</v>
      </c>
      <c r="B132" s="3">
        <v>1.1897869999999999</v>
      </c>
      <c r="C132" s="30" t="str">
        <f t="shared" ref="C132:C195" si="10">IF(B132&lt;=C$1, "Risk", "")</f>
        <v/>
      </c>
      <c r="D132" s="41" t="str">
        <f t="shared" si="8"/>
        <v/>
      </c>
      <c r="E132" s="41" t="str">
        <f t="shared" si="9"/>
        <v/>
      </c>
      <c r="F132" s="16">
        <v>2041.03</v>
      </c>
      <c r="G132" s="16">
        <v>257.27999999999997</v>
      </c>
      <c r="H132" s="16">
        <v>11.09</v>
      </c>
      <c r="I132" s="16">
        <v>1244.9100000000001</v>
      </c>
      <c r="J132" s="14">
        <v>650.49</v>
      </c>
      <c r="K132" s="14">
        <v>1050.1199999999999</v>
      </c>
    </row>
    <row r="133" spans="1:11" ht="18" customHeight="1">
      <c r="A133" s="9">
        <v>42036</v>
      </c>
      <c r="B133" s="3">
        <v>1.1522790000000001</v>
      </c>
      <c r="C133" s="30" t="str">
        <f t="shared" si="10"/>
        <v/>
      </c>
      <c r="D133" s="41" t="str">
        <f t="shared" ref="D133:D196" si="11">IF(B133&lt;=D$1, "Risk", "")</f>
        <v/>
      </c>
      <c r="E133" s="41" t="str">
        <f t="shared" ref="E133:E196" si="12">IF(B133&lt;=E$1, "Risk", "")</f>
        <v/>
      </c>
      <c r="F133" s="16">
        <v>1985.8</v>
      </c>
      <c r="G133" s="16">
        <v>251.46</v>
      </c>
      <c r="H133" s="16">
        <v>11.11</v>
      </c>
      <c r="I133" s="16">
        <v>1223.93</v>
      </c>
      <c r="J133" s="14">
        <v>624.55999999999995</v>
      </c>
      <c r="K133" s="13">
        <v>1021.6</v>
      </c>
    </row>
    <row r="134" spans="1:11" ht="18" customHeight="1">
      <c r="A134" s="9">
        <v>42005</v>
      </c>
      <c r="B134" s="3">
        <v>1.1316949999999999</v>
      </c>
      <c r="C134" s="30" t="str">
        <f t="shared" si="10"/>
        <v/>
      </c>
      <c r="D134" s="41" t="str">
        <f t="shared" si="11"/>
        <v/>
      </c>
      <c r="E134" s="41" t="str">
        <f t="shared" si="12"/>
        <v/>
      </c>
      <c r="F134" s="16">
        <v>1949.26</v>
      </c>
      <c r="G134" s="16">
        <v>249.88</v>
      </c>
      <c r="H134" s="16">
        <v>13.67</v>
      </c>
      <c r="I134" s="16">
        <v>1219.56</v>
      </c>
      <c r="J134" s="14">
        <v>591.58000000000004</v>
      </c>
      <c r="K134" s="14">
        <v>965.87</v>
      </c>
    </row>
    <row r="135" spans="1:11" ht="18" customHeight="1">
      <c r="A135" s="9">
        <v>41974</v>
      </c>
      <c r="B135" s="3">
        <v>1.1122719999999999</v>
      </c>
      <c r="C135" s="30" t="str">
        <f t="shared" si="10"/>
        <v/>
      </c>
      <c r="D135" s="41" t="str">
        <f t="shared" si="11"/>
        <v/>
      </c>
      <c r="E135" s="41" t="str">
        <f t="shared" si="12"/>
        <v/>
      </c>
      <c r="F135" s="16">
        <v>1915.59</v>
      </c>
      <c r="G135" s="16">
        <v>244.05</v>
      </c>
      <c r="H135" s="16">
        <v>12.97</v>
      </c>
      <c r="I135" s="16">
        <v>1184.5999999999999</v>
      </c>
      <c r="J135" s="14">
        <v>542.97</v>
      </c>
      <c r="K135" s="14">
        <v>894.44</v>
      </c>
    </row>
    <row r="136" spans="1:11" ht="18" customHeight="1">
      <c r="A136" s="9">
        <v>41944</v>
      </c>
      <c r="B136" s="3">
        <v>1.139229</v>
      </c>
      <c r="C136" s="30" t="str">
        <f t="shared" si="10"/>
        <v/>
      </c>
      <c r="D136" s="41" t="str">
        <f t="shared" si="11"/>
        <v/>
      </c>
      <c r="E136" s="41" t="str">
        <f t="shared" si="12"/>
        <v/>
      </c>
      <c r="F136" s="16">
        <v>1980.78</v>
      </c>
      <c r="G136" s="16">
        <v>253.7</v>
      </c>
      <c r="H136" s="16">
        <v>11.59</v>
      </c>
      <c r="I136" s="16">
        <v>1226.24</v>
      </c>
      <c r="J136" s="14">
        <v>545.08000000000004</v>
      </c>
      <c r="K136" s="14">
        <v>896.82</v>
      </c>
    </row>
    <row r="137" spans="1:11" ht="18" customHeight="1">
      <c r="A137" s="9">
        <v>41913</v>
      </c>
      <c r="B137" s="3">
        <v>1.113874</v>
      </c>
      <c r="C137" s="30" t="str">
        <f t="shared" si="10"/>
        <v/>
      </c>
      <c r="D137" s="41" t="str">
        <f t="shared" si="11"/>
        <v/>
      </c>
      <c r="E137" s="41" t="str">
        <f t="shared" si="12"/>
        <v/>
      </c>
      <c r="F137" s="16">
        <v>1964.43</v>
      </c>
      <c r="G137" s="16">
        <v>250.45</v>
      </c>
      <c r="H137" s="16">
        <v>13.99</v>
      </c>
      <c r="I137" s="16">
        <v>1207.9000000000001</v>
      </c>
      <c r="J137" s="13">
        <v>558.70000000000005</v>
      </c>
      <c r="K137" s="14">
        <v>920.41</v>
      </c>
    </row>
    <row r="138" spans="1:11" ht="18" customHeight="1">
      <c r="A138" s="9">
        <v>41883</v>
      </c>
      <c r="B138" s="3">
        <v>1.145802</v>
      </c>
      <c r="C138" s="30" t="str">
        <f t="shared" si="10"/>
        <v/>
      </c>
      <c r="D138" s="41" t="str">
        <f t="shared" si="11"/>
        <v/>
      </c>
      <c r="E138" s="41" t="str">
        <f t="shared" si="12"/>
        <v/>
      </c>
      <c r="F138" s="16">
        <v>2020.09</v>
      </c>
      <c r="G138" s="16">
        <v>256.77</v>
      </c>
      <c r="H138" s="16">
        <v>12.69</v>
      </c>
      <c r="I138" s="16">
        <v>1240.73</v>
      </c>
      <c r="J138" s="14">
        <v>573.22</v>
      </c>
      <c r="K138" s="14">
        <v>954.34</v>
      </c>
    </row>
    <row r="139" spans="1:11" ht="18" customHeight="1">
      <c r="A139" s="9">
        <v>41852</v>
      </c>
      <c r="B139" s="3">
        <v>1.1735180000000001</v>
      </c>
      <c r="C139" s="30" t="str">
        <f t="shared" si="10"/>
        <v/>
      </c>
      <c r="D139" s="41" t="str">
        <f t="shared" si="11"/>
        <v/>
      </c>
      <c r="E139" s="41" t="str">
        <f t="shared" si="12"/>
        <v/>
      </c>
      <c r="F139" s="16">
        <v>2068.54</v>
      </c>
      <c r="G139" s="16">
        <v>265.41000000000003</v>
      </c>
      <c r="H139" s="16">
        <v>10.86</v>
      </c>
      <c r="I139" s="16">
        <v>1288.7</v>
      </c>
      <c r="J139" s="13">
        <v>570.20000000000005</v>
      </c>
      <c r="K139" s="14">
        <v>944.48</v>
      </c>
    </row>
    <row r="140" spans="1:11" ht="18" customHeight="1">
      <c r="A140" s="9">
        <v>41821</v>
      </c>
      <c r="B140" s="3">
        <v>1.176464</v>
      </c>
      <c r="C140" s="30" t="str">
        <f t="shared" si="10"/>
        <v/>
      </c>
      <c r="D140" s="41" t="str">
        <f t="shared" si="11"/>
        <v/>
      </c>
      <c r="E140" s="41" t="str">
        <f t="shared" si="12"/>
        <v/>
      </c>
      <c r="F140" s="16">
        <v>2076.12</v>
      </c>
      <c r="G140" s="16">
        <v>269.68</v>
      </c>
      <c r="H140" s="16">
        <v>12.69</v>
      </c>
      <c r="I140" s="16">
        <v>1318.05</v>
      </c>
      <c r="J140" s="14">
        <v>536.32000000000005</v>
      </c>
      <c r="K140" s="14">
        <v>877.17</v>
      </c>
    </row>
    <row r="141" spans="1:11" ht="18" customHeight="1">
      <c r="A141" s="9">
        <v>41791</v>
      </c>
      <c r="B141" s="3">
        <v>1.14174</v>
      </c>
      <c r="C141" s="30" t="str">
        <f t="shared" si="10"/>
        <v/>
      </c>
      <c r="D141" s="41" t="str">
        <f t="shared" si="11"/>
        <v/>
      </c>
      <c r="E141" s="41" t="str">
        <f t="shared" si="12"/>
        <v/>
      </c>
      <c r="F141" s="16">
        <v>2002.21</v>
      </c>
      <c r="G141" s="16">
        <v>260.56</v>
      </c>
      <c r="H141" s="16">
        <v>11.48</v>
      </c>
      <c r="I141" s="16">
        <v>1264.44</v>
      </c>
      <c r="J141" s="14">
        <v>537.05999999999995</v>
      </c>
      <c r="K141" s="14">
        <v>885.49</v>
      </c>
    </row>
    <row r="142" spans="1:11" ht="18" customHeight="1">
      <c r="A142" s="9">
        <v>41760</v>
      </c>
      <c r="B142" s="3">
        <v>1.137718</v>
      </c>
      <c r="C142" s="30" t="str">
        <f t="shared" si="10"/>
        <v/>
      </c>
      <c r="D142" s="41" t="str">
        <f t="shared" si="11"/>
        <v/>
      </c>
      <c r="E142" s="41" t="str">
        <f t="shared" si="12"/>
        <v/>
      </c>
      <c r="F142" s="16">
        <v>1994.96</v>
      </c>
      <c r="G142" s="16">
        <v>259.94</v>
      </c>
      <c r="H142" s="16">
        <v>10.86</v>
      </c>
      <c r="I142" s="16">
        <v>1273.0899999999999</v>
      </c>
      <c r="J142" s="14">
        <v>546.53</v>
      </c>
      <c r="K142" s="14">
        <v>900.98</v>
      </c>
    </row>
    <row r="143" spans="1:11" ht="18" customHeight="1">
      <c r="A143" s="9">
        <v>41730</v>
      </c>
      <c r="B143" s="3">
        <v>1.091137</v>
      </c>
      <c r="C143" s="30" t="str">
        <f t="shared" si="10"/>
        <v/>
      </c>
      <c r="D143" s="41" t="str">
        <f t="shared" si="11"/>
        <v/>
      </c>
      <c r="E143" s="41" t="str">
        <f t="shared" si="12"/>
        <v/>
      </c>
      <c r="F143" s="16">
        <v>1961.79</v>
      </c>
      <c r="G143" s="16">
        <v>255.33</v>
      </c>
      <c r="H143" s="16">
        <v>11.6</v>
      </c>
      <c r="I143" s="16">
        <v>1246.49</v>
      </c>
      <c r="J143" s="14">
        <v>559.34</v>
      </c>
      <c r="K143" s="14">
        <v>933.77</v>
      </c>
    </row>
    <row r="144" spans="1:11" ht="18" customHeight="1">
      <c r="A144" s="9">
        <v>41699</v>
      </c>
      <c r="B144" s="3">
        <v>1.179996</v>
      </c>
      <c r="C144" s="30" t="str">
        <f t="shared" si="10"/>
        <v/>
      </c>
      <c r="D144" s="41" t="str">
        <f t="shared" si="11"/>
        <v/>
      </c>
      <c r="E144" s="41" t="str">
        <f t="shared" si="12"/>
        <v/>
      </c>
      <c r="F144" s="16">
        <v>1985.61</v>
      </c>
      <c r="G144" s="16">
        <v>258.11</v>
      </c>
      <c r="H144" s="16">
        <v>13.82</v>
      </c>
      <c r="I144" s="16">
        <v>1261.1300000000001</v>
      </c>
      <c r="J144" s="14">
        <v>541.58000000000004</v>
      </c>
      <c r="K144" s="14">
        <v>903.93</v>
      </c>
    </row>
    <row r="145" spans="1:11" ht="18" customHeight="1">
      <c r="A145" s="9">
        <v>41671</v>
      </c>
      <c r="B145" s="3">
        <v>1.172771</v>
      </c>
      <c r="C145" s="30" t="str">
        <f t="shared" si="10"/>
        <v/>
      </c>
      <c r="D145" s="41" t="str">
        <f t="shared" si="11"/>
        <v/>
      </c>
      <c r="E145" s="41" t="str">
        <f t="shared" si="12"/>
        <v/>
      </c>
      <c r="F145" s="16">
        <v>1979.99</v>
      </c>
      <c r="G145" s="16">
        <v>258.41000000000003</v>
      </c>
      <c r="H145" s="16">
        <v>13.49</v>
      </c>
      <c r="I145" s="16">
        <v>1263.67</v>
      </c>
      <c r="J145" s="14">
        <v>528.96</v>
      </c>
      <c r="K145" s="14">
        <v>896.99</v>
      </c>
    </row>
    <row r="146" spans="1:11" ht="18" customHeight="1">
      <c r="A146" s="9">
        <v>41640</v>
      </c>
      <c r="B146" s="3">
        <v>1.150638</v>
      </c>
      <c r="C146" s="30" t="str">
        <f t="shared" si="10"/>
        <v/>
      </c>
      <c r="D146" s="41" t="str">
        <f t="shared" si="11"/>
        <v/>
      </c>
      <c r="E146" s="41" t="str">
        <f t="shared" si="12"/>
        <v/>
      </c>
      <c r="F146" s="16">
        <v>1941.15</v>
      </c>
      <c r="G146" s="16">
        <v>252.89</v>
      </c>
      <c r="H146" s="16">
        <v>14.43</v>
      </c>
      <c r="I146" s="16">
        <v>1248.94</v>
      </c>
      <c r="J146" s="13">
        <v>515.20000000000005</v>
      </c>
      <c r="K146" s="14">
        <v>884.82</v>
      </c>
    </row>
    <row r="147" spans="1:11" ht="18" customHeight="1">
      <c r="A147" s="9">
        <v>41609</v>
      </c>
      <c r="B147" s="3">
        <v>1.1950190000000001</v>
      </c>
      <c r="C147" s="30" t="str">
        <f t="shared" si="10"/>
        <v/>
      </c>
      <c r="D147" s="41" t="str">
        <f t="shared" si="11"/>
        <v/>
      </c>
      <c r="E147" s="41" t="str">
        <f t="shared" si="12"/>
        <v/>
      </c>
      <c r="F147" s="16">
        <v>2011.34</v>
      </c>
      <c r="G147" s="16">
        <v>264.24</v>
      </c>
      <c r="H147" s="16">
        <v>12.84</v>
      </c>
      <c r="I147" s="16">
        <v>1303.6600000000001</v>
      </c>
      <c r="J147" s="14">
        <v>499.99</v>
      </c>
      <c r="K147" s="14">
        <v>855.88</v>
      </c>
    </row>
    <row r="148" spans="1:11" ht="18" customHeight="1">
      <c r="A148" s="9">
        <v>41579</v>
      </c>
      <c r="B148" s="3">
        <v>1.2160010000000001</v>
      </c>
      <c r="C148" s="30" t="str">
        <f t="shared" si="10"/>
        <v/>
      </c>
      <c r="D148" s="41" t="str">
        <f t="shared" si="11"/>
        <v/>
      </c>
      <c r="E148" s="41" t="str">
        <f t="shared" si="12"/>
        <v/>
      </c>
      <c r="F148" s="16">
        <v>2044.87</v>
      </c>
      <c r="G148" s="16">
        <v>269.57</v>
      </c>
      <c r="H148" s="16">
        <v>14.42</v>
      </c>
      <c r="I148" s="16">
        <v>1322.13</v>
      </c>
      <c r="J148" s="14">
        <v>517.05999999999995</v>
      </c>
      <c r="K148" s="14">
        <v>885.35</v>
      </c>
    </row>
    <row r="149" spans="1:11" ht="18" customHeight="1">
      <c r="A149" s="9">
        <v>41548</v>
      </c>
      <c r="B149" s="3">
        <v>1.201624</v>
      </c>
      <c r="C149" s="30" t="str">
        <f t="shared" si="10"/>
        <v/>
      </c>
      <c r="D149" s="41" t="str">
        <f t="shared" si="11"/>
        <v/>
      </c>
      <c r="E149" s="41" t="str">
        <f t="shared" si="12"/>
        <v/>
      </c>
      <c r="F149" s="16">
        <v>2030.09</v>
      </c>
      <c r="G149" s="16">
        <v>266.91000000000003</v>
      </c>
      <c r="H149" s="16">
        <v>14.41</v>
      </c>
      <c r="I149" s="16">
        <v>1315.77</v>
      </c>
      <c r="J149" s="14">
        <v>532.44000000000005</v>
      </c>
      <c r="K149" s="14">
        <v>910.62</v>
      </c>
    </row>
    <row r="150" spans="1:11" ht="18" customHeight="1">
      <c r="A150" s="9">
        <v>41518</v>
      </c>
      <c r="B150" s="3">
        <v>1.1809989999999999</v>
      </c>
      <c r="C150" s="30" t="str">
        <f t="shared" si="10"/>
        <v/>
      </c>
      <c r="D150" s="41" t="str">
        <f t="shared" si="11"/>
        <v/>
      </c>
      <c r="E150" s="41" t="str">
        <f t="shared" si="12"/>
        <v/>
      </c>
      <c r="F150" s="16">
        <v>1996.96</v>
      </c>
      <c r="G150" s="16">
        <v>260.91000000000003</v>
      </c>
      <c r="H150" s="16">
        <v>15.38</v>
      </c>
      <c r="I150" s="16">
        <v>1287.3800000000001</v>
      </c>
      <c r="J150" s="14">
        <v>534.89</v>
      </c>
      <c r="K150" s="14">
        <v>917.72</v>
      </c>
    </row>
    <row r="151" spans="1:11" ht="18" customHeight="1">
      <c r="A151" s="9">
        <v>41487</v>
      </c>
      <c r="B151" s="3">
        <v>1.140471</v>
      </c>
      <c r="C151" s="30" t="str">
        <f t="shared" si="10"/>
        <v/>
      </c>
      <c r="D151" s="41" t="str">
        <f t="shared" si="11"/>
        <v/>
      </c>
      <c r="E151" s="41" t="str">
        <f t="shared" si="12"/>
        <v/>
      </c>
      <c r="F151" s="16">
        <v>1926.36</v>
      </c>
      <c r="G151" s="16">
        <v>251.74</v>
      </c>
      <c r="H151" s="16">
        <v>15.73</v>
      </c>
      <c r="I151" s="16">
        <v>1237.3499999999999</v>
      </c>
      <c r="J151" s="14">
        <v>516.74</v>
      </c>
      <c r="K151" s="13">
        <v>874.7</v>
      </c>
    </row>
    <row r="152" spans="1:11" ht="18" customHeight="1">
      <c r="A152" s="9">
        <v>41456</v>
      </c>
      <c r="B152" s="3">
        <v>1.1277759999999999</v>
      </c>
      <c r="C152" s="30" t="str">
        <f t="shared" si="10"/>
        <v/>
      </c>
      <c r="D152" s="41" t="str">
        <f t="shared" si="11"/>
        <v/>
      </c>
      <c r="E152" s="41" t="str">
        <f t="shared" si="12"/>
        <v/>
      </c>
      <c r="F152" s="16">
        <v>1914.03</v>
      </c>
      <c r="G152" s="16">
        <v>247.99</v>
      </c>
      <c r="H152" s="16">
        <v>16.260000000000002</v>
      </c>
      <c r="I152" s="16">
        <v>1224.78</v>
      </c>
      <c r="J152" s="14">
        <v>554.30999999999995</v>
      </c>
      <c r="K152" s="14">
        <v>961.94</v>
      </c>
    </row>
    <row r="153" spans="1:11" ht="18" customHeight="1">
      <c r="A153" s="9">
        <v>41426</v>
      </c>
      <c r="B153" s="3">
        <v>1.1070580000000001</v>
      </c>
      <c r="C153" s="30" t="str">
        <f t="shared" si="10"/>
        <v/>
      </c>
      <c r="D153" s="41" t="str">
        <f t="shared" si="11"/>
        <v/>
      </c>
      <c r="E153" s="41" t="str">
        <f t="shared" si="12"/>
        <v/>
      </c>
      <c r="F153" s="16">
        <v>1863.32</v>
      </c>
      <c r="G153" s="16">
        <v>242.27</v>
      </c>
      <c r="H153" s="16">
        <v>17.11</v>
      </c>
      <c r="I153" s="16">
        <v>1193.22</v>
      </c>
      <c r="J153" s="14">
        <v>519.05999999999995</v>
      </c>
      <c r="K153" s="14">
        <v>886.36</v>
      </c>
    </row>
    <row r="154" spans="1:11" ht="18" customHeight="1">
      <c r="A154" s="9">
        <v>41395</v>
      </c>
      <c r="B154" s="3">
        <v>1.186987</v>
      </c>
      <c r="C154" s="30" t="str">
        <f t="shared" si="10"/>
        <v/>
      </c>
      <c r="D154" s="41" t="str">
        <f t="shared" si="11"/>
        <v/>
      </c>
      <c r="E154" s="41" t="str">
        <f t="shared" si="12"/>
        <v/>
      </c>
      <c r="F154" s="16">
        <v>2001.05</v>
      </c>
      <c r="G154" s="16">
        <v>261.47000000000003</v>
      </c>
      <c r="H154" s="16">
        <v>14.16</v>
      </c>
      <c r="I154" s="16">
        <v>1300.8900000000001</v>
      </c>
      <c r="J154" s="14">
        <v>577.87</v>
      </c>
      <c r="K154" s="14">
        <v>980.29</v>
      </c>
    </row>
    <row r="155" spans="1:11" ht="18" customHeight="1">
      <c r="A155" s="9">
        <v>41365</v>
      </c>
      <c r="B155" s="3">
        <v>1.1660159999999999</v>
      </c>
      <c r="C155" s="30" t="str">
        <f t="shared" si="10"/>
        <v/>
      </c>
      <c r="D155" s="41" t="str">
        <f t="shared" si="11"/>
        <v/>
      </c>
      <c r="E155" s="41" t="str">
        <f t="shared" si="12"/>
        <v/>
      </c>
      <c r="F155" s="16">
        <v>1963.95</v>
      </c>
      <c r="G155" s="16">
        <v>255.72</v>
      </c>
      <c r="H155" s="16">
        <v>14.74</v>
      </c>
      <c r="I155" s="16">
        <v>1275.3499999999999</v>
      </c>
      <c r="J155" s="14">
        <v>563.87</v>
      </c>
      <c r="K155" s="14">
        <v>962.25</v>
      </c>
    </row>
    <row r="156" spans="1:11" ht="18" customHeight="1">
      <c r="A156" s="9">
        <v>41334</v>
      </c>
      <c r="B156" s="3">
        <v>1.2511699999999999</v>
      </c>
      <c r="C156" s="30" t="str">
        <f t="shared" si="10"/>
        <v/>
      </c>
      <c r="D156" s="41" t="str">
        <f t="shared" si="11"/>
        <v/>
      </c>
      <c r="E156" s="41" t="str">
        <f t="shared" si="12"/>
        <v/>
      </c>
      <c r="F156" s="16">
        <v>2004.89</v>
      </c>
      <c r="G156" s="16">
        <v>263.39</v>
      </c>
      <c r="H156" s="16">
        <v>14.34</v>
      </c>
      <c r="I156" s="16">
        <v>1313.78</v>
      </c>
      <c r="J156" s="14">
        <v>555.02</v>
      </c>
      <c r="K156" s="14">
        <v>973.03</v>
      </c>
    </row>
    <row r="157" spans="1:11" ht="18" customHeight="1">
      <c r="A157" s="9">
        <v>41306</v>
      </c>
      <c r="B157" s="3">
        <v>1.2645219999999999</v>
      </c>
      <c r="C157" s="30" t="str">
        <f t="shared" si="10"/>
        <v/>
      </c>
      <c r="D157" s="41" t="str">
        <f t="shared" si="11"/>
        <v/>
      </c>
      <c r="E157" s="41" t="str">
        <f t="shared" si="12"/>
        <v/>
      </c>
      <c r="F157" s="16">
        <v>2026.49</v>
      </c>
      <c r="G157" s="16">
        <v>268.01</v>
      </c>
      <c r="H157" s="16">
        <v>15.19</v>
      </c>
      <c r="I157" s="16">
        <v>1344.57</v>
      </c>
      <c r="J157" s="14">
        <v>535.87</v>
      </c>
      <c r="K157" s="14">
        <v>944.37</v>
      </c>
    </row>
    <row r="158" spans="1:11" ht="18" customHeight="1">
      <c r="A158" s="9">
        <v>41275</v>
      </c>
      <c r="B158" s="3">
        <v>1.22597</v>
      </c>
      <c r="C158" s="30" t="str">
        <f t="shared" si="10"/>
        <v/>
      </c>
      <c r="D158" s="41" t="str">
        <f t="shared" si="11"/>
        <v/>
      </c>
      <c r="E158" s="41" t="str">
        <f t="shared" si="12"/>
        <v/>
      </c>
      <c r="F158" s="16">
        <v>1961.94</v>
      </c>
      <c r="G158" s="16">
        <v>258.07</v>
      </c>
      <c r="H158" s="16">
        <v>15.18</v>
      </c>
      <c r="I158" s="16">
        <v>1290.6099999999999</v>
      </c>
      <c r="J158" s="14">
        <v>503.67</v>
      </c>
      <c r="K158" s="14">
        <v>883.56</v>
      </c>
    </row>
    <row r="159" spans="1:11" ht="18" customHeight="1">
      <c r="A159" s="9">
        <v>41244</v>
      </c>
      <c r="B159" s="3">
        <v>1.248632</v>
      </c>
      <c r="C159" s="30" t="str">
        <f t="shared" si="10"/>
        <v/>
      </c>
      <c r="D159" s="41" t="str">
        <f t="shared" si="11"/>
        <v/>
      </c>
      <c r="E159" s="41" t="str">
        <f t="shared" si="12"/>
        <v/>
      </c>
      <c r="F159" s="16">
        <v>1997.05</v>
      </c>
      <c r="G159" s="16">
        <v>263.92</v>
      </c>
      <c r="H159" s="16">
        <v>15.89</v>
      </c>
      <c r="I159" s="16">
        <v>1329.58</v>
      </c>
      <c r="J159" s="14">
        <v>496.32</v>
      </c>
      <c r="K159" s="13">
        <v>880.2</v>
      </c>
    </row>
    <row r="160" spans="1:11" ht="18" customHeight="1">
      <c r="A160" s="9">
        <v>41214</v>
      </c>
      <c r="B160" s="3">
        <v>1.2084109999999999</v>
      </c>
      <c r="C160" s="30" t="str">
        <f t="shared" si="10"/>
        <v/>
      </c>
      <c r="D160" s="41" t="str">
        <f t="shared" si="11"/>
        <v/>
      </c>
      <c r="E160" s="41" t="str">
        <f t="shared" si="12"/>
        <v/>
      </c>
      <c r="F160" s="16">
        <v>1932.9</v>
      </c>
      <c r="G160" s="16">
        <v>254.25</v>
      </c>
      <c r="H160" s="16">
        <v>14.87</v>
      </c>
      <c r="I160" s="16">
        <v>1273.51</v>
      </c>
      <c r="J160" s="14">
        <v>499.37</v>
      </c>
      <c r="K160" s="14">
        <v>876.85</v>
      </c>
    </row>
    <row r="161" spans="1:11" ht="18" customHeight="1">
      <c r="A161" s="9">
        <v>41183</v>
      </c>
      <c r="B161" s="3">
        <v>1.194307</v>
      </c>
      <c r="C161" s="30" t="str">
        <f t="shared" si="10"/>
        <v/>
      </c>
      <c r="D161" s="41" t="str">
        <f t="shared" si="11"/>
        <v/>
      </c>
      <c r="E161" s="41" t="str">
        <f t="shared" si="12"/>
        <v/>
      </c>
      <c r="F161" s="16">
        <v>1912.06</v>
      </c>
      <c r="G161" s="16">
        <v>250.18</v>
      </c>
      <c r="H161" s="16">
        <v>18.37</v>
      </c>
      <c r="I161" s="16">
        <v>1249.08</v>
      </c>
      <c r="J161" s="14">
        <v>508.31</v>
      </c>
      <c r="K161" s="14">
        <v>893.42</v>
      </c>
    </row>
    <row r="162" spans="1:11" ht="18" customHeight="1">
      <c r="A162" s="9">
        <v>41153</v>
      </c>
      <c r="B162" s="3">
        <v>1.2496210000000001</v>
      </c>
      <c r="C162" s="30" t="str">
        <f t="shared" si="10"/>
        <v/>
      </c>
      <c r="D162" s="41" t="str">
        <f t="shared" si="11"/>
        <v/>
      </c>
      <c r="E162" s="41" t="str">
        <f t="shared" si="12"/>
        <v/>
      </c>
      <c r="F162" s="16">
        <v>1996.21</v>
      </c>
      <c r="G162" s="16">
        <v>262.49</v>
      </c>
      <c r="H162" s="16">
        <v>17.23</v>
      </c>
      <c r="I162" s="16">
        <v>1317.13</v>
      </c>
      <c r="J162" s="14">
        <v>523.78</v>
      </c>
      <c r="K162" s="14">
        <v>925.14</v>
      </c>
    </row>
    <row r="163" spans="1:11" ht="18" customHeight="1">
      <c r="A163" s="9">
        <v>41122</v>
      </c>
      <c r="B163" s="3">
        <v>1.1915880000000001</v>
      </c>
      <c r="C163" s="30" t="str">
        <f t="shared" si="10"/>
        <v/>
      </c>
      <c r="D163" s="41" t="str">
        <f t="shared" si="11"/>
        <v/>
      </c>
      <c r="E163" s="41" t="str">
        <f t="shared" si="12"/>
        <v/>
      </c>
      <c r="F163" s="16">
        <v>1905.12</v>
      </c>
      <c r="G163" s="16">
        <v>250.56</v>
      </c>
      <c r="H163" s="16">
        <v>20.350000000000001</v>
      </c>
      <c r="I163" s="16">
        <v>1254.68</v>
      </c>
      <c r="J163" s="14">
        <v>508.35</v>
      </c>
      <c r="K163" s="14">
        <v>922.68</v>
      </c>
    </row>
    <row r="164" spans="1:11" ht="18" customHeight="1">
      <c r="A164" s="9">
        <v>41091</v>
      </c>
      <c r="B164" s="3">
        <v>1.1835039999999999</v>
      </c>
      <c r="C164" s="30" t="str">
        <f t="shared" si="10"/>
        <v/>
      </c>
      <c r="D164" s="41" t="str">
        <f t="shared" si="11"/>
        <v/>
      </c>
      <c r="E164" s="41" t="str">
        <f t="shared" si="12"/>
        <v/>
      </c>
      <c r="F164" s="16">
        <v>1881.99</v>
      </c>
      <c r="G164" s="16">
        <v>250.08</v>
      </c>
      <c r="H164" s="16">
        <v>20.32</v>
      </c>
      <c r="I164" s="16">
        <v>1256.44</v>
      </c>
      <c r="J164" s="14">
        <v>467.61</v>
      </c>
      <c r="K164" s="14">
        <v>841.13</v>
      </c>
    </row>
    <row r="165" spans="1:11" ht="18" customHeight="1">
      <c r="A165" s="9">
        <v>41061</v>
      </c>
      <c r="B165" s="3">
        <v>1.165116</v>
      </c>
      <c r="C165" s="30" t="str">
        <f t="shared" si="10"/>
        <v/>
      </c>
      <c r="D165" s="41" t="str">
        <f t="shared" si="11"/>
        <v/>
      </c>
      <c r="E165" s="41" t="str">
        <f t="shared" si="12"/>
        <v/>
      </c>
      <c r="F165" s="16">
        <v>1854.01</v>
      </c>
      <c r="G165" s="16">
        <v>244.9</v>
      </c>
      <c r="H165" s="16">
        <v>20.03</v>
      </c>
      <c r="I165" s="16">
        <v>1232.6099999999999</v>
      </c>
      <c r="J165" s="14">
        <v>489.16</v>
      </c>
      <c r="K165" s="13">
        <v>882.8</v>
      </c>
    </row>
    <row r="166" spans="1:11" ht="18" customHeight="1">
      <c r="A166" s="9">
        <v>41030</v>
      </c>
      <c r="B166" s="3">
        <v>1.158393</v>
      </c>
      <c r="C166" s="30" t="str">
        <f t="shared" si="10"/>
        <v/>
      </c>
      <c r="D166" s="41" t="str">
        <f t="shared" si="11"/>
        <v/>
      </c>
      <c r="E166" s="41" t="str">
        <f t="shared" si="12"/>
        <v/>
      </c>
      <c r="F166" s="16">
        <v>1843.47</v>
      </c>
      <c r="G166" s="16">
        <v>244.05</v>
      </c>
      <c r="H166" s="16">
        <v>22.69</v>
      </c>
      <c r="I166" s="16">
        <v>1228.04</v>
      </c>
      <c r="J166" s="14">
        <v>471.94</v>
      </c>
      <c r="K166" s="14">
        <v>873.73</v>
      </c>
    </row>
    <row r="167" spans="1:11" ht="18" customHeight="1">
      <c r="A167" s="9">
        <v>41000</v>
      </c>
      <c r="B167" s="3">
        <v>1.2452559999999999</v>
      </c>
      <c r="C167" s="30" t="str">
        <f t="shared" si="10"/>
        <v/>
      </c>
      <c r="D167" s="41" t="str">
        <f t="shared" si="11"/>
        <v/>
      </c>
      <c r="E167" s="41" t="str">
        <f t="shared" si="12"/>
        <v/>
      </c>
      <c r="F167" s="16">
        <v>1981.99</v>
      </c>
      <c r="G167" s="16">
        <v>264.35000000000002</v>
      </c>
      <c r="H167" s="16">
        <v>17.309999999999999</v>
      </c>
      <c r="I167" s="16">
        <v>1339.72</v>
      </c>
      <c r="J167" s="14">
        <v>478.89</v>
      </c>
      <c r="K167" s="14">
        <v>864.72</v>
      </c>
    </row>
    <row r="168" spans="1:11" ht="18" customHeight="1">
      <c r="A168" s="9">
        <v>40969</v>
      </c>
      <c r="B168" s="3">
        <v>1.3139989999999999</v>
      </c>
      <c r="C168" s="30" t="str">
        <f t="shared" si="10"/>
        <v/>
      </c>
      <c r="D168" s="41" t="str">
        <f t="shared" si="11"/>
        <v/>
      </c>
      <c r="E168" s="41" t="str">
        <f t="shared" si="12"/>
        <v/>
      </c>
      <c r="F168" s="16">
        <v>2014.04</v>
      </c>
      <c r="G168" s="16">
        <v>266.58</v>
      </c>
      <c r="H168" s="16">
        <v>17.559999999999999</v>
      </c>
      <c r="I168" s="16">
        <v>1353.11</v>
      </c>
      <c r="J168" s="14">
        <v>519.55999999999995</v>
      </c>
      <c r="K168" s="14">
        <v>943.42</v>
      </c>
    </row>
    <row r="169" spans="1:11" ht="18" customHeight="1">
      <c r="A169" s="9">
        <v>40940</v>
      </c>
      <c r="B169" s="3">
        <v>1.3252440000000001</v>
      </c>
      <c r="C169" s="30" t="str">
        <f t="shared" si="10"/>
        <v/>
      </c>
      <c r="D169" s="41" t="str">
        <f t="shared" si="11"/>
        <v/>
      </c>
      <c r="E169" s="41" t="str">
        <f t="shared" si="12"/>
        <v/>
      </c>
      <c r="F169" s="16">
        <v>2030.25</v>
      </c>
      <c r="G169" s="16">
        <v>267.13</v>
      </c>
      <c r="H169" s="16">
        <v>19.399999999999999</v>
      </c>
      <c r="I169" s="16">
        <v>1361.87</v>
      </c>
      <c r="J169" s="13">
        <v>542.29999999999995</v>
      </c>
      <c r="K169" s="14">
        <v>988.15</v>
      </c>
    </row>
    <row r="170" spans="1:11" ht="18" customHeight="1">
      <c r="A170" s="9">
        <v>40909</v>
      </c>
      <c r="B170" s="3">
        <v>1.2748459999999999</v>
      </c>
      <c r="C170" s="30" t="str">
        <f t="shared" si="10"/>
        <v/>
      </c>
      <c r="D170" s="41" t="str">
        <f t="shared" si="11"/>
        <v/>
      </c>
      <c r="E170" s="41" t="str">
        <f t="shared" si="12"/>
        <v/>
      </c>
      <c r="F170" s="16">
        <v>1955.79</v>
      </c>
      <c r="G170" s="16">
        <v>256.89999999999998</v>
      </c>
      <c r="H170" s="16">
        <v>23.36</v>
      </c>
      <c r="I170" s="16">
        <v>1316.01</v>
      </c>
      <c r="J170" s="14">
        <v>513.99</v>
      </c>
      <c r="K170" s="14">
        <v>966.47</v>
      </c>
    </row>
    <row r="171" spans="1:11" ht="18" customHeight="1">
      <c r="A171" s="9">
        <v>40878</v>
      </c>
      <c r="B171" s="3">
        <v>1.1906669999999999</v>
      </c>
      <c r="C171" s="30" t="str">
        <f t="shared" si="10"/>
        <v/>
      </c>
      <c r="D171" s="41" t="str">
        <f t="shared" si="11"/>
        <v/>
      </c>
      <c r="E171" s="41" t="str">
        <f t="shared" si="12"/>
        <v/>
      </c>
      <c r="F171" s="16">
        <v>1825.74</v>
      </c>
      <c r="G171" s="16">
        <v>238.08</v>
      </c>
      <c r="H171" s="16">
        <v>26.4</v>
      </c>
      <c r="I171" s="16">
        <v>1215.8800000000001</v>
      </c>
      <c r="J171" s="14">
        <v>500.18</v>
      </c>
      <c r="K171" s="14">
        <v>965.62</v>
      </c>
    </row>
    <row r="172" spans="1:11" ht="18" customHeight="1">
      <c r="A172" s="9">
        <v>40848</v>
      </c>
      <c r="B172" s="3">
        <v>1.2039150000000001</v>
      </c>
      <c r="C172" s="30" t="str">
        <f t="shared" si="10"/>
        <v/>
      </c>
      <c r="D172" s="41" t="str">
        <f t="shared" si="11"/>
        <v/>
      </c>
      <c r="E172" s="41" t="str">
        <f t="shared" si="12"/>
        <v/>
      </c>
      <c r="F172" s="16">
        <v>1847.51</v>
      </c>
      <c r="G172" s="16">
        <v>241.19</v>
      </c>
      <c r="H172" s="16">
        <v>29.04</v>
      </c>
      <c r="I172" s="16">
        <v>1223.58</v>
      </c>
      <c r="J172" s="14">
        <v>492.81</v>
      </c>
      <c r="K172" s="14">
        <v>973.91</v>
      </c>
    </row>
    <row r="173" spans="1:11" ht="18" customHeight="1">
      <c r="A173" s="9">
        <v>40817</v>
      </c>
      <c r="B173" s="3">
        <v>1.2442869999999999</v>
      </c>
      <c r="C173" s="30" t="str">
        <f t="shared" si="10"/>
        <v/>
      </c>
      <c r="D173" s="41" t="str">
        <f t="shared" si="11"/>
        <v/>
      </c>
      <c r="E173" s="41" t="str">
        <f t="shared" si="12"/>
        <v/>
      </c>
      <c r="F173" s="16">
        <v>1909.03</v>
      </c>
      <c r="G173" s="16">
        <v>249.88</v>
      </c>
      <c r="H173" s="16">
        <v>31.02</v>
      </c>
      <c r="I173" s="16">
        <v>1276.67</v>
      </c>
      <c r="J173" s="14">
        <v>490.69</v>
      </c>
      <c r="K173" s="13">
        <v>983.8</v>
      </c>
    </row>
    <row r="174" spans="1:11" ht="18" customHeight="1">
      <c r="A174" s="9">
        <v>40787</v>
      </c>
      <c r="B174" s="3">
        <v>1.151486</v>
      </c>
      <c r="C174" s="30" t="str">
        <f t="shared" si="10"/>
        <v/>
      </c>
      <c r="D174" s="41" t="str">
        <f t="shared" si="11"/>
        <v/>
      </c>
      <c r="E174" s="41" t="str">
        <f t="shared" si="12"/>
        <v/>
      </c>
      <c r="F174" s="16">
        <v>1769.65</v>
      </c>
      <c r="G174" s="16">
        <v>230.41</v>
      </c>
      <c r="H174" s="16">
        <v>40.56</v>
      </c>
      <c r="I174" s="16">
        <v>1162.3599999999999</v>
      </c>
      <c r="J174" s="14">
        <v>449.66</v>
      </c>
      <c r="K174" s="14">
        <v>916.17</v>
      </c>
    </row>
    <row r="175" spans="1:11" ht="18" customHeight="1">
      <c r="A175" s="9">
        <v>40756</v>
      </c>
      <c r="B175" s="3">
        <v>1.224227</v>
      </c>
      <c r="C175" s="30" t="str">
        <f t="shared" si="10"/>
        <v/>
      </c>
      <c r="D175" s="41" t="str">
        <f t="shared" si="11"/>
        <v/>
      </c>
      <c r="E175" s="41" t="str">
        <f t="shared" si="12"/>
        <v/>
      </c>
      <c r="F175" s="16">
        <v>1880.11</v>
      </c>
      <c r="G175" s="16">
        <v>242.16</v>
      </c>
      <c r="H175" s="16">
        <v>28.05</v>
      </c>
      <c r="I175" s="16">
        <v>1216.98</v>
      </c>
      <c r="J175" s="14">
        <v>493.44</v>
      </c>
      <c r="K175" s="13">
        <v>987.9</v>
      </c>
    </row>
    <row r="176" spans="1:11" ht="18" customHeight="1">
      <c r="A176" s="9">
        <v>40725</v>
      </c>
      <c r="B176" s="3">
        <v>1.3914200000000001</v>
      </c>
      <c r="C176" s="30" t="str">
        <f t="shared" si="10"/>
        <v/>
      </c>
      <c r="D176" s="41" t="str">
        <f t="shared" si="11"/>
        <v/>
      </c>
      <c r="E176" s="41" t="str">
        <f t="shared" si="12"/>
        <v/>
      </c>
      <c r="F176" s="16">
        <v>2133.21</v>
      </c>
      <c r="G176" s="16">
        <v>277.11</v>
      </c>
      <c r="H176" s="16">
        <v>21</v>
      </c>
      <c r="I176" s="16">
        <v>1401.67</v>
      </c>
      <c r="J176" s="14">
        <v>536.04999999999995</v>
      </c>
      <c r="K176" s="14">
        <v>1070.3900000000001</v>
      </c>
    </row>
    <row r="177" spans="1:11" ht="18" customHeight="1">
      <c r="A177" s="9">
        <v>40695</v>
      </c>
      <c r="B177" s="3">
        <v>1.3809899999999999</v>
      </c>
      <c r="C177" s="30" t="str">
        <f t="shared" si="10"/>
        <v/>
      </c>
      <c r="D177" s="41" t="str">
        <f t="shared" si="11"/>
        <v/>
      </c>
      <c r="E177" s="41" t="str">
        <f t="shared" si="12"/>
        <v/>
      </c>
      <c r="F177" s="16">
        <v>2100.69</v>
      </c>
      <c r="G177" s="16">
        <v>275.17</v>
      </c>
      <c r="H177" s="16">
        <v>19.239999999999998</v>
      </c>
      <c r="I177" s="16">
        <v>1393.86</v>
      </c>
      <c r="J177" s="14">
        <v>479.55</v>
      </c>
      <c r="K177" s="14">
        <v>952.97</v>
      </c>
    </row>
    <row r="178" spans="1:11" ht="18" customHeight="1">
      <c r="A178" s="9">
        <v>40664</v>
      </c>
      <c r="B178" s="3">
        <v>1.4063650000000001</v>
      </c>
      <c r="C178" s="30" t="str">
        <f t="shared" si="10"/>
        <v/>
      </c>
      <c r="D178" s="41" t="str">
        <f t="shared" si="11"/>
        <v/>
      </c>
      <c r="E178" s="41" t="str">
        <f t="shared" si="12"/>
        <v/>
      </c>
      <c r="F178" s="16">
        <v>2142.4699999999998</v>
      </c>
      <c r="G178" s="16">
        <v>282.76</v>
      </c>
      <c r="H178" s="16">
        <v>18.559999999999999</v>
      </c>
      <c r="I178" s="16">
        <v>1429.99</v>
      </c>
      <c r="J178" s="14">
        <v>484.54</v>
      </c>
      <c r="K178" s="14">
        <v>948.75</v>
      </c>
    </row>
    <row r="179" spans="1:11" ht="18" customHeight="1">
      <c r="A179" s="9">
        <v>40634</v>
      </c>
      <c r="B179" s="3">
        <v>1.4379519999999999</v>
      </c>
      <c r="C179" s="30" t="str">
        <f t="shared" si="10"/>
        <v/>
      </c>
      <c r="D179" s="41" t="str">
        <f t="shared" si="11"/>
        <v/>
      </c>
      <c r="E179" s="41" t="str">
        <f t="shared" si="12"/>
        <v/>
      </c>
      <c r="F179" s="16">
        <v>2192.36</v>
      </c>
      <c r="G179" s="16">
        <v>290.39</v>
      </c>
      <c r="H179" s="16">
        <v>18.36</v>
      </c>
      <c r="I179" s="16">
        <v>1470.69</v>
      </c>
      <c r="J179" s="15">
        <v>511</v>
      </c>
      <c r="K179" s="14">
        <v>994.75</v>
      </c>
    </row>
    <row r="180" spans="1:11" ht="18" customHeight="1">
      <c r="A180" s="9">
        <v>40603</v>
      </c>
      <c r="B180" s="3">
        <v>1.549609</v>
      </c>
      <c r="C180" s="30" t="str">
        <f t="shared" si="10"/>
        <v/>
      </c>
      <c r="D180" s="41" t="str">
        <f t="shared" si="11"/>
        <v/>
      </c>
      <c r="E180" s="41" t="str">
        <f t="shared" si="12"/>
        <v/>
      </c>
      <c r="F180" s="16">
        <v>2106.6999999999998</v>
      </c>
      <c r="G180" s="16">
        <v>278.87</v>
      </c>
      <c r="H180" s="16">
        <v>16.57</v>
      </c>
      <c r="I180" s="16">
        <v>1419.37</v>
      </c>
      <c r="J180" s="14">
        <v>525.41999999999996</v>
      </c>
      <c r="K180" s="14">
        <v>1033.07</v>
      </c>
    </row>
    <row r="181" spans="1:11" ht="18" customHeight="1">
      <c r="A181" s="9">
        <v>40575</v>
      </c>
      <c r="B181" s="3">
        <v>1.4250750000000001</v>
      </c>
      <c r="C181" s="30" t="str">
        <f t="shared" si="10"/>
        <v/>
      </c>
      <c r="D181" s="41" t="str">
        <f t="shared" si="11"/>
        <v/>
      </c>
      <c r="E181" s="41" t="str">
        <f t="shared" si="12"/>
        <v/>
      </c>
      <c r="F181" s="16">
        <v>1939.3</v>
      </c>
      <c r="G181" s="16">
        <v>256.36</v>
      </c>
      <c r="H181" s="16">
        <v>20.059999999999999</v>
      </c>
      <c r="I181" s="16">
        <v>1298.24</v>
      </c>
      <c r="J181" s="14">
        <v>504.46</v>
      </c>
      <c r="K181" s="14">
        <v>999.69</v>
      </c>
    </row>
    <row r="182" spans="1:11" ht="18" customHeight="1">
      <c r="A182" s="9">
        <v>40544</v>
      </c>
      <c r="B182" s="3">
        <v>1.521261</v>
      </c>
      <c r="C182" s="30" t="str">
        <f t="shared" si="10"/>
        <v/>
      </c>
      <c r="D182" s="41" t="str">
        <f t="shared" si="11"/>
        <v/>
      </c>
      <c r="E182" s="41" t="str">
        <f t="shared" si="12"/>
        <v/>
      </c>
      <c r="F182" s="16">
        <v>2069.73</v>
      </c>
      <c r="G182" s="16">
        <v>273.12</v>
      </c>
      <c r="H182" s="16">
        <v>16.3</v>
      </c>
      <c r="I182" s="16">
        <v>1392.19</v>
      </c>
      <c r="J182" s="14">
        <v>521.38</v>
      </c>
      <c r="K182" s="14">
        <v>1037.72</v>
      </c>
    </row>
    <row r="183" spans="1:11" ht="18" customHeight="1">
      <c r="A183" s="9">
        <v>40513</v>
      </c>
      <c r="B183" s="3">
        <v>1.5031829999999999</v>
      </c>
      <c r="C183" s="30" t="str">
        <f t="shared" si="10"/>
        <v/>
      </c>
      <c r="D183" s="41" t="str">
        <f t="shared" si="11"/>
        <v/>
      </c>
      <c r="E183" s="41" t="str">
        <f t="shared" si="12"/>
        <v/>
      </c>
      <c r="F183" s="16">
        <v>2051</v>
      </c>
      <c r="G183" s="16">
        <v>271.19</v>
      </c>
      <c r="H183" s="16">
        <v>15.83</v>
      </c>
      <c r="I183" s="16">
        <v>1391.42</v>
      </c>
      <c r="J183" s="14">
        <v>510.69</v>
      </c>
      <c r="K183" s="13">
        <v>997.9</v>
      </c>
    </row>
    <row r="184" spans="1:11" ht="18" customHeight="1">
      <c r="A184" s="9">
        <v>40483</v>
      </c>
      <c r="B184" s="3">
        <v>1.3943779999999999</v>
      </c>
      <c r="C184" s="30" t="str">
        <f t="shared" si="10"/>
        <v/>
      </c>
      <c r="D184" s="41" t="str">
        <f t="shared" si="11"/>
        <v/>
      </c>
      <c r="E184" s="41" t="str">
        <f t="shared" si="12"/>
        <v/>
      </c>
      <c r="F184" s="16">
        <v>1904.63</v>
      </c>
      <c r="G184" s="16">
        <v>249.64</v>
      </c>
      <c r="H184" s="16">
        <v>22.76</v>
      </c>
      <c r="I184" s="16">
        <v>1269.1500000000001</v>
      </c>
      <c r="J184" s="14">
        <v>498.39</v>
      </c>
      <c r="K184" s="14">
        <v>971.73</v>
      </c>
    </row>
    <row r="185" spans="1:11" ht="18" customHeight="1">
      <c r="A185" s="9">
        <v>40452</v>
      </c>
      <c r="B185" s="3">
        <v>1.3795040000000001</v>
      </c>
      <c r="C185" s="30" t="str">
        <f t="shared" si="10"/>
        <v/>
      </c>
      <c r="D185" s="41" t="str">
        <f t="shared" si="11"/>
        <v/>
      </c>
      <c r="E185" s="41" t="str">
        <f t="shared" si="12"/>
        <v/>
      </c>
      <c r="F185" s="16">
        <v>1882.95</v>
      </c>
      <c r="G185" s="16">
        <v>242.98</v>
      </c>
      <c r="H185" s="16">
        <v>18.600000000000001</v>
      </c>
      <c r="I185" s="16">
        <v>1226.1099999999999</v>
      </c>
      <c r="J185" s="14">
        <v>526.45000000000005</v>
      </c>
      <c r="K185" s="14">
        <v>1019.44</v>
      </c>
    </row>
    <row r="186" spans="1:11" ht="18" customHeight="1">
      <c r="A186" s="9">
        <v>40422</v>
      </c>
      <c r="B186" s="3">
        <v>1.371021</v>
      </c>
      <c r="C186" s="30" t="str">
        <f t="shared" si="10"/>
        <v/>
      </c>
      <c r="D186" s="41" t="str">
        <f t="shared" si="11"/>
        <v/>
      </c>
      <c r="E186" s="41" t="str">
        <f t="shared" si="12"/>
        <v/>
      </c>
      <c r="F186" s="16">
        <v>1872.81</v>
      </c>
      <c r="G186" s="16">
        <v>242.95</v>
      </c>
      <c r="H186" s="16">
        <v>16.77</v>
      </c>
      <c r="I186" s="16">
        <v>1234.21</v>
      </c>
      <c r="J186" s="14">
        <v>492.75</v>
      </c>
      <c r="K186" s="14">
        <v>963.37</v>
      </c>
    </row>
    <row r="187" spans="1:11" ht="18" customHeight="1">
      <c r="A187" s="9">
        <v>40391</v>
      </c>
      <c r="B187" s="3">
        <v>1.2758419999999999</v>
      </c>
      <c r="C187" s="30" t="str">
        <f t="shared" si="10"/>
        <v/>
      </c>
      <c r="D187" s="41" t="str">
        <f t="shared" si="11"/>
        <v/>
      </c>
      <c r="E187" s="41" t="str">
        <f t="shared" si="12"/>
        <v/>
      </c>
      <c r="F187" s="16">
        <v>1742.75</v>
      </c>
      <c r="G187" s="16">
        <v>226.81</v>
      </c>
      <c r="H187" s="16">
        <v>18.79</v>
      </c>
      <c r="I187" s="16">
        <v>1149.3499999999999</v>
      </c>
      <c r="J187" s="14">
        <v>464.71</v>
      </c>
      <c r="K187" s="14">
        <v>889.81</v>
      </c>
    </row>
    <row r="188" spans="1:11" ht="18" customHeight="1">
      <c r="A188" s="9">
        <v>40360</v>
      </c>
      <c r="B188" s="3">
        <v>1.286538</v>
      </c>
      <c r="C188" s="30" t="str">
        <f t="shared" si="10"/>
        <v/>
      </c>
      <c r="D188" s="41" t="str">
        <f t="shared" si="11"/>
        <v/>
      </c>
      <c r="E188" s="41" t="str">
        <f t="shared" si="12"/>
        <v/>
      </c>
      <c r="F188" s="16">
        <v>1759.33</v>
      </c>
      <c r="G188" s="16">
        <v>229.25</v>
      </c>
      <c r="H188" s="16">
        <v>19.260000000000002</v>
      </c>
      <c r="I188" s="16">
        <v>1167.8699999999999</v>
      </c>
      <c r="J188" s="14">
        <v>481.45</v>
      </c>
      <c r="K188" s="14">
        <v>918.99</v>
      </c>
    </row>
    <row r="189" spans="1:11" ht="18" customHeight="1">
      <c r="A189" s="9">
        <v>40330</v>
      </c>
      <c r="B189" s="3">
        <v>1.260346</v>
      </c>
      <c r="C189" s="30" t="str">
        <f t="shared" si="10"/>
        <v/>
      </c>
      <c r="D189" s="41" t="str">
        <f t="shared" si="11"/>
        <v/>
      </c>
      <c r="E189" s="41" t="str">
        <f t="shared" si="12"/>
        <v/>
      </c>
      <c r="F189" s="16">
        <v>1698.29</v>
      </c>
      <c r="G189" s="16">
        <v>220.85</v>
      </c>
      <c r="H189" s="16">
        <v>21.9</v>
      </c>
      <c r="I189" s="16">
        <v>1119.93</v>
      </c>
      <c r="J189" s="14">
        <v>489.98</v>
      </c>
      <c r="K189" s="14">
        <v>943.44</v>
      </c>
    </row>
    <row r="190" spans="1:11" ht="18" customHeight="1">
      <c r="A190" s="9">
        <v>40299</v>
      </c>
      <c r="B190" s="3">
        <v>1.2201850000000001</v>
      </c>
      <c r="C190" s="30" t="str">
        <f t="shared" si="10"/>
        <v/>
      </c>
      <c r="D190" s="41" t="str">
        <f t="shared" si="11"/>
        <v/>
      </c>
      <c r="E190" s="41" t="str">
        <f t="shared" si="12"/>
        <v/>
      </c>
      <c r="F190" s="16">
        <v>1641.25</v>
      </c>
      <c r="G190" s="16">
        <v>214.34</v>
      </c>
      <c r="H190" s="16">
        <v>24.01</v>
      </c>
      <c r="I190" s="16">
        <v>1079.8599999999999</v>
      </c>
      <c r="J190" s="14">
        <v>489.42</v>
      </c>
      <c r="K190" s="14">
        <v>939.54</v>
      </c>
    </row>
    <row r="191" spans="1:11" ht="18" customHeight="1">
      <c r="A191" s="9">
        <v>40269</v>
      </c>
      <c r="B191" s="3">
        <v>1.273026</v>
      </c>
      <c r="C191" s="30" t="str">
        <f t="shared" si="10"/>
        <v/>
      </c>
      <c r="D191" s="41" t="str">
        <f t="shared" si="11"/>
        <v/>
      </c>
      <c r="E191" s="41" t="str">
        <f t="shared" si="12"/>
        <v/>
      </c>
      <c r="F191" s="16">
        <v>1741.56</v>
      </c>
      <c r="G191" s="16">
        <v>227.95</v>
      </c>
      <c r="H191" s="16">
        <v>18.27</v>
      </c>
      <c r="I191" s="16">
        <v>1159.4100000000001</v>
      </c>
      <c r="J191" s="14">
        <v>523.75</v>
      </c>
      <c r="K191" s="14">
        <v>985.47</v>
      </c>
    </row>
    <row r="192" spans="1:11" ht="18" customHeight="1">
      <c r="A192" s="9">
        <v>40238</v>
      </c>
      <c r="B192" s="3">
        <v>1.3561719999999999</v>
      </c>
      <c r="C192" s="30" t="str">
        <f t="shared" si="10"/>
        <v/>
      </c>
      <c r="D192" s="41" t="str">
        <f t="shared" si="11"/>
        <v/>
      </c>
      <c r="E192" s="41" t="str">
        <f t="shared" si="12"/>
        <v/>
      </c>
      <c r="F192" s="16">
        <v>1692.85</v>
      </c>
      <c r="G192" s="16">
        <v>221.58</v>
      </c>
      <c r="H192" s="16">
        <v>17.68</v>
      </c>
      <c r="I192" s="16">
        <v>1128.25</v>
      </c>
      <c r="J192" s="14">
        <v>515.74</v>
      </c>
      <c r="K192" s="37">
        <v>957.81</v>
      </c>
    </row>
    <row r="193" spans="1:20" ht="18" customHeight="1">
      <c r="A193" s="9">
        <v>40210</v>
      </c>
      <c r="B193" s="3">
        <v>1.2761750000000001</v>
      </c>
      <c r="C193" s="30" t="str">
        <f t="shared" si="10"/>
        <v/>
      </c>
      <c r="D193" s="41" t="str">
        <f t="shared" si="11"/>
        <v/>
      </c>
      <c r="E193" s="41" t="str">
        <f t="shared" si="12"/>
        <v/>
      </c>
      <c r="F193" s="16">
        <v>1594.58</v>
      </c>
      <c r="G193" s="16">
        <v>208.36</v>
      </c>
      <c r="H193" s="16">
        <v>20.59</v>
      </c>
      <c r="I193" s="16">
        <v>1054.43</v>
      </c>
      <c r="J193" s="14">
        <v>507.03</v>
      </c>
      <c r="K193" s="37">
        <v>928.29</v>
      </c>
    </row>
    <row r="194" spans="1:20" ht="18" customHeight="1">
      <c r="A194" s="9">
        <v>40179</v>
      </c>
      <c r="B194" s="3">
        <v>1.2835559999999999</v>
      </c>
      <c r="C194" s="30" t="str">
        <f t="shared" si="10"/>
        <v/>
      </c>
      <c r="D194" s="41" t="str">
        <f t="shared" si="11"/>
        <v/>
      </c>
      <c r="E194" s="41" t="str">
        <f t="shared" si="12"/>
        <v/>
      </c>
      <c r="F194" s="16">
        <v>1602.43</v>
      </c>
      <c r="G194" s="16">
        <v>210.34</v>
      </c>
      <c r="H194" s="16">
        <v>23.29</v>
      </c>
      <c r="I194" s="16">
        <v>1062.81</v>
      </c>
      <c r="J194" s="14">
        <v>496.57</v>
      </c>
      <c r="K194" s="37">
        <v>922.07</v>
      </c>
    </row>
    <row r="195" spans="1:20" ht="18" customHeight="1">
      <c r="A195" s="9">
        <v>40148</v>
      </c>
      <c r="B195" s="3">
        <v>1.3417349999999999</v>
      </c>
      <c r="C195" s="30" t="str">
        <f t="shared" si="10"/>
        <v/>
      </c>
      <c r="D195" s="41" t="str">
        <f t="shared" si="11"/>
        <v/>
      </c>
      <c r="E195" s="41" t="str">
        <f t="shared" si="12"/>
        <v/>
      </c>
      <c r="F195" s="16">
        <v>1682.77</v>
      </c>
      <c r="G195" s="16">
        <v>221.86</v>
      </c>
      <c r="H195" s="16">
        <v>20.350000000000001</v>
      </c>
      <c r="I195" s="16">
        <v>1129.3</v>
      </c>
      <c r="J195" s="14">
        <v>513.57000000000005</v>
      </c>
      <c r="K195" s="38">
        <f>(J195/J194)*K194</f>
        <v>953.63692913385842</v>
      </c>
    </row>
    <row r="196" spans="1:20" ht="18" customHeight="1">
      <c r="A196" s="9">
        <v>40118</v>
      </c>
      <c r="B196" s="3">
        <v>1.2312620000000001</v>
      </c>
      <c r="C196" s="30" t="str">
        <f t="shared" ref="C196:C259" si="13">IF(B196&lt;=C$1, "Risk", "")</f>
        <v/>
      </c>
      <c r="D196" s="41" t="str">
        <f t="shared" si="11"/>
        <v/>
      </c>
      <c r="E196" s="41" t="str">
        <f t="shared" si="12"/>
        <v/>
      </c>
      <c r="F196" s="16">
        <v>1555.6</v>
      </c>
      <c r="G196" s="16">
        <v>204.75</v>
      </c>
      <c r="H196" s="16">
        <v>21.94</v>
      </c>
      <c r="I196" s="16">
        <v>1025.05</v>
      </c>
      <c r="J196" s="14">
        <v>464.32</v>
      </c>
      <c r="K196" s="38">
        <f t="shared" ref="K196:K259" si="14">(J196/J195)*K195</f>
        <v>862.18567855488652</v>
      </c>
      <c r="T196" s="32"/>
    </row>
    <row r="197" spans="1:20" ht="18" customHeight="1">
      <c r="A197" s="9">
        <v>40087</v>
      </c>
      <c r="B197" s="3">
        <v>1.2495289999999999</v>
      </c>
      <c r="C197" s="30" t="str">
        <f t="shared" si="13"/>
        <v/>
      </c>
      <c r="D197" s="41" t="str">
        <f t="shared" ref="D197:D260" si="15">IF(B197&lt;=D$1, "Risk", "")</f>
        <v/>
      </c>
      <c r="E197" s="41" t="str">
        <f t="shared" ref="E197:E260" si="16">IF(B197&lt;=E$1, "Risk", "")</f>
        <v/>
      </c>
      <c r="F197" s="16">
        <v>1580.69</v>
      </c>
      <c r="G197" s="16">
        <v>206.81</v>
      </c>
      <c r="H197" s="16">
        <v>25.41</v>
      </c>
      <c r="I197" s="16">
        <v>1032.8399999999999</v>
      </c>
      <c r="J197" s="14">
        <v>486.46</v>
      </c>
      <c r="K197" s="38">
        <f t="shared" si="14"/>
        <v>903.29696155627596</v>
      </c>
      <c r="S197" s="33"/>
      <c r="T197" s="32"/>
    </row>
    <row r="198" spans="1:20" ht="18" customHeight="1">
      <c r="A198" s="9">
        <v>40057</v>
      </c>
      <c r="B198" s="3">
        <v>1.3212820000000001</v>
      </c>
      <c r="C198" s="30" t="str">
        <f t="shared" si="13"/>
        <v/>
      </c>
      <c r="D198" s="41" t="str">
        <f t="shared" si="15"/>
        <v/>
      </c>
      <c r="E198" s="41" t="str">
        <f t="shared" si="16"/>
        <v/>
      </c>
      <c r="F198" s="16">
        <v>1673.14</v>
      </c>
      <c r="G198" s="16">
        <v>219.75</v>
      </c>
      <c r="H198" s="16">
        <v>22.85</v>
      </c>
      <c r="I198" s="16">
        <v>1112.79</v>
      </c>
      <c r="J198" s="14">
        <v>505.94</v>
      </c>
      <c r="K198" s="38">
        <f t="shared" si="14"/>
        <v>939.468948587309</v>
      </c>
      <c r="R198" s="33"/>
      <c r="S198" s="33"/>
      <c r="T198" s="32"/>
    </row>
    <row r="199" spans="1:20" ht="18" customHeight="1">
      <c r="A199" s="9">
        <v>40026</v>
      </c>
      <c r="B199" s="11">
        <v>1.2603839999999999</v>
      </c>
      <c r="C199" s="30" t="str">
        <f t="shared" si="13"/>
        <v/>
      </c>
      <c r="D199" s="41" t="str">
        <f t="shared" si="15"/>
        <v/>
      </c>
      <c r="E199" s="41" t="str">
        <f t="shared" si="16"/>
        <v/>
      </c>
      <c r="F199" s="16">
        <v>1591.85</v>
      </c>
      <c r="G199" s="16">
        <v>207.44</v>
      </c>
      <c r="H199" s="16">
        <v>23.97</v>
      </c>
      <c r="I199" s="16">
        <v>1041.1099999999999</v>
      </c>
      <c r="J199" s="13">
        <v>514.70000000000005</v>
      </c>
      <c r="K199" s="38">
        <f t="shared" si="14"/>
        <v>955.73520148216789</v>
      </c>
      <c r="Q199" s="33"/>
      <c r="R199" s="33"/>
      <c r="S199" s="33"/>
      <c r="T199" s="32"/>
    </row>
    <row r="200" spans="1:20" ht="18" customHeight="1">
      <c r="A200" s="9">
        <v>39995</v>
      </c>
      <c r="B200" s="11">
        <v>1.2340770000000001</v>
      </c>
      <c r="C200" s="30" t="str">
        <f t="shared" si="13"/>
        <v/>
      </c>
      <c r="D200" s="41" t="str">
        <f t="shared" si="15"/>
        <v/>
      </c>
      <c r="E200" s="41" t="str">
        <f t="shared" si="16"/>
        <v/>
      </c>
      <c r="F200" s="16">
        <v>1557.29</v>
      </c>
      <c r="G200" s="16">
        <v>202.96</v>
      </c>
      <c r="H200" s="16">
        <v>25.62</v>
      </c>
      <c r="I200" s="16">
        <v>1023.23</v>
      </c>
      <c r="J200" s="14">
        <v>504.35</v>
      </c>
      <c r="K200" s="38">
        <f t="shared" si="14"/>
        <v>936.5165122742012</v>
      </c>
      <c r="P200" s="33"/>
      <c r="Q200" s="33"/>
      <c r="R200" s="33"/>
      <c r="S200" s="33"/>
      <c r="T200" s="32"/>
    </row>
    <row r="201" spans="1:20" ht="18" customHeight="1">
      <c r="A201" s="9">
        <v>39965</v>
      </c>
      <c r="B201" s="11">
        <v>1.103451</v>
      </c>
      <c r="C201" s="30" t="str">
        <f t="shared" si="13"/>
        <v/>
      </c>
      <c r="D201" s="41" t="str">
        <f t="shared" si="15"/>
        <v/>
      </c>
      <c r="E201" s="41" t="str">
        <f t="shared" si="16"/>
        <v/>
      </c>
      <c r="F201" s="16">
        <v>1390.07</v>
      </c>
      <c r="G201" s="16">
        <v>178.99</v>
      </c>
      <c r="H201" s="16">
        <v>27.26</v>
      </c>
      <c r="I201" s="16">
        <v>899.36</v>
      </c>
      <c r="J201" s="14">
        <v>485.15</v>
      </c>
      <c r="K201" s="38">
        <f t="shared" si="14"/>
        <v>900.86445113478464</v>
      </c>
      <c r="O201" s="33"/>
      <c r="P201" s="32"/>
      <c r="Q201" s="32"/>
      <c r="R201" s="32"/>
      <c r="S201" s="32"/>
      <c r="T201" s="32"/>
    </row>
    <row r="202" spans="1:20" ht="18" customHeight="1">
      <c r="A202" s="9">
        <v>39934</v>
      </c>
      <c r="B202" s="11">
        <v>1.108449</v>
      </c>
      <c r="C202" s="30" t="str">
        <f t="shared" si="13"/>
        <v/>
      </c>
      <c r="D202" s="41" t="str">
        <f t="shared" si="15"/>
        <v/>
      </c>
      <c r="E202" s="41" t="str">
        <f t="shared" si="16"/>
        <v/>
      </c>
      <c r="F202" s="16">
        <v>1395.89</v>
      </c>
      <c r="G202" s="16">
        <v>178.7</v>
      </c>
      <c r="H202" s="16">
        <v>33.42</v>
      </c>
      <c r="I202" s="16">
        <v>895.72</v>
      </c>
      <c r="J202" s="13">
        <v>528.79999999999995</v>
      </c>
      <c r="K202" s="38">
        <f t="shared" si="14"/>
        <v>981.91718388142658</v>
      </c>
      <c r="N202" s="33"/>
      <c r="O202" s="33"/>
      <c r="P202" s="32"/>
      <c r="Q202" s="32"/>
      <c r="R202" s="32"/>
      <c r="S202" s="32"/>
      <c r="T202" s="32"/>
    </row>
    <row r="203" spans="1:20" ht="18" customHeight="1">
      <c r="A203" s="9">
        <v>39904</v>
      </c>
      <c r="B203" s="11">
        <v>1.148882</v>
      </c>
      <c r="C203" s="30" t="str">
        <f t="shared" si="13"/>
        <v/>
      </c>
      <c r="D203" s="41" t="str">
        <f t="shared" si="15"/>
        <v/>
      </c>
      <c r="E203" s="41" t="str">
        <f t="shared" si="16"/>
        <v/>
      </c>
      <c r="F203" s="16">
        <v>1369.36</v>
      </c>
      <c r="G203" s="16">
        <v>176</v>
      </c>
      <c r="H203" s="16">
        <v>34.57</v>
      </c>
      <c r="I203" s="16">
        <v>891.93</v>
      </c>
      <c r="J203" s="14">
        <v>500.98</v>
      </c>
      <c r="K203" s="38">
        <f t="shared" si="14"/>
        <v>930.25883279295988</v>
      </c>
      <c r="M203" s="33"/>
      <c r="N203" s="33"/>
      <c r="O203" s="33"/>
      <c r="P203" s="32"/>
      <c r="Q203" s="32"/>
      <c r="R203" s="32"/>
      <c r="S203" s="32"/>
      <c r="T203" s="32"/>
    </row>
    <row r="204" spans="1:20" ht="18" customHeight="1">
      <c r="A204" s="9">
        <v>39873</v>
      </c>
      <c r="B204" s="11">
        <v>1.0096160000000001</v>
      </c>
      <c r="C204" s="30" t="str">
        <f t="shared" si="13"/>
        <v/>
      </c>
      <c r="D204" s="41" t="str">
        <f t="shared" si="15"/>
        <v/>
      </c>
      <c r="E204" s="41" t="str">
        <f t="shared" si="16"/>
        <v/>
      </c>
      <c r="F204" s="16">
        <v>1206.26</v>
      </c>
      <c r="G204" s="16">
        <v>157.01</v>
      </c>
      <c r="H204" s="16">
        <v>39.56</v>
      </c>
      <c r="I204" s="16">
        <v>798.32</v>
      </c>
      <c r="J204" s="14">
        <v>421.44</v>
      </c>
      <c r="K204" s="38">
        <f t="shared" si="14"/>
        <v>782.56274201019005</v>
      </c>
      <c r="L204" s="33"/>
      <c r="M204" s="33"/>
      <c r="N204" s="33"/>
      <c r="O204" s="33"/>
      <c r="P204" s="32"/>
      <c r="Q204" s="32"/>
      <c r="R204" s="32"/>
      <c r="S204" s="32"/>
      <c r="T204" s="32"/>
    </row>
    <row r="205" spans="1:20" ht="18" customHeight="1">
      <c r="A205" s="9">
        <v>39845</v>
      </c>
      <c r="B205" s="3">
        <v>0.89</v>
      </c>
      <c r="C205" s="30" t="str">
        <f t="shared" si="13"/>
        <v>Risk</v>
      </c>
      <c r="D205" s="41" t="str">
        <f t="shared" si="15"/>
        <v>Risk</v>
      </c>
      <c r="E205" s="41" t="str">
        <f t="shared" si="16"/>
        <v>Risk</v>
      </c>
      <c r="F205" s="16">
        <v>1063.03</v>
      </c>
      <c r="G205" s="16">
        <v>138.07</v>
      </c>
      <c r="H205" s="16">
        <v>47.36</v>
      </c>
      <c r="I205" s="16">
        <v>694.11</v>
      </c>
      <c r="J205" s="14">
        <v>363.21</v>
      </c>
      <c r="K205" s="38">
        <f t="shared" si="14"/>
        <v>674.43672533580377</v>
      </c>
      <c r="L205" s="33"/>
      <c r="M205" s="33"/>
      <c r="N205" s="33"/>
      <c r="O205" s="33"/>
      <c r="P205" s="32"/>
      <c r="Q205" s="32"/>
      <c r="R205" s="32"/>
      <c r="S205" s="32"/>
      <c r="T205" s="32"/>
    </row>
    <row r="206" spans="1:20" ht="18" customHeight="1">
      <c r="A206" s="9">
        <v>39814</v>
      </c>
      <c r="B206" s="3">
        <v>0.97</v>
      </c>
      <c r="C206" s="30" t="str">
        <f t="shared" si="13"/>
        <v>Risk</v>
      </c>
      <c r="D206" s="41" t="str">
        <f t="shared" si="15"/>
        <v/>
      </c>
      <c r="E206" s="41" t="str">
        <f t="shared" si="16"/>
        <v/>
      </c>
      <c r="F206" s="16">
        <v>1162.1099999999999</v>
      </c>
      <c r="G206" s="16">
        <v>151.33000000000001</v>
      </c>
      <c r="H206" s="16">
        <v>48.21</v>
      </c>
      <c r="I206" s="16">
        <v>768.59</v>
      </c>
      <c r="J206" s="13">
        <v>364.9</v>
      </c>
      <c r="K206" s="28">
        <f t="shared" si="14"/>
        <v>677.5748494673461</v>
      </c>
      <c r="L206" s="33"/>
      <c r="M206" s="33"/>
      <c r="N206" s="33"/>
      <c r="O206" s="33"/>
      <c r="P206" s="32"/>
      <c r="Q206" s="32"/>
      <c r="R206" s="32"/>
      <c r="S206" s="32"/>
      <c r="T206" s="32"/>
    </row>
    <row r="207" spans="1:20" ht="18" customHeight="1">
      <c r="A207" s="9">
        <v>39783</v>
      </c>
      <c r="B207" s="3">
        <v>0.94</v>
      </c>
      <c r="C207" s="30" t="str">
        <f t="shared" si="13"/>
        <v>Risk</v>
      </c>
      <c r="D207" s="41" t="str">
        <f t="shared" si="15"/>
        <v>Risk</v>
      </c>
      <c r="E207" s="41" t="str">
        <f t="shared" si="16"/>
        <v/>
      </c>
      <c r="F207" s="16">
        <v>1124.47</v>
      </c>
      <c r="G207" s="16">
        <v>146.35</v>
      </c>
      <c r="H207" s="16">
        <v>48.61</v>
      </c>
      <c r="I207" s="16">
        <v>744.27</v>
      </c>
      <c r="J207" s="14">
        <v>332.05</v>
      </c>
      <c r="K207" s="28">
        <f t="shared" si="14"/>
        <v>616.57640111162596</v>
      </c>
      <c r="L207" s="33"/>
      <c r="M207" s="33"/>
      <c r="N207" s="33"/>
      <c r="O207" s="33"/>
      <c r="P207" s="32"/>
      <c r="Q207" s="32"/>
      <c r="R207" s="32"/>
      <c r="S207" s="32"/>
      <c r="T207" s="32"/>
    </row>
    <row r="208" spans="1:20" ht="18" customHeight="1">
      <c r="A208" s="9">
        <v>39753</v>
      </c>
      <c r="B208" s="3">
        <v>0.9</v>
      </c>
      <c r="C208" s="30" t="str">
        <f t="shared" si="13"/>
        <v>Risk</v>
      </c>
      <c r="D208" s="41" t="str">
        <f t="shared" si="15"/>
        <v>Risk</v>
      </c>
      <c r="E208" s="41" t="str">
        <f t="shared" si="16"/>
        <v>Risk</v>
      </c>
      <c r="F208" s="16">
        <v>1076.07</v>
      </c>
      <c r="G208" s="16">
        <v>140.66</v>
      </c>
      <c r="H208" s="16">
        <v>57.79</v>
      </c>
      <c r="I208" s="16">
        <v>706.45</v>
      </c>
      <c r="J208" s="14">
        <v>307.48</v>
      </c>
      <c r="K208" s="28">
        <f t="shared" si="14"/>
        <v>570.95290412227905</v>
      </c>
      <c r="L208" s="73">
        <f>1+(($I204/$I208)-1)*3</f>
        <v>1.3901337674286929</v>
      </c>
      <c r="M208" s="73">
        <f>1+(($I203/$I208)-1)*3</f>
        <v>1.7876565928232708</v>
      </c>
      <c r="N208" s="73">
        <f>1+(($I202/$I208)-1)*3</f>
        <v>1.8037511501167809</v>
      </c>
      <c r="O208" s="73">
        <f>1+(($I201/$I208)-1)*3</f>
        <v>1.8192087196546107</v>
      </c>
      <c r="P208" s="73">
        <f>1+(($I200/$I208)-1)*3</f>
        <v>2.3452332082949958</v>
      </c>
      <c r="Q208" s="73">
        <f>1+(($I199/$I208)-1)*3</f>
        <v>2.4211621487720287</v>
      </c>
      <c r="R208" s="73">
        <f>1+(($I198/$I208)-1)*3</f>
        <v>2.7255573642862196</v>
      </c>
      <c r="S208" s="73">
        <f>1+(($I197/$I208)-1)*3</f>
        <v>2.3860428905088815</v>
      </c>
      <c r="T208" s="73">
        <f>1+(($I196/$I208)-1)*3</f>
        <v>2.3529619930639107</v>
      </c>
    </row>
    <row r="209" spans="1:20" ht="18" customHeight="1">
      <c r="A209" s="9">
        <v>39722</v>
      </c>
      <c r="B209" s="3">
        <v>0.93</v>
      </c>
      <c r="C209" s="30" t="str">
        <f t="shared" si="13"/>
        <v>Risk</v>
      </c>
      <c r="D209" s="41" t="str">
        <f t="shared" si="15"/>
        <v>Risk</v>
      </c>
      <c r="E209" s="41" t="str">
        <f t="shared" si="16"/>
        <v/>
      </c>
      <c r="F209" s="16">
        <v>1113.06</v>
      </c>
      <c r="G209" s="16">
        <v>147.5</v>
      </c>
      <c r="H209" s="16">
        <v>81.27</v>
      </c>
      <c r="I209" s="16">
        <v>740.18</v>
      </c>
      <c r="J209" s="14">
        <v>308.02999999999997</v>
      </c>
      <c r="K209" s="28">
        <f t="shared" si="14"/>
        <v>571.97418712366857</v>
      </c>
      <c r="L209" s="35">
        <f>1+(($I208/$I209)-1)*2</f>
        <v>0.90886000702531833</v>
      </c>
      <c r="M209" s="35">
        <f t="shared" ref="M209:T209" si="17">1+(($I208/$I209)-1)*2</f>
        <v>0.90886000702531833</v>
      </c>
      <c r="N209" s="35">
        <f t="shared" si="17"/>
        <v>0.90886000702531833</v>
      </c>
      <c r="O209" s="35">
        <f t="shared" si="17"/>
        <v>0.90886000702531833</v>
      </c>
      <c r="P209" s="35">
        <f t="shared" si="17"/>
        <v>0.90886000702531833</v>
      </c>
      <c r="Q209" s="35">
        <f t="shared" si="17"/>
        <v>0.90886000702531833</v>
      </c>
      <c r="R209" s="35">
        <f t="shared" si="17"/>
        <v>0.90886000702531833</v>
      </c>
      <c r="S209" s="35">
        <f t="shared" si="17"/>
        <v>0.90886000702531833</v>
      </c>
      <c r="T209" s="35">
        <f t="shared" si="17"/>
        <v>0.90886000702531833</v>
      </c>
    </row>
    <row r="210" spans="1:20" ht="18" customHeight="1">
      <c r="A210" s="9">
        <v>39692</v>
      </c>
      <c r="B210" s="3">
        <v>1.2</v>
      </c>
      <c r="C210" s="30" t="str">
        <f t="shared" si="13"/>
        <v/>
      </c>
      <c r="D210" s="41" t="str">
        <f t="shared" si="15"/>
        <v/>
      </c>
      <c r="E210" s="41" t="str">
        <f t="shared" si="16"/>
        <v/>
      </c>
      <c r="F210" s="16">
        <v>1448.06</v>
      </c>
      <c r="G210" s="16">
        <v>186.62</v>
      </c>
      <c r="H210" s="16">
        <v>36.78</v>
      </c>
      <c r="I210" s="16">
        <v>936.31</v>
      </c>
      <c r="J210" s="14">
        <v>440.77</v>
      </c>
      <c r="K210" s="28">
        <f t="shared" si="14"/>
        <v>818.45619731357147</v>
      </c>
    </row>
    <row r="211" spans="1:20" ht="18" customHeight="1">
      <c r="A211" s="9">
        <v>39661</v>
      </c>
      <c r="B211" s="3">
        <v>1.22</v>
      </c>
      <c r="C211" s="30" t="str">
        <f t="shared" si="13"/>
        <v/>
      </c>
      <c r="D211" s="41" t="str">
        <f t="shared" si="15"/>
        <v/>
      </c>
      <c r="E211" s="41" t="str">
        <f t="shared" si="16"/>
        <v/>
      </c>
      <c r="F211" s="16">
        <v>1474.24</v>
      </c>
      <c r="G211" s="16">
        <v>188.96</v>
      </c>
      <c r="H211" s="16">
        <v>25.66</v>
      </c>
      <c r="I211" s="16">
        <v>967.11</v>
      </c>
      <c r="J211" s="14">
        <v>470.28</v>
      </c>
      <c r="K211" s="28">
        <f t="shared" si="14"/>
        <v>873.25267253358072</v>
      </c>
    </row>
    <row r="212" spans="1:20" ht="18" customHeight="1">
      <c r="A212" s="9">
        <v>39630</v>
      </c>
      <c r="B212" s="3">
        <v>1.33</v>
      </c>
      <c r="C212" s="30" t="str">
        <f t="shared" si="13"/>
        <v/>
      </c>
      <c r="D212" s="41" t="str">
        <f t="shared" si="15"/>
        <v/>
      </c>
      <c r="E212" s="41" t="str">
        <f t="shared" si="16"/>
        <v/>
      </c>
      <c r="F212" s="16">
        <v>1594.67</v>
      </c>
      <c r="G212" s="16">
        <v>204.12</v>
      </c>
      <c r="H212" s="16">
        <v>23.82</v>
      </c>
      <c r="I212" s="16">
        <v>1048.68</v>
      </c>
      <c r="J212" s="14">
        <v>539.44000000000005</v>
      </c>
      <c r="K212" s="28">
        <f t="shared" si="14"/>
        <v>1001.6743677628539</v>
      </c>
    </row>
    <row r="213" spans="1:20" ht="18" customHeight="1">
      <c r="A213" s="9">
        <v>39600</v>
      </c>
      <c r="B213" s="3">
        <v>1.4</v>
      </c>
      <c r="C213" s="30" t="str">
        <f t="shared" si="13"/>
        <v/>
      </c>
      <c r="D213" s="41" t="str">
        <f t="shared" si="15"/>
        <v/>
      </c>
      <c r="E213" s="41" t="str">
        <f t="shared" si="16"/>
        <v/>
      </c>
      <c r="F213" s="16">
        <v>1674.92</v>
      </c>
      <c r="G213" s="16">
        <v>213.52</v>
      </c>
      <c r="H213" s="16">
        <v>25.15</v>
      </c>
      <c r="I213" s="16">
        <v>1099.31</v>
      </c>
      <c r="J213" s="14">
        <v>590.19000000000005</v>
      </c>
      <c r="K213" s="28">
        <f t="shared" si="14"/>
        <v>1095.9109356183426</v>
      </c>
    </row>
    <row r="214" spans="1:20" ht="18" customHeight="1">
      <c r="A214" s="9">
        <v>39569</v>
      </c>
      <c r="B214" s="3">
        <v>1.54</v>
      </c>
      <c r="C214" s="30" t="str">
        <f t="shared" si="13"/>
        <v/>
      </c>
      <c r="D214" s="41" t="str">
        <f t="shared" si="15"/>
        <v/>
      </c>
      <c r="E214" s="41" t="str">
        <f t="shared" si="16"/>
        <v/>
      </c>
      <c r="F214" s="16">
        <v>1852.02</v>
      </c>
      <c r="G214" s="16">
        <v>237.46</v>
      </c>
      <c r="H214" s="16">
        <v>23.06</v>
      </c>
      <c r="I214" s="16">
        <v>1222.8699999999999</v>
      </c>
      <c r="J214" s="14">
        <v>652.15</v>
      </c>
      <c r="K214" s="28">
        <f t="shared" si="14"/>
        <v>1210.9631079203341</v>
      </c>
    </row>
    <row r="215" spans="1:20" ht="18" customHeight="1">
      <c r="A215" s="9">
        <v>39539</v>
      </c>
      <c r="B215" s="3">
        <v>1.52</v>
      </c>
      <c r="C215" s="30" t="str">
        <f t="shared" si="13"/>
        <v/>
      </c>
      <c r="D215" s="41" t="str">
        <f t="shared" si="15"/>
        <v/>
      </c>
      <c r="E215" s="41" t="str">
        <f t="shared" si="16"/>
        <v/>
      </c>
      <c r="F215" s="16">
        <v>1825.47</v>
      </c>
      <c r="G215" s="16">
        <v>235</v>
      </c>
      <c r="H215" s="16">
        <v>22.04</v>
      </c>
      <c r="I215" s="16">
        <v>1221.06</v>
      </c>
      <c r="J215" s="14">
        <v>647.02</v>
      </c>
      <c r="K215" s="28">
        <f t="shared" si="14"/>
        <v>1201.4373228346462</v>
      </c>
    </row>
    <row r="216" spans="1:20" ht="18" customHeight="1">
      <c r="A216" s="9">
        <v>39508</v>
      </c>
      <c r="B216" s="3">
        <v>1.59</v>
      </c>
      <c r="C216" s="30" t="str">
        <f t="shared" si="13"/>
        <v/>
      </c>
      <c r="D216" s="41" t="str">
        <f t="shared" si="15"/>
        <v/>
      </c>
      <c r="E216" s="41" t="str">
        <f t="shared" si="16"/>
        <v/>
      </c>
      <c r="F216" s="16">
        <v>1703.99</v>
      </c>
      <c r="G216" s="16">
        <v>217.65</v>
      </c>
      <c r="H216" s="16">
        <v>27.05</v>
      </c>
      <c r="I216" s="16">
        <v>1121.1099999999999</v>
      </c>
      <c r="J216" s="14">
        <v>644.45000000000005</v>
      </c>
      <c r="K216" s="28">
        <f t="shared" si="14"/>
        <v>1196.6651459008808</v>
      </c>
    </row>
    <row r="217" spans="1:20" ht="18" customHeight="1">
      <c r="A217" s="9">
        <v>39479</v>
      </c>
      <c r="B217" s="3">
        <v>1.58</v>
      </c>
      <c r="C217" s="30" t="str">
        <f t="shared" si="13"/>
        <v/>
      </c>
      <c r="D217" s="41" t="str">
        <f t="shared" si="15"/>
        <v/>
      </c>
      <c r="E217" s="41" t="str">
        <f t="shared" si="16"/>
        <v/>
      </c>
      <c r="F217" s="16">
        <v>1711.62</v>
      </c>
      <c r="G217" s="16">
        <v>216.85</v>
      </c>
      <c r="H217" s="16">
        <v>29.21</v>
      </c>
      <c r="I217" s="16">
        <v>1122.94</v>
      </c>
      <c r="J217" s="14">
        <v>655.94</v>
      </c>
      <c r="K217" s="28">
        <f t="shared" si="14"/>
        <v>1218.0006762390003</v>
      </c>
    </row>
    <row r="218" spans="1:20" ht="18" customHeight="1">
      <c r="A218" s="9">
        <v>39448</v>
      </c>
      <c r="B218" s="3">
        <v>1.51</v>
      </c>
      <c r="C218" s="30" t="str">
        <f t="shared" si="13"/>
        <v/>
      </c>
      <c r="D218" s="41" t="str">
        <f t="shared" si="15"/>
        <v/>
      </c>
      <c r="E218" s="41" t="str">
        <f t="shared" si="16"/>
        <v/>
      </c>
      <c r="F218" s="16">
        <v>1624.68</v>
      </c>
      <c r="G218" s="16">
        <v>207.77</v>
      </c>
      <c r="H218" s="16">
        <v>31.39</v>
      </c>
      <c r="I218" s="16">
        <v>1076.3499999999999</v>
      </c>
      <c r="J218" s="14">
        <v>608.84</v>
      </c>
      <c r="K218" s="28">
        <f t="shared" si="14"/>
        <v>1130.5417137563693</v>
      </c>
    </row>
    <row r="219" spans="1:20" ht="18" customHeight="1">
      <c r="A219" s="9">
        <v>39417</v>
      </c>
      <c r="B219" s="3">
        <v>1.75</v>
      </c>
      <c r="C219" s="30" t="str">
        <f t="shared" si="13"/>
        <v/>
      </c>
      <c r="D219" s="41" t="str">
        <f t="shared" si="15"/>
        <v/>
      </c>
      <c r="E219" s="41" t="str">
        <f t="shared" si="16"/>
        <v/>
      </c>
      <c r="F219" s="16">
        <v>1897.13</v>
      </c>
      <c r="G219" s="16">
        <v>241.27</v>
      </c>
      <c r="H219" s="16">
        <v>25.13</v>
      </c>
      <c r="I219" s="16">
        <v>1252.6300000000001</v>
      </c>
      <c r="J219" s="14">
        <v>704.23</v>
      </c>
      <c r="K219" s="28">
        <f t="shared" si="14"/>
        <v>1307.6693237610011</v>
      </c>
    </row>
    <row r="220" spans="1:20" ht="18" customHeight="1">
      <c r="A220" s="9">
        <v>39387</v>
      </c>
      <c r="B220" s="3">
        <v>1.76</v>
      </c>
      <c r="C220" s="30" t="str">
        <f t="shared" si="13"/>
        <v/>
      </c>
      <c r="D220" s="41" t="str">
        <f t="shared" si="15"/>
        <v/>
      </c>
      <c r="E220" s="41" t="str">
        <f t="shared" si="16"/>
        <v/>
      </c>
      <c r="F220" s="16">
        <v>1906</v>
      </c>
      <c r="G220" s="16">
        <v>241.91</v>
      </c>
      <c r="H220" s="16">
        <v>32.76</v>
      </c>
      <c r="I220" s="16">
        <v>1254.6099999999999</v>
      </c>
      <c r="J220" s="14">
        <v>741.84</v>
      </c>
      <c r="K220" s="28">
        <f t="shared" si="14"/>
        <v>1377.5065122742017</v>
      </c>
    </row>
    <row r="221" spans="1:20" ht="18" customHeight="1">
      <c r="A221" s="9">
        <v>39356</v>
      </c>
      <c r="B221" s="3">
        <v>1.9</v>
      </c>
      <c r="C221" s="30" t="str">
        <f t="shared" si="13"/>
        <v/>
      </c>
      <c r="D221" s="41" t="str">
        <f t="shared" si="15"/>
        <v/>
      </c>
      <c r="E221" s="41" t="str">
        <f t="shared" si="16"/>
        <v/>
      </c>
      <c r="F221" s="16">
        <v>2064.85</v>
      </c>
      <c r="G221" s="16">
        <v>260.42</v>
      </c>
      <c r="H221" s="16">
        <v>34.049999999999997</v>
      </c>
      <c r="I221" s="16">
        <v>1353.07</v>
      </c>
      <c r="J221" s="14">
        <v>810.07</v>
      </c>
      <c r="K221" s="28">
        <f t="shared" si="14"/>
        <v>1504.2013107920341</v>
      </c>
    </row>
    <row r="222" spans="1:20" ht="18" customHeight="1">
      <c r="A222" s="9">
        <v>39326</v>
      </c>
      <c r="B222" s="3">
        <v>1.8</v>
      </c>
      <c r="C222" s="30" t="str">
        <f t="shared" si="13"/>
        <v/>
      </c>
      <c r="D222" s="41" t="str">
        <f t="shared" si="15"/>
        <v/>
      </c>
      <c r="E222" s="41" t="str">
        <f t="shared" si="16"/>
        <v/>
      </c>
      <c r="F222" s="16">
        <v>1946.48</v>
      </c>
      <c r="G222" s="16">
        <v>247.2</v>
      </c>
      <c r="H222" s="16">
        <v>25.78</v>
      </c>
      <c r="I222" s="16">
        <v>1290.02</v>
      </c>
      <c r="J222" s="14">
        <v>794.56</v>
      </c>
      <c r="K222" s="28">
        <f t="shared" si="14"/>
        <v>1475.401130152849</v>
      </c>
    </row>
    <row r="223" spans="1:20" ht="18" customHeight="1">
      <c r="A223" s="9">
        <v>39295</v>
      </c>
      <c r="B223" s="3">
        <v>1.73</v>
      </c>
      <c r="C223" s="30" t="str">
        <f t="shared" si="13"/>
        <v/>
      </c>
      <c r="D223" s="41" t="str">
        <f t="shared" si="15"/>
        <v/>
      </c>
      <c r="E223" s="41" t="str">
        <f t="shared" si="16"/>
        <v/>
      </c>
      <c r="F223" s="16">
        <v>1873.24</v>
      </c>
      <c r="G223" s="16">
        <v>238.28</v>
      </c>
      <c r="H223" s="16">
        <v>32.33</v>
      </c>
      <c r="I223" s="16">
        <v>1244.42</v>
      </c>
      <c r="J223" s="14">
        <v>775.13</v>
      </c>
      <c r="K223" s="28">
        <f t="shared" si="14"/>
        <v>1439.3219870310334</v>
      </c>
    </row>
    <row r="224" spans="1:20" ht="18" customHeight="1">
      <c r="A224" s="9">
        <v>39264</v>
      </c>
      <c r="B224" s="3">
        <v>1.79</v>
      </c>
      <c r="C224" s="30" t="str">
        <f t="shared" si="13"/>
        <v/>
      </c>
      <c r="D224" s="41" t="str">
        <f t="shared" si="15"/>
        <v/>
      </c>
      <c r="E224" s="41" t="str">
        <f t="shared" si="16"/>
        <v/>
      </c>
      <c r="F224" s="16">
        <v>1933.27</v>
      </c>
      <c r="G224" s="16">
        <v>244.32</v>
      </c>
      <c r="H224" s="16">
        <v>27.71</v>
      </c>
      <c r="I224" s="16">
        <v>1277.22</v>
      </c>
      <c r="J224" s="14">
        <v>811.52</v>
      </c>
      <c r="K224" s="28">
        <f t="shared" si="14"/>
        <v>1506.8937841593336</v>
      </c>
    </row>
    <row r="225" spans="1:11" ht="18" customHeight="1">
      <c r="A225" s="9">
        <v>39234</v>
      </c>
      <c r="B225" s="3">
        <v>1.61</v>
      </c>
      <c r="C225" s="30" t="str">
        <f t="shared" si="13"/>
        <v/>
      </c>
      <c r="D225" s="41" t="str">
        <f t="shared" si="15"/>
        <v/>
      </c>
      <c r="E225" s="41" t="str">
        <f t="shared" si="16"/>
        <v/>
      </c>
      <c r="F225" s="16">
        <v>1743.6</v>
      </c>
      <c r="G225" s="16">
        <v>221.31</v>
      </c>
      <c r="H225" s="16">
        <v>19.95</v>
      </c>
      <c r="I225" s="16">
        <v>1154.8599999999999</v>
      </c>
      <c r="J225" s="14">
        <v>778.69</v>
      </c>
      <c r="K225" s="28">
        <f t="shared" si="14"/>
        <v>1445.9324733673004</v>
      </c>
    </row>
    <row r="226" spans="1:11" ht="18" customHeight="1">
      <c r="A226" s="9">
        <v>39203</v>
      </c>
      <c r="B226" s="3">
        <v>1.57</v>
      </c>
      <c r="C226" s="30" t="str">
        <f t="shared" si="13"/>
        <v/>
      </c>
      <c r="D226" s="41" t="str">
        <f t="shared" si="15"/>
        <v/>
      </c>
      <c r="E226" s="41" t="str">
        <f t="shared" si="16"/>
        <v/>
      </c>
      <c r="F226" s="16">
        <v>1700.91</v>
      </c>
      <c r="G226" s="16">
        <v>216.45</v>
      </c>
      <c r="H226" s="16">
        <v>18.59</v>
      </c>
      <c r="I226" s="16">
        <v>1144.5999999999999</v>
      </c>
      <c r="J226" s="14">
        <v>747.87</v>
      </c>
      <c r="K226" s="28">
        <f t="shared" si="14"/>
        <v>1388.7034877257995</v>
      </c>
    </row>
    <row r="227" spans="1:11" ht="18" customHeight="1">
      <c r="A227" s="9">
        <v>39173</v>
      </c>
      <c r="B227" s="3">
        <v>1.42</v>
      </c>
      <c r="C227" s="30" t="str">
        <f t="shared" si="13"/>
        <v/>
      </c>
      <c r="D227" s="41" t="str">
        <f t="shared" si="15"/>
        <v/>
      </c>
      <c r="E227" s="41" t="str">
        <f t="shared" si="16"/>
        <v/>
      </c>
      <c r="F227" s="16">
        <v>1542.24</v>
      </c>
      <c r="G227" s="16">
        <v>198.55</v>
      </c>
      <c r="H227" s="16">
        <v>18.989999999999998</v>
      </c>
      <c r="I227" s="16">
        <v>1053.69</v>
      </c>
      <c r="J227" s="14">
        <v>675.88</v>
      </c>
      <c r="K227" s="28">
        <f t="shared" si="14"/>
        <v>1255.0268272348314</v>
      </c>
    </row>
    <row r="228" spans="1:11" ht="18" customHeight="1">
      <c r="A228" s="9">
        <v>39142</v>
      </c>
      <c r="B228" s="3">
        <v>1.48</v>
      </c>
      <c r="C228" s="30" t="str">
        <f t="shared" si="13"/>
        <v/>
      </c>
      <c r="D228" s="41" t="str">
        <f t="shared" si="15"/>
        <v/>
      </c>
      <c r="E228" s="41" t="str">
        <f t="shared" si="16"/>
        <v/>
      </c>
      <c r="F228" s="16">
        <v>1452.55</v>
      </c>
      <c r="G228" s="16">
        <v>187.6</v>
      </c>
      <c r="H228" s="16">
        <v>19.64</v>
      </c>
      <c r="I228" s="16">
        <v>994.41</v>
      </c>
      <c r="J228" s="14">
        <v>648.99</v>
      </c>
      <c r="K228" s="28">
        <f t="shared" si="14"/>
        <v>1205.0953728578049</v>
      </c>
    </row>
    <row r="229" spans="1:11" ht="18" customHeight="1">
      <c r="A229" s="9">
        <v>39114</v>
      </c>
      <c r="B229" s="3">
        <v>1.45</v>
      </c>
      <c r="C229" s="30" t="str">
        <f t="shared" si="13"/>
        <v/>
      </c>
      <c r="D229" s="41" t="str">
        <f t="shared" si="15"/>
        <v/>
      </c>
      <c r="E229" s="41" t="str">
        <f t="shared" si="16"/>
        <v/>
      </c>
      <c r="F229" s="16">
        <v>1417.34</v>
      </c>
      <c r="G229" s="16">
        <v>183.2</v>
      </c>
      <c r="H229" s="16">
        <v>20.38</v>
      </c>
      <c r="I229" s="16">
        <v>979.68</v>
      </c>
      <c r="J229" s="14">
        <v>600.92999999999995</v>
      </c>
      <c r="K229" s="28">
        <f t="shared" si="14"/>
        <v>1115.8538073182031</v>
      </c>
    </row>
    <row r="230" spans="1:11" ht="18" customHeight="1">
      <c r="A230" s="9">
        <v>39083</v>
      </c>
      <c r="B230" s="3">
        <v>1.39</v>
      </c>
      <c r="C230" s="30" t="str">
        <f t="shared" si="13"/>
        <v/>
      </c>
      <c r="D230" s="41" t="str">
        <f t="shared" si="15"/>
        <v/>
      </c>
      <c r="E230" s="41" t="str">
        <f t="shared" si="16"/>
        <v/>
      </c>
      <c r="F230" s="16">
        <v>1360.23</v>
      </c>
      <c r="G230" s="16">
        <v>175.99</v>
      </c>
      <c r="H230" s="16">
        <v>17.989999999999998</v>
      </c>
      <c r="I230" s="16">
        <v>947.06</v>
      </c>
      <c r="J230" s="14">
        <v>576.37</v>
      </c>
      <c r="K230" s="28">
        <f t="shared" si="14"/>
        <v>1070.2488791106998</v>
      </c>
    </row>
    <row r="231" spans="1:11" ht="18" customHeight="1">
      <c r="A231" s="9">
        <v>39052</v>
      </c>
      <c r="B231" s="3">
        <v>1.46</v>
      </c>
      <c r="C231" s="30" t="str">
        <f t="shared" si="13"/>
        <v/>
      </c>
      <c r="D231" s="41" t="str">
        <f t="shared" si="15"/>
        <v/>
      </c>
      <c r="E231" s="41" t="str">
        <f t="shared" si="16"/>
        <v/>
      </c>
      <c r="F231" s="16">
        <v>1434.46</v>
      </c>
      <c r="G231" s="16">
        <v>185.39</v>
      </c>
      <c r="H231" s="16">
        <v>15.4</v>
      </c>
      <c r="I231" s="16">
        <v>1000</v>
      </c>
      <c r="J231" s="14">
        <v>606.15</v>
      </c>
      <c r="K231" s="28">
        <f t="shared" si="14"/>
        <v>1125.5467114404821</v>
      </c>
    </row>
    <row r="232" spans="1:11" ht="18" customHeight="1">
      <c r="A232" s="9">
        <v>39022</v>
      </c>
      <c r="B232" s="3">
        <v>1.46</v>
      </c>
      <c r="C232" s="30" t="str">
        <f t="shared" si="13"/>
        <v/>
      </c>
      <c r="D232" s="41" t="str">
        <f t="shared" si="15"/>
        <v/>
      </c>
      <c r="E232" s="41" t="str">
        <f t="shared" si="16"/>
        <v/>
      </c>
      <c r="F232" s="16">
        <v>1432.21</v>
      </c>
      <c r="G232" s="16">
        <v>184.96</v>
      </c>
      <c r="H232" s="16">
        <v>14.68</v>
      </c>
      <c r="I232" s="28">
        <f>(G232/G231)*I231</f>
        <v>997.68056529478406</v>
      </c>
      <c r="J232" s="14">
        <v>622.16999999999996</v>
      </c>
      <c r="K232" s="28">
        <f t="shared" si="14"/>
        <v>1155.2938999536825</v>
      </c>
    </row>
    <row r="233" spans="1:11" ht="18" customHeight="1">
      <c r="A233" s="9">
        <v>38991</v>
      </c>
      <c r="B233" s="3">
        <v>1.4</v>
      </c>
      <c r="C233" s="30" t="str">
        <f t="shared" si="13"/>
        <v/>
      </c>
      <c r="D233" s="41" t="str">
        <f t="shared" si="15"/>
        <v/>
      </c>
      <c r="E233" s="41" t="str">
        <f t="shared" si="16"/>
        <v/>
      </c>
      <c r="F233" s="16">
        <v>1364.55</v>
      </c>
      <c r="G233" s="16">
        <v>176.84</v>
      </c>
      <c r="H233" s="16">
        <v>16.84</v>
      </c>
      <c r="I233" s="28">
        <f t="shared" ref="I233:I271" si="18">(G233/G232)*I232</f>
        <v>953.88100760558825</v>
      </c>
      <c r="J233" s="13">
        <v>586.1</v>
      </c>
      <c r="K233" s="28">
        <f t="shared" si="14"/>
        <v>1088.3163038443729</v>
      </c>
    </row>
    <row r="234" spans="1:11" ht="18" customHeight="1">
      <c r="A234" s="9">
        <v>38961</v>
      </c>
      <c r="B234" s="3">
        <v>1.4</v>
      </c>
      <c r="C234" s="30" t="str">
        <f t="shared" si="13"/>
        <v/>
      </c>
      <c r="D234" s="41" t="str">
        <f t="shared" si="15"/>
        <v/>
      </c>
      <c r="E234" s="41" t="str">
        <f t="shared" si="16"/>
        <v/>
      </c>
      <c r="F234" s="16">
        <v>1371.41</v>
      </c>
      <c r="G234" s="16">
        <v>178.05</v>
      </c>
      <c r="H234" s="16">
        <v>16.71</v>
      </c>
      <c r="I234" s="28">
        <f t="shared" si="18"/>
        <v>960.40778898538224</v>
      </c>
      <c r="J234" s="14">
        <v>600.41999999999996</v>
      </c>
      <c r="K234" s="28">
        <f t="shared" si="14"/>
        <v>1114.9067994441875</v>
      </c>
    </row>
    <row r="235" spans="1:11" ht="18" customHeight="1">
      <c r="A235" s="9">
        <v>38930</v>
      </c>
      <c r="B235" s="3">
        <v>1.38</v>
      </c>
      <c r="C235" s="30" t="str">
        <f t="shared" si="13"/>
        <v/>
      </c>
      <c r="D235" s="41" t="str">
        <f t="shared" si="15"/>
        <v/>
      </c>
      <c r="E235" s="41" t="str">
        <f t="shared" si="16"/>
        <v/>
      </c>
      <c r="F235" s="16">
        <v>1352.74</v>
      </c>
      <c r="G235" s="16">
        <v>175.44</v>
      </c>
      <c r="H235" s="16">
        <v>17.899999999999999</v>
      </c>
      <c r="I235" s="28">
        <f t="shared" si="18"/>
        <v>946.32935972814062</v>
      </c>
      <c r="J235" s="14">
        <v>572.83000000000004</v>
      </c>
      <c r="K235" s="28">
        <f t="shared" si="14"/>
        <v>1063.6755303381201</v>
      </c>
    </row>
    <row r="236" spans="1:11" ht="18" customHeight="1">
      <c r="A236" s="9">
        <v>38899</v>
      </c>
      <c r="B236" s="3">
        <v>1.33</v>
      </c>
      <c r="C236" s="30" t="str">
        <f t="shared" si="13"/>
        <v/>
      </c>
      <c r="D236" s="41" t="str">
        <f t="shared" si="15"/>
        <v/>
      </c>
      <c r="E236" s="41" t="str">
        <f t="shared" si="16"/>
        <v/>
      </c>
      <c r="F236" s="16">
        <v>1297.82</v>
      </c>
      <c r="G236" s="16">
        <v>168.51</v>
      </c>
      <c r="H236" s="16">
        <v>23.75</v>
      </c>
      <c r="I236" s="28">
        <f t="shared" si="18"/>
        <v>908.94870273477522</v>
      </c>
      <c r="J236" s="14">
        <v>557.66</v>
      </c>
      <c r="K236" s="28">
        <f t="shared" si="14"/>
        <v>1035.5066882816122</v>
      </c>
    </row>
    <row r="237" spans="1:11" ht="18" customHeight="1">
      <c r="A237" s="9">
        <v>38869</v>
      </c>
      <c r="B237" s="3">
        <v>1.33</v>
      </c>
      <c r="C237" s="30" t="str">
        <f t="shared" si="13"/>
        <v/>
      </c>
      <c r="D237" s="41" t="str">
        <f t="shared" si="15"/>
        <v/>
      </c>
      <c r="E237" s="41" t="str">
        <f t="shared" si="16"/>
        <v/>
      </c>
      <c r="F237" s="16">
        <v>1295.1500000000001</v>
      </c>
      <c r="G237" s="16">
        <v>167.45</v>
      </c>
      <c r="H237" s="16">
        <v>22.72</v>
      </c>
      <c r="I237" s="28">
        <f t="shared" si="18"/>
        <v>903.23102648470774</v>
      </c>
      <c r="J237" s="14">
        <v>590.67999999999995</v>
      </c>
      <c r="K237" s="28">
        <f t="shared" si="14"/>
        <v>1096.8208059286712</v>
      </c>
    </row>
    <row r="238" spans="1:11" ht="18" customHeight="1">
      <c r="A238" s="9">
        <v>38838</v>
      </c>
      <c r="B238" s="3">
        <v>1.36</v>
      </c>
      <c r="C238" s="30" t="str">
        <f t="shared" si="13"/>
        <v/>
      </c>
      <c r="D238" s="41" t="str">
        <f t="shared" si="15"/>
        <v/>
      </c>
      <c r="E238" s="41" t="str">
        <f t="shared" si="16"/>
        <v/>
      </c>
      <c r="F238" s="16">
        <v>1317.7</v>
      </c>
      <c r="G238" s="16">
        <v>171.01</v>
      </c>
      <c r="H238" s="16">
        <v>21.21</v>
      </c>
      <c r="I238" s="28">
        <f t="shared" si="18"/>
        <v>922.43378823021726</v>
      </c>
      <c r="J238" s="13">
        <v>630.5</v>
      </c>
      <c r="K238" s="28">
        <f t="shared" si="14"/>
        <v>1170.7616952292733</v>
      </c>
    </row>
    <row r="239" spans="1:11" ht="18" customHeight="1">
      <c r="A239" s="9">
        <v>38808</v>
      </c>
      <c r="B239" s="3">
        <v>1.46</v>
      </c>
      <c r="C239" s="30" t="str">
        <f t="shared" si="13"/>
        <v/>
      </c>
      <c r="D239" s="41" t="str">
        <f t="shared" si="15"/>
        <v/>
      </c>
      <c r="E239" s="41" t="str">
        <f t="shared" si="16"/>
        <v/>
      </c>
      <c r="F239" s="16">
        <v>1419.73</v>
      </c>
      <c r="G239" s="16">
        <v>184.1</v>
      </c>
      <c r="H239" s="16">
        <v>17.98</v>
      </c>
      <c r="I239" s="28">
        <f t="shared" si="18"/>
        <v>993.04169588435184</v>
      </c>
      <c r="J239" s="14">
        <v>685.44</v>
      </c>
      <c r="K239" s="28">
        <f t="shared" si="14"/>
        <v>1272.778582677166</v>
      </c>
    </row>
    <row r="240" spans="1:11" ht="18" customHeight="1">
      <c r="A240" s="9">
        <v>38777</v>
      </c>
      <c r="B240" s="3">
        <v>1.63</v>
      </c>
      <c r="C240" s="30" t="str">
        <f t="shared" si="13"/>
        <v/>
      </c>
      <c r="D240" s="41" t="str">
        <f t="shared" si="15"/>
        <v/>
      </c>
      <c r="E240" s="41" t="str">
        <f t="shared" si="16"/>
        <v/>
      </c>
      <c r="F240" s="16">
        <v>1359.6</v>
      </c>
      <c r="G240" s="16">
        <v>176.21</v>
      </c>
      <c r="H240" s="16">
        <v>18.190000000000001</v>
      </c>
      <c r="I240" s="28">
        <f t="shared" si="18"/>
        <v>950.48276606073682</v>
      </c>
      <c r="J240" s="14">
        <v>665.21</v>
      </c>
      <c r="K240" s="28">
        <f t="shared" si="14"/>
        <v>1235.2139370078746</v>
      </c>
    </row>
    <row r="241" spans="1:20" ht="18" customHeight="1">
      <c r="A241" s="9">
        <v>38749</v>
      </c>
      <c r="B241" s="3">
        <v>1.64</v>
      </c>
      <c r="C241" s="30" t="str">
        <f t="shared" si="13"/>
        <v/>
      </c>
      <c r="D241" s="41" t="str">
        <f t="shared" si="15"/>
        <v/>
      </c>
      <c r="E241" s="41" t="str">
        <f t="shared" si="16"/>
        <v/>
      </c>
      <c r="F241" s="16">
        <v>1371.59</v>
      </c>
      <c r="G241" s="16">
        <v>177.45</v>
      </c>
      <c r="H241" s="16">
        <v>19.899999999999999</v>
      </c>
      <c r="I241" s="28">
        <f t="shared" si="18"/>
        <v>957.171368466476</v>
      </c>
      <c r="J241" s="14">
        <v>682.36</v>
      </c>
      <c r="K241" s="28">
        <f t="shared" si="14"/>
        <v>1267.0593978693844</v>
      </c>
    </row>
    <row r="242" spans="1:20" ht="18" customHeight="1">
      <c r="A242" s="9">
        <v>38718</v>
      </c>
      <c r="B242" s="3">
        <v>1.65</v>
      </c>
      <c r="C242" s="30" t="str">
        <f t="shared" si="13"/>
        <v/>
      </c>
      <c r="D242" s="41" t="str">
        <f t="shared" si="15"/>
        <v/>
      </c>
      <c r="E242" s="41" t="str">
        <f t="shared" si="16"/>
        <v/>
      </c>
      <c r="F242" s="16">
        <v>1399.83</v>
      </c>
      <c r="G242" s="16">
        <v>180.65</v>
      </c>
      <c r="H242" s="16">
        <v>21.57</v>
      </c>
      <c r="I242" s="28">
        <f t="shared" si="18"/>
        <v>974.43227790064191</v>
      </c>
      <c r="J242" s="14">
        <v>690.24</v>
      </c>
      <c r="K242" s="28">
        <f t="shared" si="14"/>
        <v>1281.6915979620198</v>
      </c>
    </row>
    <row r="243" spans="1:20" ht="18" customHeight="1">
      <c r="A243" s="9">
        <v>38687</v>
      </c>
      <c r="B243" s="3">
        <v>1.63</v>
      </c>
      <c r="C243" s="30" t="str">
        <f t="shared" si="13"/>
        <v/>
      </c>
      <c r="D243" s="41" t="str">
        <f t="shared" si="15"/>
        <v/>
      </c>
      <c r="E243" s="41" t="str">
        <f t="shared" si="16"/>
        <v/>
      </c>
      <c r="F243" s="16">
        <v>1379.37</v>
      </c>
      <c r="G243" s="16">
        <v>177.43</v>
      </c>
      <c r="H243" s="16">
        <v>19.440000000000001</v>
      </c>
      <c r="I243" s="28">
        <f t="shared" si="18"/>
        <v>957.06348778251254</v>
      </c>
      <c r="J243" s="14">
        <v>701.79</v>
      </c>
      <c r="K243" s="28">
        <f t="shared" si="14"/>
        <v>1303.1385409912</v>
      </c>
    </row>
    <row r="244" spans="1:20" ht="18" customHeight="1">
      <c r="A244" s="9">
        <v>38657</v>
      </c>
      <c r="B244" s="3">
        <v>1.53</v>
      </c>
      <c r="C244" s="30" t="str">
        <f t="shared" si="13"/>
        <v/>
      </c>
      <c r="D244" s="41" t="str">
        <f t="shared" si="15"/>
        <v/>
      </c>
      <c r="E244" s="41" t="str">
        <f t="shared" si="16"/>
        <v/>
      </c>
      <c r="F244" s="16">
        <v>1297.44</v>
      </c>
      <c r="G244" s="16">
        <v>165.95</v>
      </c>
      <c r="H244" s="16">
        <v>23.38</v>
      </c>
      <c r="I244" s="28">
        <f t="shared" si="18"/>
        <v>895.13997518744259</v>
      </c>
      <c r="J244" s="14">
        <v>712.39</v>
      </c>
      <c r="K244" s="28">
        <f t="shared" si="14"/>
        <v>1322.8214497452527</v>
      </c>
    </row>
    <row r="245" spans="1:20" ht="18" customHeight="1">
      <c r="A245" s="9">
        <v>38626</v>
      </c>
      <c r="B245" s="3">
        <v>1.35</v>
      </c>
      <c r="C245" s="30" t="str">
        <f t="shared" si="13"/>
        <v/>
      </c>
      <c r="D245" s="41" t="str">
        <f t="shared" si="15"/>
        <v/>
      </c>
      <c r="E245" s="41" t="str">
        <f t="shared" si="16"/>
        <v/>
      </c>
      <c r="F245" s="16">
        <v>1158.1099999999999</v>
      </c>
      <c r="G245" s="16">
        <v>148.84</v>
      </c>
      <c r="H245" s="16">
        <v>25.85</v>
      </c>
      <c r="I245" s="28">
        <f t="shared" si="18"/>
        <v>802.84805005663725</v>
      </c>
      <c r="J245" s="14">
        <v>587.46</v>
      </c>
      <c r="K245" s="28">
        <f t="shared" si="14"/>
        <v>1090.8416581750814</v>
      </c>
    </row>
    <row r="246" spans="1:20" ht="18" customHeight="1">
      <c r="A246" s="9">
        <v>38596</v>
      </c>
      <c r="B246" s="3">
        <v>1.43</v>
      </c>
      <c r="C246" s="30" t="str">
        <f t="shared" si="13"/>
        <v/>
      </c>
      <c r="D246" s="41" t="str">
        <f t="shared" si="15"/>
        <v/>
      </c>
      <c r="E246" s="41" t="str">
        <f t="shared" si="16"/>
        <v/>
      </c>
      <c r="F246" s="16">
        <v>1221.01</v>
      </c>
      <c r="G246" s="16">
        <v>157.55000000000001</v>
      </c>
      <c r="H246" s="16">
        <v>23.82</v>
      </c>
      <c r="I246" s="28">
        <f t="shared" si="18"/>
        <v>849.83008792275734</v>
      </c>
      <c r="J246" s="14">
        <v>571.95000000000005</v>
      </c>
      <c r="K246" s="28">
        <f t="shared" si="14"/>
        <v>1062.0414775358968</v>
      </c>
    </row>
    <row r="247" spans="1:20" ht="18" customHeight="1">
      <c r="A247" s="9">
        <v>38565</v>
      </c>
      <c r="B247" s="3">
        <v>1.27</v>
      </c>
      <c r="C247" s="30" t="str">
        <f t="shared" si="13"/>
        <v/>
      </c>
      <c r="D247" s="41" t="str">
        <f t="shared" si="15"/>
        <v/>
      </c>
      <c r="E247" s="41" t="str">
        <f t="shared" si="16"/>
        <v/>
      </c>
      <c r="F247" s="16">
        <v>1083.33</v>
      </c>
      <c r="G247" s="16">
        <v>140.09</v>
      </c>
      <c r="H247" s="16">
        <v>21.12</v>
      </c>
      <c r="I247" s="28">
        <f t="shared" si="18"/>
        <v>755.65025082259012</v>
      </c>
      <c r="J247" s="14">
        <v>503.95</v>
      </c>
      <c r="K247" s="28">
        <f t="shared" si="14"/>
        <v>935.77376100046365</v>
      </c>
    </row>
    <row r="248" spans="1:20" ht="18" customHeight="1">
      <c r="A248" s="9">
        <v>38534</v>
      </c>
      <c r="B248" s="3">
        <v>1.3</v>
      </c>
      <c r="C248" s="30" t="str">
        <f t="shared" si="13"/>
        <v/>
      </c>
      <c r="D248" s="41" t="str">
        <f t="shared" si="15"/>
        <v/>
      </c>
      <c r="E248" s="41" t="str">
        <f t="shared" si="16"/>
        <v/>
      </c>
      <c r="F248" s="16">
        <v>1111.29</v>
      </c>
      <c r="G248" s="16">
        <v>143.32</v>
      </c>
      <c r="H248" s="16">
        <v>16.88</v>
      </c>
      <c r="I248" s="28">
        <f t="shared" si="18"/>
        <v>773.07298128270122</v>
      </c>
      <c r="J248" s="14">
        <v>546.67999999999995</v>
      </c>
      <c r="K248" s="28">
        <f t="shared" si="14"/>
        <v>1015.1181658175085</v>
      </c>
      <c r="T248" s="32"/>
    </row>
    <row r="249" spans="1:20" ht="18" customHeight="1">
      <c r="A249" s="9">
        <v>38504</v>
      </c>
      <c r="B249" s="3">
        <v>1.18</v>
      </c>
      <c r="C249" s="30" t="str">
        <f t="shared" si="13"/>
        <v/>
      </c>
      <c r="D249" s="41" t="str">
        <f t="shared" si="15"/>
        <v/>
      </c>
      <c r="E249" s="41" t="str">
        <f t="shared" si="16"/>
        <v/>
      </c>
      <c r="F249" s="16">
        <v>1008.16</v>
      </c>
      <c r="G249" s="16">
        <v>129.43</v>
      </c>
      <c r="H249" s="16">
        <v>15.76</v>
      </c>
      <c r="I249" s="28">
        <f t="shared" si="18"/>
        <v>698.14984627002536</v>
      </c>
      <c r="J249" s="14">
        <v>503.21</v>
      </c>
      <c r="K249" s="28">
        <f t="shared" si="14"/>
        <v>934.39967114404863</v>
      </c>
      <c r="S249" s="32"/>
      <c r="T249" s="32"/>
    </row>
    <row r="250" spans="1:20" ht="18" customHeight="1">
      <c r="A250" s="9">
        <v>38473</v>
      </c>
      <c r="B250" s="3">
        <v>1.1399999999999999</v>
      </c>
      <c r="C250" s="30" t="str">
        <f t="shared" si="13"/>
        <v/>
      </c>
      <c r="D250" s="41" t="str">
        <f t="shared" si="15"/>
        <v/>
      </c>
      <c r="E250" s="41" t="str">
        <f t="shared" si="16"/>
        <v/>
      </c>
      <c r="F250" s="16">
        <v>970.21</v>
      </c>
      <c r="G250" s="16">
        <v>124.84</v>
      </c>
      <c r="H250" s="16">
        <v>16.350000000000001</v>
      </c>
      <c r="I250" s="28">
        <f t="shared" si="18"/>
        <v>673.39122930039377</v>
      </c>
      <c r="J250" s="14">
        <v>471.48</v>
      </c>
      <c r="K250" s="28">
        <f t="shared" si="14"/>
        <v>875.48092635479441</v>
      </c>
      <c r="R250" s="33"/>
      <c r="S250" s="32"/>
      <c r="T250" s="32"/>
    </row>
    <row r="251" spans="1:20" ht="18" customHeight="1">
      <c r="A251" s="9">
        <v>38443</v>
      </c>
      <c r="B251" s="3">
        <v>1.07</v>
      </c>
      <c r="C251" s="30" t="str">
        <f t="shared" si="13"/>
        <v/>
      </c>
      <c r="D251" s="41" t="str">
        <f t="shared" si="15"/>
        <v/>
      </c>
      <c r="E251" s="41" t="str">
        <f t="shared" si="16"/>
        <v/>
      </c>
      <c r="F251" s="16">
        <v>911.3</v>
      </c>
      <c r="G251" s="16">
        <v>117.58</v>
      </c>
      <c r="H251" s="16">
        <v>22.48</v>
      </c>
      <c r="I251" s="28">
        <f t="shared" si="18"/>
        <v>634.23054102163007</v>
      </c>
      <c r="J251" s="13">
        <v>424.4</v>
      </c>
      <c r="K251" s="28">
        <f t="shared" si="14"/>
        <v>788.05910143585038</v>
      </c>
      <c r="Q251" s="33"/>
      <c r="R251" s="33"/>
      <c r="S251" s="32"/>
      <c r="T251" s="32"/>
    </row>
    <row r="252" spans="1:20" ht="18" customHeight="1">
      <c r="A252" s="9">
        <v>38412</v>
      </c>
      <c r="B252" s="3">
        <v>1.27</v>
      </c>
      <c r="C252" s="30" t="str">
        <f t="shared" si="13"/>
        <v/>
      </c>
      <c r="D252" s="41" t="str">
        <f t="shared" si="15"/>
        <v/>
      </c>
      <c r="E252" s="41" t="str">
        <f t="shared" si="16"/>
        <v/>
      </c>
      <c r="F252" s="16">
        <v>965.68</v>
      </c>
      <c r="G252" s="16">
        <v>124.78</v>
      </c>
      <c r="H252" s="16">
        <v>19.690000000000001</v>
      </c>
      <c r="I252" s="28">
        <f t="shared" si="18"/>
        <v>673.06758724850317</v>
      </c>
      <c r="J252" s="14">
        <v>455.03</v>
      </c>
      <c r="K252" s="28">
        <f t="shared" si="14"/>
        <v>844.93528022232556</v>
      </c>
      <c r="P252" s="33"/>
      <c r="Q252" s="33"/>
      <c r="R252" s="33"/>
      <c r="S252" s="32"/>
      <c r="T252" s="32"/>
    </row>
    <row r="253" spans="1:20" ht="18" customHeight="1">
      <c r="A253" s="9">
        <v>38384</v>
      </c>
      <c r="B253" s="3">
        <v>1.33</v>
      </c>
      <c r="C253" s="30" t="str">
        <f t="shared" si="13"/>
        <v/>
      </c>
      <c r="D253" s="41" t="str">
        <f t="shared" si="15"/>
        <v/>
      </c>
      <c r="E253" s="41" t="str">
        <f t="shared" si="16"/>
        <v/>
      </c>
      <c r="F253" s="16">
        <v>1011.36</v>
      </c>
      <c r="G253" s="16">
        <v>130.85</v>
      </c>
      <c r="H253" s="16">
        <v>16.670000000000002</v>
      </c>
      <c r="I253" s="28">
        <f t="shared" si="18"/>
        <v>705.80937483143634</v>
      </c>
      <c r="J253" s="14">
        <v>498.38</v>
      </c>
      <c r="K253" s="28">
        <f t="shared" si="14"/>
        <v>925.43094951366425</v>
      </c>
      <c r="O253" s="33"/>
      <c r="P253" s="33"/>
      <c r="Q253" s="33"/>
      <c r="R253" s="33"/>
      <c r="S253" s="32"/>
      <c r="T253" s="32"/>
    </row>
    <row r="254" spans="1:20" ht="18" customHeight="1">
      <c r="A254" s="9">
        <v>38353</v>
      </c>
      <c r="B254" s="3">
        <v>1.23</v>
      </c>
      <c r="C254" s="30" t="str">
        <f t="shared" si="13"/>
        <v/>
      </c>
      <c r="D254" s="41" t="str">
        <f t="shared" si="15"/>
        <v/>
      </c>
      <c r="E254" s="41" t="str">
        <f t="shared" si="16"/>
        <v/>
      </c>
      <c r="F254" s="16">
        <v>932.7</v>
      </c>
      <c r="G254" s="16">
        <v>121.06</v>
      </c>
      <c r="H254" s="16">
        <v>18.12</v>
      </c>
      <c r="I254" s="28">
        <f t="shared" si="18"/>
        <v>653.00178003128542</v>
      </c>
      <c r="J254" s="14">
        <v>472.95</v>
      </c>
      <c r="K254" s="28">
        <f t="shared" si="14"/>
        <v>878.2105372857809</v>
      </c>
      <c r="N254" s="33"/>
      <c r="O254" s="33"/>
      <c r="P254" s="33"/>
      <c r="Q254" s="33"/>
      <c r="R254" s="33"/>
      <c r="S254" s="32"/>
      <c r="T254" s="32"/>
    </row>
    <row r="255" spans="1:20" ht="18" customHeight="1">
      <c r="A255" s="9">
        <v>38322</v>
      </c>
      <c r="B255" s="3">
        <v>1.1599999999999999</v>
      </c>
      <c r="C255" s="30" t="str">
        <f t="shared" si="13"/>
        <v/>
      </c>
      <c r="D255" s="41" t="str">
        <f t="shared" si="15"/>
        <v/>
      </c>
      <c r="E255" s="41" t="str">
        <f t="shared" si="16"/>
        <v/>
      </c>
      <c r="F255" s="16">
        <v>895.92</v>
      </c>
      <c r="G255" s="16">
        <v>115.25</v>
      </c>
      <c r="H255" s="16">
        <v>21.29</v>
      </c>
      <c r="I255" s="28">
        <f t="shared" si="18"/>
        <v>621.66244133987811</v>
      </c>
      <c r="J255" s="14">
        <v>380.33</v>
      </c>
      <c r="K255" s="28">
        <f t="shared" si="14"/>
        <v>706.22647985178367</v>
      </c>
      <c r="M255" s="33"/>
      <c r="N255" s="33"/>
      <c r="O255" s="33"/>
      <c r="P255" s="33"/>
      <c r="Q255" s="33"/>
      <c r="R255" s="33"/>
      <c r="S255" s="32"/>
      <c r="T255" s="32"/>
    </row>
    <row r="256" spans="1:20" ht="18" customHeight="1">
      <c r="A256" s="9">
        <v>38292</v>
      </c>
      <c r="B256" s="3">
        <v>1.1299999999999999</v>
      </c>
      <c r="C256" s="30" t="str">
        <f t="shared" si="13"/>
        <v/>
      </c>
      <c r="D256" s="41" t="str">
        <f t="shared" si="15"/>
        <v/>
      </c>
      <c r="E256" s="41" t="str">
        <f t="shared" si="16"/>
        <v/>
      </c>
      <c r="F256" s="16">
        <v>878.06</v>
      </c>
      <c r="G256" s="16">
        <v>113.4</v>
      </c>
      <c r="H256" s="16">
        <v>25.05</v>
      </c>
      <c r="I256" s="28">
        <f t="shared" si="18"/>
        <v>611.68347807325108</v>
      </c>
      <c r="J256" s="14">
        <v>373.43</v>
      </c>
      <c r="K256" s="28">
        <f t="shared" si="14"/>
        <v>693.41402037980595</v>
      </c>
      <c r="L256" s="33"/>
      <c r="M256" s="33"/>
      <c r="N256" s="33"/>
      <c r="O256" s="33"/>
      <c r="P256" s="33"/>
      <c r="Q256" s="33"/>
      <c r="R256" s="33"/>
      <c r="S256" s="32"/>
      <c r="T256" s="32"/>
    </row>
    <row r="257" spans="1:20" ht="18" customHeight="1">
      <c r="A257" s="9">
        <v>38261</v>
      </c>
      <c r="B257" s="3">
        <v>1.08</v>
      </c>
      <c r="C257" s="30" t="str">
        <f t="shared" si="13"/>
        <v/>
      </c>
      <c r="D257" s="41" t="str">
        <f t="shared" si="15"/>
        <v/>
      </c>
      <c r="E257" s="41" t="str">
        <f t="shared" si="16"/>
        <v/>
      </c>
      <c r="F257" s="16">
        <v>834.84</v>
      </c>
      <c r="G257" s="16">
        <v>107.99</v>
      </c>
      <c r="H257" s="16">
        <v>27.17</v>
      </c>
      <c r="I257" s="28">
        <f t="shared" si="18"/>
        <v>582.50175306111441</v>
      </c>
      <c r="J257" s="14">
        <v>357.04</v>
      </c>
      <c r="K257" s="28">
        <f t="shared" si="14"/>
        <v>662.97978693839787</v>
      </c>
      <c r="L257" s="33"/>
      <c r="M257" s="33"/>
      <c r="N257" s="33"/>
      <c r="O257" s="33"/>
      <c r="P257" s="33"/>
      <c r="Q257" s="33"/>
      <c r="R257" s="33"/>
      <c r="S257" s="32"/>
      <c r="T257" s="32"/>
    </row>
    <row r="258" spans="1:20" ht="18" customHeight="1">
      <c r="A258" s="9">
        <v>38231</v>
      </c>
      <c r="B258" s="3">
        <v>1.08</v>
      </c>
      <c r="C258" s="30" t="str">
        <f t="shared" si="13"/>
        <v/>
      </c>
      <c r="D258" s="41" t="str">
        <f t="shared" si="15"/>
        <v/>
      </c>
      <c r="E258" s="41" t="str">
        <f t="shared" si="16"/>
        <v/>
      </c>
      <c r="F258" s="16">
        <v>835.09</v>
      </c>
      <c r="G258" s="16">
        <v>107.69</v>
      </c>
      <c r="H258" s="21">
        <v>23.73</v>
      </c>
      <c r="I258" s="28">
        <f t="shared" si="18"/>
        <v>580.88354280166141</v>
      </c>
      <c r="J258" s="14">
        <v>362.08</v>
      </c>
      <c r="K258" s="28">
        <f t="shared" si="14"/>
        <v>672.33845298749463</v>
      </c>
      <c r="L258" s="33"/>
      <c r="M258" s="33"/>
      <c r="N258" s="33"/>
      <c r="O258" s="33"/>
      <c r="P258" s="33"/>
      <c r="Q258" s="33"/>
      <c r="R258" s="33"/>
      <c r="S258" s="32"/>
      <c r="T258" s="32"/>
    </row>
    <row r="259" spans="1:20" ht="18" customHeight="1">
      <c r="A259" s="9">
        <v>38200</v>
      </c>
      <c r="B259" s="3">
        <v>1.03</v>
      </c>
      <c r="C259" s="30" t="str">
        <f t="shared" si="13"/>
        <v/>
      </c>
      <c r="D259" s="41" t="str">
        <f t="shared" si="15"/>
        <v/>
      </c>
      <c r="E259" s="41" t="str">
        <f t="shared" si="16"/>
        <v/>
      </c>
      <c r="F259" s="16">
        <v>803.57</v>
      </c>
      <c r="G259" s="16">
        <v>102.89</v>
      </c>
      <c r="H259" s="21">
        <v>22.76</v>
      </c>
      <c r="I259" s="28">
        <f t="shared" si="18"/>
        <v>554.99217865041271</v>
      </c>
      <c r="J259" s="14">
        <v>355.66</v>
      </c>
      <c r="K259" s="28">
        <f t="shared" si="14"/>
        <v>660.41729504400234</v>
      </c>
      <c r="L259" s="33"/>
      <c r="M259" s="33"/>
      <c r="N259" s="33"/>
      <c r="O259" s="33"/>
      <c r="P259" s="33"/>
      <c r="Q259" s="33"/>
      <c r="R259" s="33"/>
      <c r="S259" s="32"/>
      <c r="T259" s="32"/>
    </row>
    <row r="260" spans="1:20" ht="18" customHeight="1">
      <c r="A260" s="9">
        <v>38169</v>
      </c>
      <c r="B260" s="3">
        <v>0.96</v>
      </c>
      <c r="C260" s="30" t="str">
        <f t="shared" ref="C260:C323" si="19">IF(B260&lt;=C$1, "Risk", "")</f>
        <v>Risk</v>
      </c>
      <c r="D260" s="41" t="str">
        <f t="shared" si="15"/>
        <v/>
      </c>
      <c r="E260" s="41" t="str">
        <f t="shared" si="16"/>
        <v/>
      </c>
      <c r="F260" s="16">
        <v>735.34</v>
      </c>
      <c r="G260" s="16">
        <v>95.27</v>
      </c>
      <c r="H260" s="21">
        <v>28.62</v>
      </c>
      <c r="I260" s="28">
        <f t="shared" si="18"/>
        <v>513.8896380603054</v>
      </c>
      <c r="J260" s="14">
        <v>331.21</v>
      </c>
      <c r="K260" s="28">
        <f t="shared" ref="K260:K265" si="20">(J260/J259)*K259</f>
        <v>615.01662343677663</v>
      </c>
      <c r="L260" s="34">
        <f>$I256/$I260</f>
        <v>1.1903012490815577</v>
      </c>
      <c r="M260" s="34">
        <f>$I255/$I260</f>
        <v>1.2097197438857981</v>
      </c>
      <c r="N260" s="34">
        <f>$I254/$I260</f>
        <v>1.2707043140547913</v>
      </c>
      <c r="O260" s="34">
        <f>$I253/$I260</f>
        <v>1.3734648892620969</v>
      </c>
      <c r="P260" s="34">
        <f>$I252/$I260</f>
        <v>1.309751233336832</v>
      </c>
      <c r="Q260" s="34">
        <f>$I251/$I260</f>
        <v>1.2341765508554632</v>
      </c>
      <c r="R260" s="34">
        <f>$I250/$I260</f>
        <v>1.3103810223575101</v>
      </c>
      <c r="S260" s="34">
        <f>$I249/$I260</f>
        <v>1.3585598824393825</v>
      </c>
      <c r="T260" s="34">
        <f>$I248/$I260</f>
        <v>1.5043560407263561</v>
      </c>
    </row>
    <row r="261" spans="1:20" ht="18" customHeight="1">
      <c r="A261" s="9">
        <v>38139</v>
      </c>
      <c r="B261" s="3">
        <v>1.01</v>
      </c>
      <c r="C261" s="30" t="str">
        <f t="shared" si="19"/>
        <v/>
      </c>
      <c r="D261" s="41" t="str">
        <f t="shared" ref="D261:D324" si="21">IF(B261&lt;=D$1, "Risk", "")</f>
        <v/>
      </c>
      <c r="E261" s="41" t="str">
        <f t="shared" ref="E261:E324" si="22">IF(B261&lt;=E$1, "Risk", "")</f>
        <v/>
      </c>
      <c r="F261" s="16">
        <v>785.79</v>
      </c>
      <c r="G261" s="16">
        <v>101.85</v>
      </c>
      <c r="H261" s="21">
        <v>32.36</v>
      </c>
      <c r="I261" s="28">
        <f t="shared" si="18"/>
        <v>549.38238308430891</v>
      </c>
      <c r="J261" s="14">
        <v>385.18</v>
      </c>
      <c r="K261" s="28">
        <f t="shared" si="20"/>
        <v>715.23233904585504</v>
      </c>
    </row>
    <row r="262" spans="1:20" ht="18" customHeight="1">
      <c r="A262" s="9">
        <v>38108</v>
      </c>
      <c r="B262" s="3">
        <v>1.02</v>
      </c>
      <c r="C262" s="30" t="str">
        <f t="shared" si="19"/>
        <v/>
      </c>
      <c r="D262" s="41" t="str">
        <f t="shared" si="21"/>
        <v/>
      </c>
      <c r="E262" s="41" t="str">
        <f t="shared" si="22"/>
        <v/>
      </c>
      <c r="F262" s="16">
        <v>803.84</v>
      </c>
      <c r="G262" s="16">
        <v>104.14</v>
      </c>
      <c r="H262" s="21">
        <v>30.14</v>
      </c>
      <c r="I262" s="28">
        <f t="shared" si="18"/>
        <v>561.73472139813396</v>
      </c>
      <c r="J262" s="14">
        <v>400.92</v>
      </c>
      <c r="K262" s="28">
        <f t="shared" si="20"/>
        <v>744.45960166743907</v>
      </c>
    </row>
    <row r="263" spans="1:20" ht="18" customHeight="1">
      <c r="A263" s="9">
        <v>38078</v>
      </c>
      <c r="B263" s="3">
        <v>1.1000000000000001</v>
      </c>
      <c r="C263" s="30" t="str">
        <f t="shared" si="19"/>
        <v/>
      </c>
      <c r="D263" s="41" t="str">
        <f t="shared" si="21"/>
        <v/>
      </c>
      <c r="E263" s="41" t="str">
        <f t="shared" si="22"/>
        <v/>
      </c>
      <c r="F263" s="16">
        <v>862.84</v>
      </c>
      <c r="G263" s="16">
        <v>112.4</v>
      </c>
      <c r="H263" s="21">
        <v>24.47</v>
      </c>
      <c r="I263" s="28">
        <f t="shared" si="18"/>
        <v>606.28944387507454</v>
      </c>
      <c r="J263" s="14">
        <v>453.47</v>
      </c>
      <c r="K263" s="28">
        <f t="shared" si="20"/>
        <v>842.03855025474809</v>
      </c>
    </row>
    <row r="264" spans="1:20" ht="18" customHeight="1">
      <c r="A264" s="9">
        <v>38047</v>
      </c>
      <c r="B264" s="3">
        <v>1.1100000000000001</v>
      </c>
      <c r="C264" s="30" t="str">
        <f t="shared" si="19"/>
        <v/>
      </c>
      <c r="D264" s="41" t="str">
        <f t="shared" si="21"/>
        <v/>
      </c>
      <c r="E264" s="41" t="str">
        <f t="shared" si="22"/>
        <v/>
      </c>
      <c r="F264" s="16">
        <v>880.5</v>
      </c>
      <c r="G264" s="16">
        <v>115.98</v>
      </c>
      <c r="H264" s="21">
        <v>24.66</v>
      </c>
      <c r="I264" s="28">
        <f t="shared" si="18"/>
        <v>625.60008630454752</v>
      </c>
      <c r="J264" s="14">
        <v>434.16</v>
      </c>
      <c r="K264" s="28">
        <f t="shared" si="20"/>
        <v>806.18223251505378</v>
      </c>
      <c r="T264" s="32"/>
    </row>
    <row r="265" spans="1:20" ht="18" customHeight="1">
      <c r="A265" s="9">
        <v>38018</v>
      </c>
      <c r="B265" s="3">
        <v>1.08</v>
      </c>
      <c r="C265" s="30" t="str">
        <f t="shared" si="19"/>
        <v/>
      </c>
      <c r="D265" s="41" t="str">
        <f t="shared" si="21"/>
        <v/>
      </c>
      <c r="E265" s="41" t="str">
        <f t="shared" si="22"/>
        <v/>
      </c>
      <c r="F265" s="16">
        <v>883.42</v>
      </c>
      <c r="G265" s="16">
        <v>115.92</v>
      </c>
      <c r="H265" s="21">
        <v>19.95</v>
      </c>
      <c r="I265" s="28">
        <f t="shared" si="18"/>
        <v>625.27644425265692</v>
      </c>
      <c r="J265" s="14">
        <v>428.68</v>
      </c>
      <c r="K265" s="28">
        <f t="shared" si="20"/>
        <v>796.00654006484535</v>
      </c>
      <c r="S265" s="33"/>
      <c r="T265" s="32"/>
    </row>
    <row r="266" spans="1:20" ht="18" customHeight="1">
      <c r="A266" s="9">
        <v>37987</v>
      </c>
      <c r="B266" s="3">
        <v>1.07</v>
      </c>
      <c r="C266" s="30" t="str">
        <f t="shared" si="19"/>
        <v/>
      </c>
      <c r="D266" s="41" t="str">
        <f t="shared" si="21"/>
        <v/>
      </c>
      <c r="E266" s="41" t="str">
        <f t="shared" si="22"/>
        <v/>
      </c>
      <c r="F266" s="16">
        <v>848.5</v>
      </c>
      <c r="G266" s="16">
        <v>110.89</v>
      </c>
      <c r="H266" s="21">
        <v>21.23</v>
      </c>
      <c r="I266" s="28">
        <f t="shared" si="18"/>
        <v>598.14445223582754</v>
      </c>
      <c r="J266" s="14">
        <v>441.45</v>
      </c>
      <c r="K266" s="28">
        <f>(J266/J265)*K265</f>
        <v>819.71887447892595</v>
      </c>
      <c r="R266" s="33"/>
      <c r="S266" s="33"/>
      <c r="T266" s="32"/>
    </row>
    <row r="267" spans="1:20" ht="18" customHeight="1">
      <c r="A267" s="9">
        <v>37956</v>
      </c>
      <c r="B267" s="58">
        <v>1.02</v>
      </c>
      <c r="C267" s="30" t="str">
        <f t="shared" si="19"/>
        <v/>
      </c>
      <c r="D267" s="41" t="str">
        <f t="shared" si="21"/>
        <v/>
      </c>
      <c r="E267" s="41" t="str">
        <f t="shared" si="22"/>
        <v/>
      </c>
      <c r="F267" s="17">
        <v>811</v>
      </c>
      <c r="G267" s="27">
        <v>105.21</v>
      </c>
      <c r="H267" s="17">
        <v>22.5</v>
      </c>
      <c r="I267" s="28">
        <f t="shared" si="18"/>
        <v>567.50633799018317</v>
      </c>
      <c r="J267" s="29">
        <f>(F267/F266)*J266</f>
        <v>421.93983500294632</v>
      </c>
      <c r="K267" s="29">
        <f>(I267/I266)*K266</f>
        <v>777.73129032309305</v>
      </c>
      <c r="Q267" s="33"/>
      <c r="R267" s="33"/>
      <c r="S267" s="33"/>
      <c r="T267" s="32"/>
    </row>
    <row r="268" spans="1:20" ht="18" customHeight="1">
      <c r="A268" s="9">
        <v>37926</v>
      </c>
      <c r="B268" s="58">
        <v>1.01</v>
      </c>
      <c r="C268" s="30" t="str">
        <f t="shared" si="19"/>
        <v/>
      </c>
      <c r="D268" s="41" t="str">
        <f t="shared" si="21"/>
        <v/>
      </c>
      <c r="E268" s="41" t="str">
        <f t="shared" si="22"/>
        <v/>
      </c>
      <c r="F268" s="17">
        <v>796</v>
      </c>
      <c r="G268" s="27">
        <v>103.61</v>
      </c>
      <c r="H268" s="17">
        <v>25.4</v>
      </c>
      <c r="I268" s="28">
        <f t="shared" si="18"/>
        <v>558.87588327310027</v>
      </c>
      <c r="J268" s="29">
        <f t="shared" ref="J268:J326" si="23">(F268/F267)*J267</f>
        <v>414.13576900412488</v>
      </c>
      <c r="K268" s="29">
        <f t="shared" ref="K268:K326" si="24">(I268/I267)*K267</f>
        <v>765.90380182849231</v>
      </c>
      <c r="P268" s="33"/>
      <c r="Q268" s="33"/>
      <c r="R268" s="33"/>
      <c r="S268" s="33"/>
      <c r="T268" s="32"/>
    </row>
    <row r="269" spans="1:20" ht="18" customHeight="1">
      <c r="A269" s="9">
        <v>37895</v>
      </c>
      <c r="B269" s="59">
        <v>0.99</v>
      </c>
      <c r="C269" s="30" t="str">
        <f t="shared" si="19"/>
        <v>Risk</v>
      </c>
      <c r="D269" s="41" t="str">
        <f t="shared" si="21"/>
        <v/>
      </c>
      <c r="E269" s="41" t="str">
        <f t="shared" si="22"/>
        <v/>
      </c>
      <c r="F269" s="18">
        <v>782</v>
      </c>
      <c r="G269" s="27">
        <v>101.44</v>
      </c>
      <c r="H269" s="18">
        <v>28.3</v>
      </c>
      <c r="I269" s="28">
        <f t="shared" si="18"/>
        <v>547.17082906305654</v>
      </c>
      <c r="J269" s="29">
        <f t="shared" si="23"/>
        <v>406.8519740718915</v>
      </c>
      <c r="K269" s="29">
        <f t="shared" si="24"/>
        <v>749.86277055768994</v>
      </c>
      <c r="O269" s="33"/>
      <c r="P269" s="32"/>
      <c r="Q269" s="32"/>
      <c r="R269" s="32"/>
      <c r="S269" s="32"/>
      <c r="T269" s="32"/>
    </row>
    <row r="270" spans="1:20" ht="18" customHeight="1">
      <c r="A270" s="9">
        <v>37865</v>
      </c>
      <c r="B270" s="59">
        <v>0.89</v>
      </c>
      <c r="C270" s="30" t="str">
        <f t="shared" si="19"/>
        <v>Risk</v>
      </c>
      <c r="D270" s="41" t="str">
        <f t="shared" si="21"/>
        <v>Risk</v>
      </c>
      <c r="E270" s="41" t="str">
        <f t="shared" si="22"/>
        <v>Risk</v>
      </c>
      <c r="F270" s="18">
        <v>698</v>
      </c>
      <c r="G270" s="27">
        <v>89.55</v>
      </c>
      <c r="H270" s="18">
        <v>27</v>
      </c>
      <c r="I270" s="28">
        <f t="shared" si="18"/>
        <v>483.03576244673417</v>
      </c>
      <c r="J270" s="29">
        <f t="shared" si="23"/>
        <v>363.14920447849141</v>
      </c>
      <c r="K270" s="29">
        <f t="shared" si="24"/>
        <v>661.96974668218786</v>
      </c>
      <c r="N270" s="33"/>
      <c r="O270" s="33"/>
      <c r="P270" s="32"/>
      <c r="Q270" s="32"/>
      <c r="R270" s="32"/>
      <c r="S270" s="32"/>
      <c r="T270" s="32"/>
    </row>
    <row r="271" spans="1:20" ht="18" customHeight="1">
      <c r="A271" s="9">
        <v>37834</v>
      </c>
      <c r="B271" s="59">
        <v>0.96</v>
      </c>
      <c r="C271" s="30" t="str">
        <f t="shared" si="19"/>
        <v>Risk</v>
      </c>
      <c r="D271" s="41" t="str">
        <f t="shared" si="21"/>
        <v/>
      </c>
      <c r="E271" s="41" t="str">
        <f t="shared" si="22"/>
        <v/>
      </c>
      <c r="F271" s="18">
        <v>759</v>
      </c>
      <c r="G271" s="27">
        <v>97.59</v>
      </c>
      <c r="H271" s="18">
        <v>20.8</v>
      </c>
      <c r="I271" s="28">
        <f t="shared" si="18"/>
        <v>526.40379740007586</v>
      </c>
      <c r="J271" s="29">
        <f t="shared" si="23"/>
        <v>394.88573954036531</v>
      </c>
      <c r="K271" s="29">
        <f t="shared" si="24"/>
        <v>721.40287636755693</v>
      </c>
      <c r="M271" s="33"/>
      <c r="N271" s="33"/>
      <c r="O271" s="33"/>
      <c r="P271" s="32"/>
      <c r="Q271" s="32"/>
      <c r="R271" s="32"/>
      <c r="S271" s="32"/>
      <c r="T271" s="32"/>
    </row>
    <row r="272" spans="1:20" ht="18" customHeight="1">
      <c r="A272" s="9">
        <v>37803</v>
      </c>
      <c r="B272" s="59">
        <v>0.9</v>
      </c>
      <c r="C272" s="30" t="str">
        <f t="shared" si="19"/>
        <v>Risk</v>
      </c>
      <c r="D272" s="41" t="str">
        <f t="shared" si="21"/>
        <v>Risk</v>
      </c>
      <c r="E272" s="41" t="str">
        <f t="shared" si="22"/>
        <v>Risk</v>
      </c>
      <c r="F272" s="18">
        <v>714</v>
      </c>
      <c r="G272" s="27">
        <v>91.52</v>
      </c>
      <c r="H272" s="18">
        <v>25.5</v>
      </c>
      <c r="I272" s="28">
        <f>(G272/G271)*I271</f>
        <v>493.66200981714252</v>
      </c>
      <c r="J272" s="29">
        <f t="shared" si="23"/>
        <v>371.47354154390098</v>
      </c>
      <c r="K272" s="29">
        <f t="shared" si="24"/>
        <v>676.53234189116506</v>
      </c>
      <c r="L272" s="33"/>
      <c r="M272" s="33"/>
      <c r="N272" s="33"/>
      <c r="O272" s="33"/>
      <c r="P272" s="32"/>
      <c r="Q272" s="32"/>
      <c r="R272" s="32"/>
      <c r="S272" s="32"/>
      <c r="T272" s="32"/>
    </row>
    <row r="273" spans="1:20" ht="18" customHeight="1">
      <c r="A273" s="9">
        <v>37773</v>
      </c>
      <c r="B273" s="59">
        <v>0.84</v>
      </c>
      <c r="C273" s="30" t="str">
        <f t="shared" si="19"/>
        <v>Risk</v>
      </c>
      <c r="D273" s="41" t="str">
        <f t="shared" si="21"/>
        <v>Risk</v>
      </c>
      <c r="E273" s="41" t="str">
        <f t="shared" si="22"/>
        <v>Risk</v>
      </c>
      <c r="F273" s="18">
        <v>670</v>
      </c>
      <c r="G273" s="27">
        <v>85.47</v>
      </c>
      <c r="H273" s="18">
        <v>28.3</v>
      </c>
      <c r="I273" s="28">
        <f t="shared" ref="I273:I326" si="25">(G273/G272)*I272</f>
        <v>461.02810291817281</v>
      </c>
      <c r="J273" s="29">
        <f t="shared" si="23"/>
        <v>348.58161461402472</v>
      </c>
      <c r="K273" s="29">
        <f t="shared" si="24"/>
        <v>631.80965102095593</v>
      </c>
      <c r="L273" s="33"/>
      <c r="M273" s="33"/>
      <c r="N273" s="33"/>
      <c r="O273" s="33"/>
      <c r="P273" s="32"/>
      <c r="Q273" s="32"/>
      <c r="R273" s="32"/>
      <c r="S273" s="32"/>
      <c r="T273" s="32"/>
    </row>
    <row r="274" spans="1:20" ht="18" customHeight="1">
      <c r="A274" s="9">
        <v>37742</v>
      </c>
      <c r="B274" s="59">
        <v>0.79</v>
      </c>
      <c r="C274" s="30" t="str">
        <f t="shared" si="19"/>
        <v>Risk</v>
      </c>
      <c r="D274" s="41" t="str">
        <f t="shared" si="21"/>
        <v>Risk</v>
      </c>
      <c r="E274" s="41" t="str">
        <f t="shared" si="22"/>
        <v>Risk</v>
      </c>
      <c r="F274" s="18">
        <v>633</v>
      </c>
      <c r="G274" s="27">
        <v>80.53</v>
      </c>
      <c r="H274" s="18">
        <v>32.4</v>
      </c>
      <c r="I274" s="28">
        <f t="shared" si="25"/>
        <v>434.38157397917934</v>
      </c>
      <c r="J274" s="29">
        <f t="shared" si="23"/>
        <v>329.33158515026514</v>
      </c>
      <c r="K274" s="29">
        <f t="shared" si="24"/>
        <v>595.29228029387593</v>
      </c>
      <c r="L274" s="33"/>
      <c r="M274" s="33"/>
      <c r="N274" s="33"/>
      <c r="O274" s="33"/>
      <c r="P274" s="32"/>
      <c r="Q274" s="32"/>
      <c r="R274" s="32"/>
      <c r="S274" s="32"/>
      <c r="T274" s="32"/>
    </row>
    <row r="275" spans="1:20" ht="18" customHeight="1">
      <c r="A275" s="9">
        <v>37712</v>
      </c>
      <c r="B275" s="58">
        <v>0.76</v>
      </c>
      <c r="C275" s="30" t="str">
        <f t="shared" si="19"/>
        <v>Risk</v>
      </c>
      <c r="D275" s="41" t="str">
        <f t="shared" si="21"/>
        <v>Risk</v>
      </c>
      <c r="E275" s="41" t="str">
        <f t="shared" si="22"/>
        <v>Risk</v>
      </c>
      <c r="F275" s="17">
        <v>599</v>
      </c>
      <c r="G275" s="27">
        <v>76.45</v>
      </c>
      <c r="H275" s="17">
        <v>34.5</v>
      </c>
      <c r="I275" s="28">
        <f t="shared" si="25"/>
        <v>412.37391445061792</v>
      </c>
      <c r="J275" s="29">
        <f t="shared" si="23"/>
        <v>311.64236888626982</v>
      </c>
      <c r="K275" s="29">
        <f t="shared" si="24"/>
        <v>565.13218463264388</v>
      </c>
      <c r="L275" s="33"/>
      <c r="M275" s="33"/>
      <c r="N275" s="33"/>
      <c r="O275" s="33"/>
      <c r="P275" s="32"/>
      <c r="Q275" s="32"/>
      <c r="R275" s="32"/>
      <c r="S275" s="32"/>
      <c r="T275" s="32"/>
    </row>
    <row r="276" spans="1:20" ht="18" customHeight="1">
      <c r="A276" s="9">
        <v>37681</v>
      </c>
      <c r="B276" s="58">
        <v>0.89</v>
      </c>
      <c r="C276" s="30" t="str">
        <f t="shared" si="19"/>
        <v>Risk</v>
      </c>
      <c r="D276" s="41" t="str">
        <f t="shared" si="21"/>
        <v>Risk</v>
      </c>
      <c r="E276" s="41" t="str">
        <f t="shared" si="22"/>
        <v>Risk</v>
      </c>
      <c r="F276" s="17">
        <v>536</v>
      </c>
      <c r="G276" s="27">
        <v>68.05</v>
      </c>
      <c r="H276" s="17">
        <v>41</v>
      </c>
      <c r="I276" s="28">
        <f t="shared" si="25"/>
        <v>367.06402718593262</v>
      </c>
      <c r="J276" s="29">
        <f t="shared" si="23"/>
        <v>278.86529169121974</v>
      </c>
      <c r="K276" s="29">
        <f t="shared" si="24"/>
        <v>503.03787003598973</v>
      </c>
      <c r="L276" s="73">
        <f>1+(($I272/$I276)-1)*3</f>
        <v>2.034680382072005</v>
      </c>
      <c r="M276" s="73">
        <f>1+(($I271/$I276)-1)*3</f>
        <v>2.3022777369581191</v>
      </c>
      <c r="N276" s="73">
        <f>1+(($I270/$I276)-1)*3</f>
        <v>1.947832476120499</v>
      </c>
      <c r="O276" s="73">
        <f>1+(($I269/$I276)-1)*3</f>
        <v>2.4720058780308589</v>
      </c>
      <c r="P276" s="73">
        <f>1+(($I268/$I276)-1)*3</f>
        <v>2.5676708302718581</v>
      </c>
      <c r="Q276" s="73">
        <f>1+(($I267/$I276)-1)*3</f>
        <v>2.6382072005878019</v>
      </c>
      <c r="R276" s="73">
        <f>1+(($I266/$I276)-1)*3</f>
        <v>2.8886113152094044</v>
      </c>
      <c r="S276" s="73">
        <f>1+(($I265/$I276)-1)*3</f>
        <v>3.1103600293901534</v>
      </c>
      <c r="T276" s="73">
        <f>1+(($I264/$I276)-1)*3</f>
        <v>3.1130051432770012</v>
      </c>
    </row>
    <row r="277" spans="1:20" ht="18" customHeight="1">
      <c r="A277" s="9">
        <v>37653</v>
      </c>
      <c r="B277" s="58">
        <v>0.96</v>
      </c>
      <c r="C277" s="30" t="str">
        <f t="shared" si="19"/>
        <v>Risk</v>
      </c>
      <c r="D277" s="41" t="str">
        <f t="shared" si="21"/>
        <v/>
      </c>
      <c r="E277" s="41" t="str">
        <f t="shared" si="22"/>
        <v/>
      </c>
      <c r="F277" s="17">
        <v>575</v>
      </c>
      <c r="G277" s="27">
        <v>72.849999999999994</v>
      </c>
      <c r="H277" s="17">
        <v>35.5</v>
      </c>
      <c r="I277" s="28">
        <f t="shared" si="25"/>
        <v>392.95539133718131</v>
      </c>
      <c r="J277" s="29">
        <f t="shared" si="23"/>
        <v>299.1558632881555</v>
      </c>
      <c r="K277" s="29">
        <f t="shared" si="24"/>
        <v>538.52033551979207</v>
      </c>
      <c r="L277" s="33"/>
      <c r="M277" s="33"/>
      <c r="N277" s="33"/>
      <c r="O277" s="33"/>
      <c r="P277" s="32"/>
      <c r="Q277" s="32"/>
      <c r="R277" s="32"/>
      <c r="S277" s="32"/>
      <c r="T277" s="32"/>
    </row>
    <row r="278" spans="1:20" ht="18" customHeight="1">
      <c r="A278" s="9">
        <v>37622</v>
      </c>
      <c r="B278" s="58">
        <v>0.98</v>
      </c>
      <c r="C278" s="30" t="str">
        <f t="shared" si="19"/>
        <v>Risk</v>
      </c>
      <c r="D278" s="41" t="str">
        <f t="shared" si="21"/>
        <v/>
      </c>
      <c r="E278" s="41" t="str">
        <f t="shared" si="22"/>
        <v/>
      </c>
      <c r="F278" s="17">
        <v>592</v>
      </c>
      <c r="G278" s="27">
        <v>75.22</v>
      </c>
      <c r="H278" s="17">
        <v>35.9</v>
      </c>
      <c r="I278" s="28">
        <f t="shared" si="25"/>
        <v>405.73925238686036</v>
      </c>
      <c r="J278" s="29">
        <f t="shared" si="23"/>
        <v>308.00047142015313</v>
      </c>
      <c r="K278" s="29">
        <f t="shared" si="24"/>
        <v>556.03980285241948</v>
      </c>
      <c r="L278" s="34">
        <f>$I276/$I278</f>
        <v>0.90467960648763635</v>
      </c>
      <c r="M278" s="34">
        <f t="shared" ref="M278:T278" si="26">$I276/$I278</f>
        <v>0.90467960648763635</v>
      </c>
      <c r="N278" s="34">
        <f t="shared" si="26"/>
        <v>0.90467960648763635</v>
      </c>
      <c r="O278" s="34">
        <f t="shared" si="26"/>
        <v>0.90467960648763635</v>
      </c>
      <c r="P278" s="34">
        <f t="shared" si="26"/>
        <v>0.90467960648763635</v>
      </c>
      <c r="Q278" s="34">
        <f t="shared" si="26"/>
        <v>0.90467960648763635</v>
      </c>
      <c r="R278" s="34">
        <f t="shared" si="26"/>
        <v>0.90467960648763635</v>
      </c>
      <c r="S278" s="34">
        <f t="shared" si="26"/>
        <v>0.90467960648763635</v>
      </c>
      <c r="T278" s="34">
        <f t="shared" si="26"/>
        <v>0.90467960648763635</v>
      </c>
    </row>
    <row r="279" spans="1:20" ht="18" customHeight="1">
      <c r="A279" s="9">
        <v>37591</v>
      </c>
      <c r="B279" s="58">
        <v>1.05</v>
      </c>
      <c r="C279" s="30" t="str">
        <f t="shared" si="19"/>
        <v/>
      </c>
      <c r="D279" s="41" t="str">
        <f t="shared" si="21"/>
        <v/>
      </c>
      <c r="E279" s="41" t="str">
        <f t="shared" si="22"/>
        <v/>
      </c>
      <c r="F279" s="17">
        <v>628</v>
      </c>
      <c r="G279" s="27">
        <v>79.87</v>
      </c>
      <c r="H279" s="17">
        <v>35.6</v>
      </c>
      <c r="I279" s="28">
        <f t="shared" si="25"/>
        <v>430.82151140838261</v>
      </c>
      <c r="J279" s="29">
        <f t="shared" si="23"/>
        <v>326.73022981732458</v>
      </c>
      <c r="K279" s="29">
        <f t="shared" si="24"/>
        <v>590.41344128985304</v>
      </c>
    </row>
    <row r="280" spans="1:20" ht="18" customHeight="1">
      <c r="A280" s="9">
        <v>37561</v>
      </c>
      <c r="B280" s="58">
        <v>1.19</v>
      </c>
      <c r="C280" s="30" t="str">
        <f t="shared" si="19"/>
        <v/>
      </c>
      <c r="D280" s="41" t="str">
        <f t="shared" si="21"/>
        <v/>
      </c>
      <c r="E280" s="41" t="str">
        <f t="shared" si="22"/>
        <v/>
      </c>
      <c r="F280" s="17">
        <v>725</v>
      </c>
      <c r="G280" s="27">
        <v>92.05</v>
      </c>
      <c r="H280" s="17">
        <v>40.9</v>
      </c>
      <c r="I280" s="28">
        <f t="shared" si="25"/>
        <v>496.5208479421762</v>
      </c>
      <c r="J280" s="29">
        <f t="shared" si="23"/>
        <v>377.19652327636993</v>
      </c>
      <c r="K280" s="29">
        <f t="shared" si="24"/>
        <v>680.45019745500144</v>
      </c>
    </row>
    <row r="281" spans="1:20" ht="18" customHeight="1">
      <c r="A281" s="9">
        <v>37530</v>
      </c>
      <c r="B281" s="58">
        <v>1.08</v>
      </c>
      <c r="C281" s="30" t="str">
        <f t="shared" si="19"/>
        <v/>
      </c>
      <c r="D281" s="41" t="str">
        <f t="shared" si="21"/>
        <v/>
      </c>
      <c r="E281" s="41" t="str">
        <f t="shared" si="22"/>
        <v/>
      </c>
      <c r="F281" s="17">
        <v>659</v>
      </c>
      <c r="G281" s="27">
        <v>83.1</v>
      </c>
      <c r="H281" s="17">
        <v>40.9</v>
      </c>
      <c r="I281" s="28">
        <f t="shared" si="25"/>
        <v>448.2442418684937</v>
      </c>
      <c r="J281" s="29">
        <f t="shared" si="23"/>
        <v>342.85863288155554</v>
      </c>
      <c r="K281" s="29">
        <f t="shared" si="24"/>
        <v>614.29018368832828</v>
      </c>
    </row>
    <row r="282" spans="1:20" ht="18" customHeight="1">
      <c r="A282" s="9">
        <v>37500</v>
      </c>
      <c r="B282" s="58">
        <v>1.06</v>
      </c>
      <c r="C282" s="30" t="str">
        <f t="shared" si="19"/>
        <v/>
      </c>
      <c r="D282" s="41" t="str">
        <f t="shared" si="21"/>
        <v/>
      </c>
      <c r="E282" s="41" t="str">
        <f t="shared" si="22"/>
        <v/>
      </c>
      <c r="F282" s="17">
        <v>646</v>
      </c>
      <c r="G282" s="27">
        <v>81.37</v>
      </c>
      <c r="H282" s="22">
        <v>40</v>
      </c>
      <c r="I282" s="28">
        <f t="shared" si="25"/>
        <v>438.91256270564787</v>
      </c>
      <c r="J282" s="29">
        <f t="shared" si="23"/>
        <v>336.09510901591028</v>
      </c>
      <c r="K282" s="29">
        <f t="shared" si="24"/>
        <v>601.50171175354126</v>
      </c>
      <c r="S282" s="32"/>
    </row>
    <row r="283" spans="1:20" ht="18" customHeight="1">
      <c r="A283" s="9">
        <v>37469</v>
      </c>
      <c r="B283" s="58">
        <v>1.2</v>
      </c>
      <c r="C283" s="30" t="str">
        <f t="shared" si="19"/>
        <v/>
      </c>
      <c r="D283" s="41" t="str">
        <f t="shared" si="21"/>
        <v/>
      </c>
      <c r="E283" s="41" t="str">
        <f t="shared" si="22"/>
        <v/>
      </c>
      <c r="F283" s="17">
        <v>736</v>
      </c>
      <c r="G283" s="27">
        <v>92.55</v>
      </c>
      <c r="H283" s="22">
        <v>40</v>
      </c>
      <c r="I283" s="28">
        <f t="shared" si="25"/>
        <v>499.2178650412647</v>
      </c>
      <c r="J283" s="29">
        <f t="shared" si="23"/>
        <v>382.919505008839</v>
      </c>
      <c r="K283" s="29">
        <f t="shared" si="24"/>
        <v>684.1462876095643</v>
      </c>
      <c r="S283" s="32"/>
    </row>
    <row r="284" spans="1:20" ht="18" customHeight="1">
      <c r="A284" s="9">
        <v>37438</v>
      </c>
      <c r="B284" s="58">
        <v>1.1599999999999999</v>
      </c>
      <c r="C284" s="30" t="str">
        <f t="shared" si="19"/>
        <v/>
      </c>
      <c r="D284" s="41" t="str">
        <f t="shared" si="21"/>
        <v/>
      </c>
      <c r="E284" s="41" t="str">
        <f t="shared" si="22"/>
        <v/>
      </c>
      <c r="F284" s="17">
        <v>718</v>
      </c>
      <c r="G284" s="27">
        <v>90.16</v>
      </c>
      <c r="H284" s="22">
        <v>35</v>
      </c>
      <c r="I284" s="28">
        <f t="shared" si="25"/>
        <v>486.32612330762208</v>
      </c>
      <c r="J284" s="29">
        <f t="shared" si="23"/>
        <v>373.55462581025324</v>
      </c>
      <c r="K284" s="29">
        <f t="shared" si="24"/>
        <v>666.47897667075438</v>
      </c>
      <c r="R284" s="33"/>
      <c r="S284" s="32"/>
    </row>
    <row r="285" spans="1:20" ht="18" customHeight="1">
      <c r="A285" s="9">
        <v>37408</v>
      </c>
      <c r="B285" s="58">
        <v>1.21</v>
      </c>
      <c r="C285" s="30" t="str">
        <f t="shared" si="19"/>
        <v/>
      </c>
      <c r="D285" s="41" t="str">
        <f t="shared" si="21"/>
        <v/>
      </c>
      <c r="E285" s="41" t="str">
        <f t="shared" si="22"/>
        <v/>
      </c>
      <c r="F285" s="17">
        <v>743</v>
      </c>
      <c r="G285" s="27">
        <v>93.69</v>
      </c>
      <c r="H285" s="22">
        <v>40</v>
      </c>
      <c r="I285" s="28">
        <f t="shared" si="25"/>
        <v>505.36706402718625</v>
      </c>
      <c r="J285" s="29">
        <f t="shared" si="23"/>
        <v>386.56140247495563</v>
      </c>
      <c r="K285" s="29">
        <f t="shared" si="24"/>
        <v>692.57337316196742</v>
      </c>
      <c r="Q285" s="33"/>
      <c r="R285" s="33"/>
      <c r="S285" s="32"/>
    </row>
    <row r="286" spans="1:20" ht="18" customHeight="1">
      <c r="A286" s="9">
        <v>37377</v>
      </c>
      <c r="B286" s="58">
        <v>1.34</v>
      </c>
      <c r="C286" s="30" t="str">
        <f t="shared" si="19"/>
        <v/>
      </c>
      <c r="D286" s="41" t="str">
        <f t="shared" si="21"/>
        <v/>
      </c>
      <c r="E286" s="41" t="str">
        <f t="shared" si="22"/>
        <v/>
      </c>
      <c r="F286" s="17">
        <v>796</v>
      </c>
      <c r="G286" s="27">
        <v>100.8</v>
      </c>
      <c r="H286" s="22">
        <v>35</v>
      </c>
      <c r="I286" s="28">
        <f t="shared" si="25"/>
        <v>543.71864717622339</v>
      </c>
      <c r="J286" s="29">
        <f t="shared" si="23"/>
        <v>414.13576900412471</v>
      </c>
      <c r="K286" s="29">
        <f t="shared" si="24"/>
        <v>745.13177515984967</v>
      </c>
      <c r="P286" s="33"/>
      <c r="Q286" s="33"/>
      <c r="R286" s="33"/>
      <c r="S286" s="32"/>
    </row>
    <row r="287" spans="1:20" ht="18" customHeight="1">
      <c r="A287" s="9">
        <v>37347</v>
      </c>
      <c r="B287" s="58">
        <v>1.4</v>
      </c>
      <c r="C287" s="30" t="str">
        <f t="shared" si="19"/>
        <v/>
      </c>
      <c r="D287" s="41" t="str">
        <f t="shared" si="21"/>
        <v/>
      </c>
      <c r="E287" s="41" t="str">
        <f t="shared" si="22"/>
        <v/>
      </c>
      <c r="F287" s="17">
        <v>842</v>
      </c>
      <c r="G287" s="27">
        <v>106.39</v>
      </c>
      <c r="H287" s="22">
        <v>32</v>
      </c>
      <c r="I287" s="28">
        <f t="shared" si="25"/>
        <v>573.87129834403186</v>
      </c>
      <c r="J287" s="29">
        <f t="shared" si="23"/>
        <v>438.06823806717716</v>
      </c>
      <c r="K287" s="29">
        <f t="shared" si="24"/>
        <v>786.4540630878613</v>
      </c>
      <c r="O287" s="32"/>
      <c r="P287" s="33"/>
      <c r="Q287" s="33"/>
      <c r="R287" s="33"/>
      <c r="S287" s="32"/>
    </row>
    <row r="288" spans="1:20" ht="18" customHeight="1">
      <c r="A288" s="9">
        <v>37316</v>
      </c>
      <c r="B288" s="59">
        <v>1.49</v>
      </c>
      <c r="C288" s="30" t="str">
        <f t="shared" si="19"/>
        <v/>
      </c>
      <c r="D288" s="41" t="str">
        <f t="shared" si="21"/>
        <v/>
      </c>
      <c r="E288" s="41" t="str">
        <f t="shared" si="22"/>
        <v/>
      </c>
      <c r="F288" s="18">
        <v>896</v>
      </c>
      <c r="G288" s="27">
        <v>111.84</v>
      </c>
      <c r="H288" s="23">
        <v>15</v>
      </c>
      <c r="I288" s="28">
        <f t="shared" si="25"/>
        <v>603.26878472409555</v>
      </c>
      <c r="J288" s="29">
        <f t="shared" si="23"/>
        <v>466.16287566293437</v>
      </c>
      <c r="K288" s="29">
        <f t="shared" si="24"/>
        <v>826.74144577259528</v>
      </c>
      <c r="N288" s="33"/>
      <c r="O288" s="33"/>
      <c r="P288" s="33"/>
      <c r="Q288" s="33"/>
      <c r="R288" s="33"/>
      <c r="S288" s="32"/>
    </row>
    <row r="289" spans="1:22" ht="18" customHeight="1">
      <c r="A289" s="9">
        <v>37288</v>
      </c>
      <c r="B289" s="59">
        <v>1.363</v>
      </c>
      <c r="C289" s="30" t="str">
        <f t="shared" si="19"/>
        <v/>
      </c>
      <c r="D289" s="41" t="str">
        <f t="shared" si="21"/>
        <v/>
      </c>
      <c r="E289" s="41" t="str">
        <f t="shared" si="22"/>
        <v/>
      </c>
      <c r="F289" s="18">
        <v>820</v>
      </c>
      <c r="G289" s="27">
        <v>102.62</v>
      </c>
      <c r="H289" s="23">
        <v>15</v>
      </c>
      <c r="I289" s="28">
        <f t="shared" si="25"/>
        <v>553.53578941690523</v>
      </c>
      <c r="J289" s="29">
        <f t="shared" si="23"/>
        <v>426.62227460223903</v>
      </c>
      <c r="K289" s="29">
        <f t="shared" si="24"/>
        <v>758.58554332245808</v>
      </c>
      <c r="M289" s="33"/>
      <c r="N289" s="33"/>
      <c r="O289" s="33"/>
      <c r="P289" s="33"/>
      <c r="Q289" s="33"/>
      <c r="R289" s="33"/>
      <c r="S289" s="32"/>
    </row>
    <row r="290" spans="1:22" ht="18" customHeight="1">
      <c r="A290" s="9">
        <v>37257</v>
      </c>
      <c r="B290" s="59">
        <v>1.244</v>
      </c>
      <c r="C290" s="30" t="str">
        <f t="shared" si="19"/>
        <v/>
      </c>
      <c r="D290" s="41" t="str">
        <f t="shared" si="21"/>
        <v/>
      </c>
      <c r="E290" s="41" t="str">
        <f t="shared" si="22"/>
        <v/>
      </c>
      <c r="F290" s="18">
        <v>748</v>
      </c>
      <c r="G290" s="27">
        <v>92.99</v>
      </c>
      <c r="H290" s="23">
        <v>15</v>
      </c>
      <c r="I290" s="28">
        <f t="shared" si="25"/>
        <v>501.59124008846243</v>
      </c>
      <c r="J290" s="29">
        <f t="shared" si="23"/>
        <v>389.16275780789613</v>
      </c>
      <c r="K290" s="29">
        <f t="shared" si="24"/>
        <v>687.39884694557952</v>
      </c>
      <c r="L290" s="33"/>
      <c r="M290" s="33"/>
      <c r="N290" s="33"/>
      <c r="O290" s="33"/>
      <c r="P290" s="33"/>
      <c r="Q290" s="33"/>
      <c r="R290" s="33"/>
      <c r="S290" s="32"/>
    </row>
    <row r="291" spans="1:22" ht="18" customHeight="1">
      <c r="A291" s="9">
        <v>37226</v>
      </c>
      <c r="B291" s="59">
        <v>1.1539999999999999</v>
      </c>
      <c r="C291" s="30" t="str">
        <f t="shared" si="19"/>
        <v/>
      </c>
      <c r="D291" s="41" t="str">
        <f t="shared" si="21"/>
        <v/>
      </c>
      <c r="E291" s="41" t="str">
        <f t="shared" si="22"/>
        <v/>
      </c>
      <c r="F291" s="18">
        <v>694</v>
      </c>
      <c r="G291" s="27">
        <v>86.97</v>
      </c>
      <c r="H291" s="23">
        <v>15</v>
      </c>
      <c r="I291" s="28">
        <f t="shared" si="25"/>
        <v>469.11915421543796</v>
      </c>
      <c r="J291" s="29">
        <f t="shared" si="23"/>
        <v>361.06812021213892</v>
      </c>
      <c r="K291" s="29">
        <f t="shared" si="24"/>
        <v>642.89792148464403</v>
      </c>
      <c r="L291" s="33"/>
      <c r="M291" s="33"/>
      <c r="N291" s="33"/>
      <c r="O291" s="33"/>
      <c r="P291" s="33"/>
      <c r="Q291" s="33"/>
      <c r="R291" s="33"/>
      <c r="S291" s="32"/>
    </row>
    <row r="292" spans="1:22" ht="18" customHeight="1">
      <c r="A292" s="9">
        <v>37196</v>
      </c>
      <c r="B292" s="59">
        <v>1.071</v>
      </c>
      <c r="C292" s="30" t="str">
        <f t="shared" si="19"/>
        <v/>
      </c>
      <c r="D292" s="41" t="str">
        <f t="shared" si="21"/>
        <v/>
      </c>
      <c r="E292" s="41" t="str">
        <f t="shared" si="22"/>
        <v/>
      </c>
      <c r="F292" s="18">
        <v>644</v>
      </c>
      <c r="G292" s="27">
        <v>80.03</v>
      </c>
      <c r="H292" s="23">
        <v>15</v>
      </c>
      <c r="I292" s="28">
        <f t="shared" si="25"/>
        <v>431.68455688009089</v>
      </c>
      <c r="J292" s="29">
        <f t="shared" si="23"/>
        <v>335.05456688273409</v>
      </c>
      <c r="K292" s="29">
        <f t="shared" si="24"/>
        <v>591.59619013931319</v>
      </c>
      <c r="L292" s="33"/>
      <c r="M292" s="33"/>
      <c r="N292" s="33"/>
      <c r="O292" s="33"/>
      <c r="P292" s="33"/>
      <c r="Q292" s="33"/>
      <c r="R292" s="33"/>
      <c r="S292" s="32"/>
    </row>
    <row r="293" spans="1:22" ht="18" customHeight="1">
      <c r="A293" s="9">
        <v>37165</v>
      </c>
      <c r="B293" s="59">
        <v>0.89500000000000002</v>
      </c>
      <c r="C293" s="30" t="str">
        <f t="shared" si="19"/>
        <v>Risk</v>
      </c>
      <c r="D293" s="41" t="str">
        <f t="shared" si="21"/>
        <v>Risk</v>
      </c>
      <c r="E293" s="41" t="str">
        <f t="shared" si="22"/>
        <v>Risk</v>
      </c>
      <c r="F293" s="18">
        <v>538</v>
      </c>
      <c r="G293" s="27">
        <v>66.44</v>
      </c>
      <c r="H293" s="23">
        <v>15</v>
      </c>
      <c r="I293" s="28">
        <f t="shared" si="25"/>
        <v>358.37963212686788</v>
      </c>
      <c r="J293" s="29">
        <f t="shared" si="23"/>
        <v>279.90583382439587</v>
      </c>
      <c r="K293" s="29">
        <f t="shared" si="24"/>
        <v>491.13645973829773</v>
      </c>
      <c r="L293" s="33"/>
      <c r="M293" s="33"/>
      <c r="N293" s="33"/>
      <c r="O293" s="33"/>
      <c r="P293" s="33"/>
      <c r="Q293" s="33"/>
      <c r="R293" s="33"/>
      <c r="S293" s="73">
        <f>1+(($I282/$I293)-1)*3</f>
        <v>1.6741420830824811</v>
      </c>
      <c r="T293" s="32"/>
    </row>
    <row r="294" spans="1:22" ht="18" customHeight="1">
      <c r="A294" s="9">
        <v>37135</v>
      </c>
      <c r="B294" s="58">
        <v>0.79800000000000004</v>
      </c>
      <c r="C294" s="30" t="str">
        <f t="shared" si="19"/>
        <v>Risk</v>
      </c>
      <c r="D294" s="41" t="str">
        <f t="shared" si="21"/>
        <v>Risk</v>
      </c>
      <c r="E294" s="41" t="str">
        <f t="shared" si="22"/>
        <v>Risk</v>
      </c>
      <c r="F294" s="17">
        <v>480</v>
      </c>
      <c r="G294" s="27">
        <v>58.91</v>
      </c>
      <c r="H294" s="22">
        <v>35</v>
      </c>
      <c r="I294" s="28">
        <f t="shared" si="25"/>
        <v>317.76255461459641</v>
      </c>
      <c r="J294" s="29">
        <f t="shared" si="23"/>
        <v>249.73011196228629</v>
      </c>
      <c r="K294" s="29">
        <f t="shared" si="24"/>
        <v>435.47334201058277</v>
      </c>
      <c r="L294" s="73">
        <f>1+(($I290/$I294)-1)*3</f>
        <v>2.7355287727041251</v>
      </c>
      <c r="M294" s="73">
        <f>1+(($I289/$I294)-1)*3</f>
        <v>3.2259378713291467</v>
      </c>
      <c r="N294" s="73">
        <f>1+(($I288/$I294)-1)*3</f>
        <v>3.695467662536073</v>
      </c>
      <c r="O294" s="73">
        <f>1+(($I287/$I294)-1)*3</f>
        <v>3.4179256492955363</v>
      </c>
      <c r="P294" s="73">
        <f>1+(($I286/$I294)-1)*3</f>
        <v>3.1332541164488203</v>
      </c>
      <c r="Q294" s="73">
        <f>1+(($I285/$I294)-1)*3</f>
        <v>2.7711763707350201</v>
      </c>
      <c r="R294" s="73">
        <f>1+(($I284/$I294)-1)*3</f>
        <v>2.5914106263792229</v>
      </c>
      <c r="S294" s="33"/>
      <c r="T294" s="32"/>
    </row>
    <row r="295" spans="1:22" ht="18" customHeight="1">
      <c r="A295" s="9">
        <v>37104</v>
      </c>
      <c r="B295" s="58">
        <v>0.90600000000000003</v>
      </c>
      <c r="C295" s="30" t="str">
        <f t="shared" si="19"/>
        <v>Risk</v>
      </c>
      <c r="D295" s="41" t="str">
        <f t="shared" si="21"/>
        <v>Risk</v>
      </c>
      <c r="E295" s="41" t="str">
        <f t="shared" si="22"/>
        <v/>
      </c>
      <c r="F295" s="17">
        <v>545</v>
      </c>
      <c r="G295" s="27">
        <v>67.42</v>
      </c>
      <c r="H295" s="22">
        <v>35</v>
      </c>
      <c r="I295" s="28">
        <f t="shared" si="25"/>
        <v>363.66578564108119</v>
      </c>
      <c r="J295" s="29">
        <f t="shared" si="23"/>
        <v>283.54773129051256</v>
      </c>
      <c r="K295" s="29">
        <f t="shared" si="24"/>
        <v>498.38079644124082</v>
      </c>
      <c r="L295" s="35">
        <f>1+(($I294/$I295)-1)*2</f>
        <v>0.74755265499851653</v>
      </c>
      <c r="M295" s="32"/>
      <c r="N295" s="33"/>
      <c r="O295" s="33"/>
      <c r="P295" s="33"/>
      <c r="Q295" s="35">
        <f>1+(($I294/$I295)-1)*2</f>
        <v>0.74755265499851653</v>
      </c>
      <c r="R295" s="33"/>
      <c r="S295" s="33"/>
      <c r="T295" s="32"/>
    </row>
    <row r="296" spans="1:22" ht="18" customHeight="1">
      <c r="A296" s="9">
        <v>37073</v>
      </c>
      <c r="B296" s="58">
        <v>0.90100000000000002</v>
      </c>
      <c r="C296" s="30" t="str">
        <f t="shared" si="19"/>
        <v>Risk</v>
      </c>
      <c r="D296" s="41" t="str">
        <f t="shared" si="21"/>
        <v>Risk</v>
      </c>
      <c r="E296" s="41" t="str">
        <f t="shared" si="22"/>
        <v/>
      </c>
      <c r="F296" s="17">
        <v>542</v>
      </c>
      <c r="G296" s="27">
        <v>66.98</v>
      </c>
      <c r="H296" s="22">
        <v>35</v>
      </c>
      <c r="I296" s="28">
        <f t="shared" si="25"/>
        <v>361.2924105938834</v>
      </c>
      <c r="J296" s="29">
        <f t="shared" si="23"/>
        <v>281.9869180907483</v>
      </c>
      <c r="K296" s="29">
        <f t="shared" si="24"/>
        <v>495.12823710522559</v>
      </c>
      <c r="L296" s="32"/>
      <c r="M296" s="35">
        <f>1+(($I294/$I296)-1)*2</f>
        <v>0.75903254702896361</v>
      </c>
      <c r="N296" s="35">
        <f>1+(($I294/$I296)-1)*2</f>
        <v>0.75903254702896361</v>
      </c>
      <c r="O296" s="35">
        <f>1+(($I294/$I296)-1)*2</f>
        <v>0.75903254702896361</v>
      </c>
      <c r="P296" s="35">
        <f>1+(($I294/$I296)-1)*2</f>
        <v>0.75903254702896361</v>
      </c>
      <c r="Q296" s="33"/>
      <c r="R296" s="33"/>
      <c r="S296" s="32"/>
      <c r="T296" s="32"/>
    </row>
    <row r="297" spans="1:22" ht="18" customHeight="1">
      <c r="A297" s="9">
        <v>37043</v>
      </c>
      <c r="B297" s="58">
        <v>0.98899999999999999</v>
      </c>
      <c r="C297" s="30" t="str">
        <f t="shared" si="19"/>
        <v>Risk</v>
      </c>
      <c r="D297" s="41" t="str">
        <f t="shared" si="21"/>
        <v/>
      </c>
      <c r="E297" s="41" t="str">
        <f t="shared" si="22"/>
        <v/>
      </c>
      <c r="F297" s="17">
        <v>595</v>
      </c>
      <c r="G297" s="27">
        <v>73.2</v>
      </c>
      <c r="H297" s="22">
        <v>25</v>
      </c>
      <c r="I297" s="28">
        <f t="shared" si="25"/>
        <v>394.84330330654319</v>
      </c>
      <c r="J297" s="29">
        <f t="shared" si="23"/>
        <v>309.56128461991739</v>
      </c>
      <c r="K297" s="29">
        <f t="shared" si="24"/>
        <v>541.10759862798614</v>
      </c>
      <c r="L297" s="32"/>
      <c r="M297" s="32"/>
      <c r="N297" s="34">
        <f>$I296/$I297</f>
        <v>0.91502732240437168</v>
      </c>
      <c r="O297" s="34">
        <f>$I296/$I297</f>
        <v>0.91502732240437168</v>
      </c>
      <c r="P297" s="33"/>
      <c r="Q297" s="33"/>
      <c r="R297" s="33"/>
      <c r="S297" s="32"/>
      <c r="T297" s="32"/>
    </row>
    <row r="298" spans="1:22" ht="18" customHeight="1">
      <c r="A298" s="9">
        <v>37012</v>
      </c>
      <c r="B298" s="57">
        <v>1.018</v>
      </c>
      <c r="C298" s="30" t="str">
        <f t="shared" si="19"/>
        <v/>
      </c>
      <c r="D298" s="41" t="str">
        <f t="shared" si="21"/>
        <v/>
      </c>
      <c r="E298" s="41" t="str">
        <f t="shared" si="22"/>
        <v/>
      </c>
      <c r="F298" s="19">
        <v>612</v>
      </c>
      <c r="G298" s="27">
        <v>76.09</v>
      </c>
      <c r="H298" s="24">
        <v>20</v>
      </c>
      <c r="I298" s="28">
        <f t="shared" si="25"/>
        <v>410.43206213927419</v>
      </c>
      <c r="J298" s="29">
        <f t="shared" si="23"/>
        <v>318.40589275191502</v>
      </c>
      <c r="K298" s="29">
        <f t="shared" si="24"/>
        <v>562.47099972135879</v>
      </c>
      <c r="L298" s="32"/>
      <c r="M298" s="32"/>
      <c r="O298" s="33"/>
      <c r="P298" s="33"/>
      <c r="Q298" s="33"/>
      <c r="R298" s="33"/>
      <c r="S298" s="32"/>
      <c r="T298" s="32"/>
    </row>
    <row r="299" spans="1:22" ht="18" customHeight="1">
      <c r="A299" s="9">
        <v>36982</v>
      </c>
      <c r="B299" s="57">
        <v>0.95899999999999996</v>
      </c>
      <c r="C299" s="30" t="str">
        <f t="shared" si="19"/>
        <v>Risk</v>
      </c>
      <c r="D299" s="41" t="str">
        <f t="shared" si="21"/>
        <v/>
      </c>
      <c r="E299" s="41" t="str">
        <f t="shared" si="22"/>
        <v/>
      </c>
      <c r="F299" s="19">
        <v>577</v>
      </c>
      <c r="G299" s="27">
        <v>72.45</v>
      </c>
      <c r="H299" s="24">
        <v>20</v>
      </c>
      <c r="I299" s="28">
        <f t="shared" si="25"/>
        <v>390.79777765791056</v>
      </c>
      <c r="J299" s="29">
        <f t="shared" si="23"/>
        <v>300.19640542133163</v>
      </c>
      <c r="K299" s="29">
        <f t="shared" si="24"/>
        <v>535.56346339614197</v>
      </c>
      <c r="L299" s="32"/>
      <c r="M299" s="34">
        <f>$I296/$I299</f>
        <v>0.92449965493443764</v>
      </c>
      <c r="N299" s="33"/>
      <c r="O299" s="33"/>
      <c r="P299" s="33"/>
      <c r="Q299" s="33"/>
      <c r="R299" s="33"/>
      <c r="S299" s="32"/>
      <c r="T299" s="32"/>
    </row>
    <row r="300" spans="1:22" ht="18" customHeight="1">
      <c r="A300" s="9">
        <v>36951</v>
      </c>
      <c r="B300" s="57">
        <v>0.87</v>
      </c>
      <c r="C300" s="30" t="str">
        <f t="shared" si="19"/>
        <v>Risk</v>
      </c>
      <c r="D300" s="41" t="str">
        <f t="shared" si="21"/>
        <v>Risk</v>
      </c>
      <c r="E300" s="41" t="str">
        <f t="shared" si="22"/>
        <v>Risk</v>
      </c>
      <c r="F300" s="19">
        <v>523</v>
      </c>
      <c r="G300" s="27">
        <v>65.16</v>
      </c>
      <c r="H300" s="24">
        <v>20</v>
      </c>
      <c r="I300" s="28">
        <f t="shared" si="25"/>
        <v>351.4752683532015</v>
      </c>
      <c r="J300" s="29">
        <f t="shared" si="23"/>
        <v>272.10176782557443</v>
      </c>
      <c r="K300" s="29">
        <f t="shared" si="24"/>
        <v>481.67446894261707</v>
      </c>
      <c r="L300" s="73">
        <f>1+(($I296/$I300)-1)*3</f>
        <v>1.0837937384898717</v>
      </c>
      <c r="M300" s="33"/>
      <c r="N300" s="33"/>
      <c r="O300" s="33"/>
      <c r="P300" s="33"/>
      <c r="Q300" s="33"/>
      <c r="R300" s="33"/>
      <c r="S300" s="33"/>
      <c r="T300" s="32"/>
    </row>
    <row r="301" spans="1:22" ht="18" customHeight="1">
      <c r="A301" s="9">
        <v>36923</v>
      </c>
      <c r="B301" s="57">
        <v>0.96099999999999997</v>
      </c>
      <c r="C301" s="30" t="str">
        <f t="shared" si="19"/>
        <v>Risk</v>
      </c>
      <c r="D301" s="41" t="str">
        <f t="shared" si="21"/>
        <v/>
      </c>
      <c r="E301" s="41" t="str">
        <f t="shared" si="22"/>
        <v/>
      </c>
      <c r="F301" s="19">
        <v>578</v>
      </c>
      <c r="G301" s="27">
        <v>72.14</v>
      </c>
      <c r="H301" s="24">
        <v>20</v>
      </c>
      <c r="I301" s="28">
        <f t="shared" si="25"/>
        <v>389.12562705647571</v>
      </c>
      <c r="J301" s="29">
        <f t="shared" si="23"/>
        <v>300.7166764879197</v>
      </c>
      <c r="K301" s="29">
        <f t="shared" si="24"/>
        <v>533.27188750031303</v>
      </c>
      <c r="L301" s="33"/>
      <c r="M301" s="33"/>
      <c r="N301" s="33"/>
      <c r="O301" s="33"/>
      <c r="P301" s="33"/>
      <c r="Q301" s="33"/>
      <c r="R301" s="33"/>
      <c r="S301" s="32"/>
      <c r="T301" s="32"/>
    </row>
    <row r="302" spans="1:22" ht="18" customHeight="1">
      <c r="A302" s="9">
        <v>36892</v>
      </c>
      <c r="B302" s="57">
        <v>1.028</v>
      </c>
      <c r="C302" s="30" t="str">
        <f t="shared" si="19"/>
        <v/>
      </c>
      <c r="D302" s="41" t="str">
        <f t="shared" si="21"/>
        <v/>
      </c>
      <c r="E302" s="41" t="str">
        <f t="shared" si="22"/>
        <v/>
      </c>
      <c r="F302" s="19">
        <v>618</v>
      </c>
      <c r="G302" s="27">
        <v>77.98</v>
      </c>
      <c r="H302" s="24">
        <v>20</v>
      </c>
      <c r="I302" s="28">
        <f t="shared" si="25"/>
        <v>420.62678677382837</v>
      </c>
      <c r="J302" s="29">
        <f t="shared" si="23"/>
        <v>321.52751915144353</v>
      </c>
      <c r="K302" s="29">
        <f t="shared" si="24"/>
        <v>576.44222050560597</v>
      </c>
      <c r="L302" s="33"/>
      <c r="M302" s="33"/>
      <c r="N302" s="33"/>
      <c r="O302" s="33"/>
      <c r="P302" s="33"/>
      <c r="Q302" s="33"/>
      <c r="R302" s="33"/>
      <c r="S302" s="32"/>
      <c r="T302" s="32"/>
    </row>
    <row r="303" spans="1:22" ht="18" customHeight="1">
      <c r="A303" s="9">
        <v>36861</v>
      </c>
      <c r="B303" s="57">
        <v>0.84</v>
      </c>
      <c r="C303" s="30" t="str">
        <f t="shared" si="19"/>
        <v>Risk</v>
      </c>
      <c r="D303" s="41" t="str">
        <f t="shared" si="21"/>
        <v>Risk</v>
      </c>
      <c r="E303" s="41" t="str">
        <f t="shared" si="22"/>
        <v>Risk</v>
      </c>
      <c r="F303" s="19">
        <v>505</v>
      </c>
      <c r="G303" s="27">
        <v>63.35</v>
      </c>
      <c r="H303" s="24">
        <v>20</v>
      </c>
      <c r="I303" s="28">
        <f t="shared" si="25"/>
        <v>341.7120664545015</v>
      </c>
      <c r="J303" s="29">
        <f t="shared" si="23"/>
        <v>262.73688862698867</v>
      </c>
      <c r="K303" s="29">
        <f t="shared" si="24"/>
        <v>468.29462258309997</v>
      </c>
      <c r="L303" s="33"/>
      <c r="M303" s="33"/>
      <c r="N303" s="33"/>
      <c r="O303" s="33"/>
      <c r="P303" s="33"/>
      <c r="Q303" s="33"/>
      <c r="R303" s="33"/>
      <c r="S303" s="32"/>
      <c r="T303" s="32"/>
    </row>
    <row r="304" spans="1:22" ht="18" customHeight="1">
      <c r="A304" s="9">
        <v>36831</v>
      </c>
      <c r="B304" s="58">
        <v>0.84599999999999997</v>
      </c>
      <c r="C304" s="30" t="str">
        <f t="shared" si="19"/>
        <v>Risk</v>
      </c>
      <c r="D304" s="41" t="str">
        <f t="shared" si="21"/>
        <v>Risk</v>
      </c>
      <c r="E304" s="41" t="str">
        <f t="shared" si="22"/>
        <v>Risk</v>
      </c>
      <c r="F304" s="17">
        <v>509</v>
      </c>
      <c r="G304" s="27">
        <v>63.48</v>
      </c>
      <c r="H304" s="25">
        <v>20</v>
      </c>
      <c r="I304" s="28">
        <f t="shared" si="25"/>
        <v>342.41329090026443</v>
      </c>
      <c r="J304" s="29">
        <f t="shared" si="23"/>
        <v>264.81797289334105</v>
      </c>
      <c r="K304" s="29">
        <f t="shared" si="24"/>
        <v>469.25560602328625</v>
      </c>
      <c r="L304" s="33"/>
      <c r="M304" s="33"/>
      <c r="N304" s="33"/>
      <c r="O304" s="33"/>
      <c r="P304" s="33"/>
      <c r="Q304" s="33"/>
      <c r="R304" s="33"/>
      <c r="S304" s="32"/>
      <c r="T304" s="32"/>
      <c r="U304" s="52"/>
      <c r="V304" s="52"/>
    </row>
    <row r="305" spans="1:20" ht="18" customHeight="1">
      <c r="A305" s="9">
        <v>36800</v>
      </c>
      <c r="B305" s="58">
        <v>0.85499999999999998</v>
      </c>
      <c r="C305" s="30" t="str">
        <f t="shared" si="19"/>
        <v>Risk</v>
      </c>
      <c r="D305" s="41" t="str">
        <f t="shared" si="21"/>
        <v>Risk</v>
      </c>
      <c r="E305" s="41" t="str">
        <f t="shared" si="22"/>
        <v>Risk</v>
      </c>
      <c r="F305" s="17">
        <v>514</v>
      </c>
      <c r="G305" s="27">
        <v>64</v>
      </c>
      <c r="H305" s="25">
        <v>40</v>
      </c>
      <c r="I305" s="28">
        <f t="shared" si="25"/>
        <v>345.21818868331644</v>
      </c>
      <c r="J305" s="29">
        <f t="shared" si="23"/>
        <v>267.41932822628155</v>
      </c>
      <c r="K305" s="29">
        <f t="shared" si="24"/>
        <v>473.09953978403155</v>
      </c>
      <c r="L305" s="73">
        <f>1+(($I301/$I305)-1)*3</f>
        <v>1.3815624999999994</v>
      </c>
      <c r="M305" s="73">
        <f>1+(($I300/$I305)-1)*3</f>
        <v>1.0543749999999998</v>
      </c>
      <c r="N305" s="73">
        <f>1+(($I299/$I305)-1)*3</f>
        <v>1.3960937500000001</v>
      </c>
      <c r="O305" s="73">
        <f>1+(($I298/$I305)-1)*3</f>
        <v>1.5667187500000002</v>
      </c>
      <c r="P305" s="73">
        <f>1+(($I297/$I305)-1)*3</f>
        <v>1.4312500000000001</v>
      </c>
      <c r="Q305" s="73">
        <f>1+(($I296/$I305)-1)*3</f>
        <v>1.1396875000000002</v>
      </c>
      <c r="R305" s="73">
        <f>1+(($I295/$I305)-1)*3</f>
        <v>1.1603125000000001</v>
      </c>
      <c r="S305" s="73">
        <f>1+(($I294/$I305)-1)*3</f>
        <v>0.76140624999999984</v>
      </c>
      <c r="T305" s="73">
        <f>1+(($I293/$I305)-1)*3</f>
        <v>1.1143749999999999</v>
      </c>
    </row>
    <row r="306" spans="1:20" ht="18" customHeight="1">
      <c r="A306" s="9">
        <v>36770</v>
      </c>
      <c r="B306" s="58">
        <v>1.0189999999999999</v>
      </c>
      <c r="C306" s="30" t="str">
        <f t="shared" si="19"/>
        <v/>
      </c>
      <c r="D306" s="41" t="str">
        <f t="shared" si="21"/>
        <v/>
      </c>
      <c r="E306" s="41" t="str">
        <f t="shared" si="22"/>
        <v/>
      </c>
      <c r="F306" s="17">
        <v>613</v>
      </c>
      <c r="G306" s="27">
        <v>76.37</v>
      </c>
      <c r="H306" s="25">
        <v>40</v>
      </c>
      <c r="I306" s="28">
        <f t="shared" si="25"/>
        <v>411.94239171476374</v>
      </c>
      <c r="J306" s="29">
        <f t="shared" si="23"/>
        <v>318.92616381850308</v>
      </c>
      <c r="K306" s="29">
        <f t="shared" si="24"/>
        <v>564.54081020791398</v>
      </c>
    </row>
    <row r="307" spans="1:20" ht="18" customHeight="1">
      <c r="A307" s="9">
        <v>36739</v>
      </c>
      <c r="B307" s="58">
        <v>1.1459999999999999</v>
      </c>
      <c r="C307" s="30" t="str">
        <f t="shared" si="19"/>
        <v/>
      </c>
      <c r="D307" s="41" t="str">
        <f t="shared" si="21"/>
        <v/>
      </c>
      <c r="E307" s="41" t="str">
        <f t="shared" si="22"/>
        <v/>
      </c>
      <c r="F307" s="17">
        <v>689</v>
      </c>
      <c r="G307" s="27">
        <v>86.54</v>
      </c>
      <c r="H307" s="25">
        <v>20</v>
      </c>
      <c r="I307" s="28">
        <f t="shared" si="25"/>
        <v>466.79971951022202</v>
      </c>
      <c r="J307" s="29">
        <f t="shared" si="23"/>
        <v>358.46676487919842</v>
      </c>
      <c r="K307" s="29">
        <f t="shared" si="24"/>
        <v>639.71928395172029</v>
      </c>
    </row>
    <row r="308" spans="1:20" ht="18" customHeight="1">
      <c r="A308" s="9">
        <v>36708</v>
      </c>
      <c r="B308" s="58">
        <v>1.1739999999999999</v>
      </c>
      <c r="C308" s="30" t="str">
        <f t="shared" si="19"/>
        <v/>
      </c>
      <c r="D308" s="41" t="str">
        <f t="shared" si="21"/>
        <v/>
      </c>
      <c r="E308" s="41" t="str">
        <f t="shared" si="22"/>
        <v/>
      </c>
      <c r="F308" s="17">
        <v>706</v>
      </c>
      <c r="G308" s="27">
        <v>89.35</v>
      </c>
      <c r="H308" s="25">
        <v>40</v>
      </c>
      <c r="I308" s="28">
        <f t="shared" si="25"/>
        <v>481.95695560709885</v>
      </c>
      <c r="J308" s="29">
        <f t="shared" si="23"/>
        <v>367.31137301119611</v>
      </c>
      <c r="K308" s="29">
        <f t="shared" si="24"/>
        <v>660.49131062036292</v>
      </c>
    </row>
    <row r="309" spans="1:20" ht="18" customHeight="1">
      <c r="A309" s="9">
        <v>36678</v>
      </c>
      <c r="B309" s="58">
        <v>1.365</v>
      </c>
      <c r="C309" s="30" t="str">
        <f t="shared" si="19"/>
        <v/>
      </c>
      <c r="D309" s="41" t="str">
        <f t="shared" si="21"/>
        <v/>
      </c>
      <c r="E309" s="41" t="str">
        <f t="shared" si="22"/>
        <v/>
      </c>
      <c r="F309" s="17">
        <v>821</v>
      </c>
      <c r="G309" s="27">
        <v>104.43</v>
      </c>
      <c r="H309" s="25">
        <v>20</v>
      </c>
      <c r="I309" s="28">
        <f t="shared" si="25"/>
        <v>563.29899131560535</v>
      </c>
      <c r="J309" s="29">
        <f t="shared" si="23"/>
        <v>427.14254566882715</v>
      </c>
      <c r="K309" s="29">
        <f t="shared" si="24"/>
        <v>771.96538968197547</v>
      </c>
    </row>
    <row r="310" spans="1:20" ht="18" customHeight="1">
      <c r="A310" s="9">
        <v>36647</v>
      </c>
      <c r="B310" s="58">
        <v>1.2170000000000001</v>
      </c>
      <c r="C310" s="30" t="str">
        <f t="shared" si="19"/>
        <v/>
      </c>
      <c r="D310" s="41" t="str">
        <f t="shared" si="21"/>
        <v/>
      </c>
      <c r="E310" s="41" t="str">
        <f t="shared" si="22"/>
        <v/>
      </c>
      <c r="F310" s="17">
        <v>732</v>
      </c>
      <c r="G310" s="27">
        <v>92.74</v>
      </c>
      <c r="H310" s="25">
        <v>30</v>
      </c>
      <c r="I310" s="28">
        <f t="shared" si="25"/>
        <v>500.24273153891829</v>
      </c>
      <c r="J310" s="29">
        <f t="shared" si="23"/>
        <v>380.83842074248656</v>
      </c>
      <c r="K310" s="29">
        <f t="shared" si="24"/>
        <v>685.55080186829844</v>
      </c>
    </row>
    <row r="311" spans="1:20" ht="18" customHeight="1">
      <c r="A311" s="9">
        <v>36617</v>
      </c>
      <c r="B311" s="58">
        <v>1.2050000000000001</v>
      </c>
      <c r="C311" s="30" t="str">
        <f t="shared" si="19"/>
        <v/>
      </c>
      <c r="D311" s="41" t="str">
        <f t="shared" si="21"/>
        <v/>
      </c>
      <c r="E311" s="41" t="str">
        <f t="shared" si="22"/>
        <v/>
      </c>
      <c r="F311" s="17">
        <v>725</v>
      </c>
      <c r="G311" s="27">
        <v>91.21</v>
      </c>
      <c r="H311" s="25">
        <v>40</v>
      </c>
      <c r="I311" s="28">
        <f t="shared" si="25"/>
        <v>491.98985921570778</v>
      </c>
      <c r="J311" s="29">
        <f t="shared" si="23"/>
        <v>377.19652327636993</v>
      </c>
      <c r="K311" s="29">
        <f t="shared" si="24"/>
        <v>674.24076599533646</v>
      </c>
    </row>
    <row r="312" spans="1:20" ht="18" customHeight="1">
      <c r="A312" s="9">
        <v>36586</v>
      </c>
      <c r="B312" s="58">
        <v>1.4319999999999999</v>
      </c>
      <c r="C312" s="30" t="str">
        <f t="shared" si="19"/>
        <v/>
      </c>
      <c r="D312" s="41" t="str">
        <f t="shared" si="21"/>
        <v/>
      </c>
      <c r="E312" s="41" t="str">
        <f t="shared" si="22"/>
        <v/>
      </c>
      <c r="F312" s="17">
        <v>861</v>
      </c>
      <c r="G312" s="27">
        <v>108.03</v>
      </c>
      <c r="H312" s="25">
        <v>30</v>
      </c>
      <c r="I312" s="28">
        <f t="shared" si="25"/>
        <v>582.7175144290419</v>
      </c>
      <c r="J312" s="29">
        <f t="shared" si="23"/>
        <v>447.95338833235104</v>
      </c>
      <c r="K312" s="29">
        <f t="shared" si="24"/>
        <v>798.57723879482728</v>
      </c>
    </row>
    <row r="313" spans="1:20" ht="18" customHeight="1">
      <c r="A313" s="9">
        <v>36557</v>
      </c>
      <c r="B313" s="58">
        <v>1.377</v>
      </c>
      <c r="C313" s="30" t="str">
        <f t="shared" si="19"/>
        <v/>
      </c>
      <c r="D313" s="41" t="str">
        <f t="shared" si="21"/>
        <v/>
      </c>
      <c r="E313" s="41" t="str">
        <f t="shared" si="22"/>
        <v/>
      </c>
      <c r="F313" s="17">
        <v>828</v>
      </c>
      <c r="G313" s="27">
        <v>103.17</v>
      </c>
      <c r="H313" s="25">
        <v>40</v>
      </c>
      <c r="I313" s="28">
        <f t="shared" si="25"/>
        <v>556.50250822590249</v>
      </c>
      <c r="J313" s="29">
        <f t="shared" si="23"/>
        <v>430.78444313494384</v>
      </c>
      <c r="K313" s="29">
        <f t="shared" si="24"/>
        <v>762.65124249247731</v>
      </c>
      <c r="T313" s="32"/>
    </row>
    <row r="314" spans="1:20" ht="18" customHeight="1">
      <c r="A314" s="9">
        <v>36526</v>
      </c>
      <c r="B314" s="58">
        <v>1.57</v>
      </c>
      <c r="C314" s="30" t="str">
        <f t="shared" si="19"/>
        <v/>
      </c>
      <c r="D314" s="41" t="str">
        <f t="shared" si="21"/>
        <v/>
      </c>
      <c r="E314" s="41" t="str">
        <f t="shared" si="22"/>
        <v/>
      </c>
      <c r="F314" s="17">
        <v>944</v>
      </c>
      <c r="G314" s="27">
        <v>119.08</v>
      </c>
      <c r="H314" s="25">
        <v>40</v>
      </c>
      <c r="I314" s="28">
        <f t="shared" si="25"/>
        <v>642.32159231889568</v>
      </c>
      <c r="J314" s="29">
        <f t="shared" si="23"/>
        <v>491.13588685916301</v>
      </c>
      <c r="K314" s="29">
        <f t="shared" si="24"/>
        <v>880.26083121066392</v>
      </c>
      <c r="S314" s="33"/>
      <c r="T314" s="32"/>
    </row>
    <row r="315" spans="1:20" ht="18" customHeight="1">
      <c r="A315" s="9">
        <v>36495</v>
      </c>
      <c r="B315" s="60">
        <v>1.7090000000000001</v>
      </c>
      <c r="C315" s="30" t="str">
        <f t="shared" si="19"/>
        <v/>
      </c>
      <c r="D315" s="41" t="str">
        <f t="shared" si="21"/>
        <v/>
      </c>
      <c r="E315" s="41" t="str">
        <f t="shared" si="22"/>
        <v/>
      </c>
      <c r="F315" s="20">
        <v>1028</v>
      </c>
      <c r="G315" s="27">
        <v>130.02000000000001</v>
      </c>
      <c r="H315" s="26">
        <v>20</v>
      </c>
      <c r="I315" s="28">
        <f t="shared" si="25"/>
        <v>701.33232644695011</v>
      </c>
      <c r="J315" s="29">
        <f t="shared" si="23"/>
        <v>534.8386564525631</v>
      </c>
      <c r="K315" s="29">
        <f t="shared" si="24"/>
        <v>961.1312837924969</v>
      </c>
      <c r="R315" s="33"/>
      <c r="S315" s="33"/>
      <c r="T315" s="32"/>
    </row>
    <row r="316" spans="1:20" ht="18" customHeight="1">
      <c r="A316" s="9">
        <v>36465</v>
      </c>
      <c r="B316" s="60">
        <v>1.6579999999999999</v>
      </c>
      <c r="C316" s="30" t="str">
        <f t="shared" si="19"/>
        <v/>
      </c>
      <c r="D316" s="41" t="str">
        <f t="shared" si="21"/>
        <v/>
      </c>
      <c r="E316" s="41" t="str">
        <f t="shared" si="22"/>
        <v/>
      </c>
      <c r="F316" s="20">
        <v>997</v>
      </c>
      <c r="G316" s="27">
        <v>123.59</v>
      </c>
      <c r="H316" s="26">
        <v>20</v>
      </c>
      <c r="I316" s="28">
        <f t="shared" si="25"/>
        <v>666.6486865526731</v>
      </c>
      <c r="J316" s="29">
        <f t="shared" si="23"/>
        <v>518.71025338833215</v>
      </c>
      <c r="K316" s="29">
        <f t="shared" si="24"/>
        <v>913.59956440481994</v>
      </c>
      <c r="Q316" s="33"/>
      <c r="R316" s="33"/>
      <c r="S316" s="33"/>
      <c r="T316" s="32"/>
    </row>
    <row r="317" spans="1:20" ht="18" customHeight="1">
      <c r="A317" s="9">
        <v>36434</v>
      </c>
      <c r="B317" s="60">
        <v>1.387</v>
      </c>
      <c r="C317" s="30" t="str">
        <f t="shared" si="19"/>
        <v/>
      </c>
      <c r="D317" s="41" t="str">
        <f t="shared" si="21"/>
        <v/>
      </c>
      <c r="E317" s="41" t="str">
        <f t="shared" si="22"/>
        <v/>
      </c>
      <c r="F317" s="20">
        <v>834</v>
      </c>
      <c r="G317" s="27">
        <v>100.19</v>
      </c>
      <c r="H317" s="26">
        <v>20</v>
      </c>
      <c r="I317" s="28">
        <f t="shared" si="25"/>
        <v>540.42828631533553</v>
      </c>
      <c r="J317" s="29">
        <f t="shared" si="23"/>
        <v>433.90606953447241</v>
      </c>
      <c r="K317" s="29">
        <f t="shared" si="24"/>
        <v>740.62254517128326</v>
      </c>
      <c r="P317" s="33"/>
      <c r="Q317" s="33"/>
      <c r="R317" s="33"/>
      <c r="S317" s="33"/>
      <c r="T317" s="32"/>
    </row>
    <row r="318" spans="1:20" ht="18" customHeight="1">
      <c r="A318" s="9">
        <v>36404</v>
      </c>
      <c r="B318" s="60">
        <v>1.39</v>
      </c>
      <c r="C318" s="30" t="str">
        <f t="shared" si="19"/>
        <v/>
      </c>
      <c r="D318" s="41" t="str">
        <f t="shared" si="21"/>
        <v/>
      </c>
      <c r="E318" s="41" t="str">
        <f t="shared" si="22"/>
        <v/>
      </c>
      <c r="F318" s="20">
        <v>836</v>
      </c>
      <c r="G318" s="27">
        <v>100.71</v>
      </c>
      <c r="H318" s="26">
        <v>20</v>
      </c>
      <c r="I318" s="28">
        <f t="shared" si="25"/>
        <v>543.23318409838748</v>
      </c>
      <c r="J318" s="29">
        <f t="shared" si="23"/>
        <v>434.9466116676486</v>
      </c>
      <c r="K318" s="29">
        <f t="shared" si="24"/>
        <v>744.46647893202851</v>
      </c>
      <c r="O318" s="33"/>
      <c r="P318" s="33"/>
      <c r="Q318" s="33"/>
      <c r="R318" s="33"/>
      <c r="S318" s="33"/>
      <c r="T318" s="32"/>
    </row>
    <row r="319" spans="1:20" ht="18" customHeight="1">
      <c r="A319" s="9">
        <v>36373</v>
      </c>
      <c r="B319" s="60">
        <v>1.56</v>
      </c>
      <c r="C319" s="30" t="str">
        <f t="shared" si="19"/>
        <v/>
      </c>
      <c r="D319" s="41" t="str">
        <f t="shared" si="21"/>
        <v/>
      </c>
      <c r="E319" s="41" t="str">
        <f t="shared" si="22"/>
        <v/>
      </c>
      <c r="F319" s="20">
        <v>938</v>
      </c>
      <c r="G319" s="27">
        <v>112.79</v>
      </c>
      <c r="H319" s="26">
        <v>20</v>
      </c>
      <c r="I319" s="28">
        <f t="shared" si="25"/>
        <v>608.39311721236356</v>
      </c>
      <c r="J319" s="29">
        <f t="shared" si="23"/>
        <v>488.01426045963439</v>
      </c>
      <c r="K319" s="29">
        <f t="shared" si="24"/>
        <v>833.76401706626461</v>
      </c>
      <c r="N319" s="33"/>
      <c r="O319" s="33"/>
      <c r="P319" s="33"/>
      <c r="Q319" s="33"/>
      <c r="R319" s="33"/>
      <c r="S319" s="33"/>
      <c r="T319" s="32"/>
    </row>
    <row r="320" spans="1:20" ht="18" customHeight="1">
      <c r="A320" s="9">
        <v>36342</v>
      </c>
      <c r="B320" s="60">
        <v>1.613</v>
      </c>
      <c r="C320" s="30" t="str">
        <f t="shared" si="19"/>
        <v/>
      </c>
      <c r="D320" s="41" t="str">
        <f t="shared" si="21"/>
        <v/>
      </c>
      <c r="E320" s="41" t="str">
        <f t="shared" si="22"/>
        <v/>
      </c>
      <c r="F320" s="20">
        <v>970</v>
      </c>
      <c r="G320" s="27">
        <v>116.14</v>
      </c>
      <c r="H320" s="26">
        <v>20</v>
      </c>
      <c r="I320" s="28">
        <f t="shared" si="25"/>
        <v>626.46313177625586</v>
      </c>
      <c r="J320" s="29">
        <f t="shared" si="23"/>
        <v>504.66293459045346</v>
      </c>
      <c r="K320" s="29">
        <f t="shared" si="24"/>
        <v>858.52782110183489</v>
      </c>
      <c r="M320" s="33"/>
      <c r="N320" s="33"/>
      <c r="O320" s="33"/>
      <c r="P320" s="33"/>
      <c r="Q320" s="33"/>
      <c r="R320" s="33"/>
      <c r="S320" s="32"/>
      <c r="T320" s="32"/>
    </row>
    <row r="321" spans="1:20" ht="18" customHeight="1">
      <c r="A321" s="9">
        <v>36312</v>
      </c>
      <c r="B321" s="60">
        <v>1.468</v>
      </c>
      <c r="C321" s="30" t="str">
        <f t="shared" si="19"/>
        <v/>
      </c>
      <c r="D321" s="41" t="str">
        <f t="shared" si="21"/>
        <v/>
      </c>
      <c r="E321" s="41" t="str">
        <f t="shared" si="22"/>
        <v/>
      </c>
      <c r="F321" s="20">
        <v>883</v>
      </c>
      <c r="G321" s="27">
        <v>105.47</v>
      </c>
      <c r="H321" s="26">
        <v>20</v>
      </c>
      <c r="I321" s="28">
        <f t="shared" si="25"/>
        <v>568.90878688170926</v>
      </c>
      <c r="J321" s="29">
        <f t="shared" si="23"/>
        <v>459.39935179728906</v>
      </c>
      <c r="K321" s="29">
        <f t="shared" si="24"/>
        <v>779.65325720346596</v>
      </c>
      <c r="L321" s="33"/>
      <c r="M321" s="33"/>
      <c r="N321" s="33"/>
      <c r="O321" s="33"/>
      <c r="P321" s="33"/>
      <c r="Q321" s="33"/>
      <c r="R321" s="33"/>
      <c r="S321" s="32"/>
      <c r="T321" s="32"/>
    </row>
    <row r="322" spans="1:20" ht="18" customHeight="1">
      <c r="A322" s="9">
        <v>36281</v>
      </c>
      <c r="B322" s="60">
        <v>1.224</v>
      </c>
      <c r="C322" s="30" t="str">
        <f t="shared" si="19"/>
        <v/>
      </c>
      <c r="D322" s="41" t="str">
        <f t="shared" si="21"/>
        <v/>
      </c>
      <c r="E322" s="41" t="str">
        <f t="shared" si="22"/>
        <v/>
      </c>
      <c r="F322" s="20">
        <v>736</v>
      </c>
      <c r="G322" s="27">
        <v>85.68</v>
      </c>
      <c r="H322" s="26">
        <v>20</v>
      </c>
      <c r="I322" s="28">
        <f t="shared" si="25"/>
        <v>462.16085009979003</v>
      </c>
      <c r="J322" s="29">
        <f t="shared" si="23"/>
        <v>382.91950500883888</v>
      </c>
      <c r="K322" s="29">
        <f t="shared" si="24"/>
        <v>633.36200888587246</v>
      </c>
      <c r="L322" s="33"/>
      <c r="M322" s="33"/>
      <c r="N322" s="33"/>
      <c r="O322" s="33"/>
      <c r="P322" s="33"/>
      <c r="Q322" s="33"/>
      <c r="R322" s="33"/>
      <c r="S322" s="32"/>
      <c r="T322" s="32"/>
    </row>
    <row r="323" spans="1:20" ht="18" customHeight="1">
      <c r="A323" s="9">
        <v>36251</v>
      </c>
      <c r="B323" s="60">
        <v>1.252</v>
      </c>
      <c r="C323" s="30" t="str">
        <f t="shared" si="19"/>
        <v/>
      </c>
      <c r="D323" s="41" t="str">
        <f t="shared" si="21"/>
        <v/>
      </c>
      <c r="E323" s="41" t="str">
        <f t="shared" si="22"/>
        <v/>
      </c>
      <c r="F323" s="20">
        <v>753</v>
      </c>
      <c r="G323" s="27">
        <v>87.15</v>
      </c>
      <c r="H323" s="26">
        <v>20</v>
      </c>
      <c r="I323" s="28">
        <f t="shared" si="25"/>
        <v>470.09008037110993</v>
      </c>
      <c r="J323" s="29">
        <f t="shared" si="23"/>
        <v>391.76411314083651</v>
      </c>
      <c r="K323" s="29">
        <f t="shared" si="24"/>
        <v>644.22851394028692</v>
      </c>
      <c r="L323" s="33"/>
      <c r="M323" s="33"/>
      <c r="N323" s="33"/>
      <c r="O323" s="33"/>
      <c r="P323" s="33"/>
      <c r="Q323" s="33"/>
      <c r="R323" s="33"/>
      <c r="S323" s="32"/>
      <c r="T323" s="32"/>
    </row>
    <row r="324" spans="1:20" ht="18" customHeight="1">
      <c r="A324" s="9">
        <v>36220</v>
      </c>
      <c r="B324" s="60">
        <v>1.0289999999999999</v>
      </c>
      <c r="C324" s="30" t="str">
        <f t="shared" ref="C324:C326" si="27">IF(B324&lt;=C$1, "Risk", "")</f>
        <v/>
      </c>
      <c r="D324" s="41" t="str">
        <f t="shared" si="21"/>
        <v/>
      </c>
      <c r="E324" s="41" t="str">
        <f t="shared" si="22"/>
        <v/>
      </c>
      <c r="F324" s="20">
        <v>619</v>
      </c>
      <c r="G324" s="27">
        <v>71.84</v>
      </c>
      <c r="H324" s="26">
        <v>20</v>
      </c>
      <c r="I324" s="28">
        <f t="shared" si="25"/>
        <v>387.50741679702281</v>
      </c>
      <c r="J324" s="29">
        <f t="shared" si="23"/>
        <v>322.04779021803165</v>
      </c>
      <c r="K324" s="29">
        <f t="shared" si="24"/>
        <v>531.05423340757557</v>
      </c>
      <c r="L324" s="33"/>
      <c r="M324" s="33"/>
      <c r="N324" s="33"/>
      <c r="O324" s="33"/>
      <c r="P324" s="33"/>
      <c r="Q324" s="33"/>
      <c r="R324" s="33"/>
      <c r="S324" s="32"/>
      <c r="T324" s="32"/>
    </row>
    <row r="325" spans="1:20" ht="18" customHeight="1">
      <c r="A325" s="9">
        <v>36192</v>
      </c>
      <c r="B325" s="60">
        <v>0.86499999999999999</v>
      </c>
      <c r="C325" s="30" t="str">
        <f t="shared" si="27"/>
        <v>Risk</v>
      </c>
      <c r="D325" s="41" t="str">
        <f t="shared" ref="D325:D326" si="28">IF(B325&lt;=D$1, "Risk", "")</f>
        <v>Risk</v>
      </c>
      <c r="E325" s="41" t="str">
        <f t="shared" ref="E325:E326" si="29">IF(B325&lt;=E$1, "Risk", "")</f>
        <v>Risk</v>
      </c>
      <c r="F325" s="20">
        <v>520</v>
      </c>
      <c r="G325" s="27">
        <v>60.28</v>
      </c>
      <c r="H325" s="26">
        <v>20</v>
      </c>
      <c r="I325" s="28">
        <f t="shared" si="25"/>
        <v>325.15238146609875</v>
      </c>
      <c r="J325" s="29">
        <f t="shared" si="23"/>
        <v>270.54095462581012</v>
      </c>
      <c r="K325" s="29">
        <f t="shared" si="24"/>
        <v>445.60062903408482</v>
      </c>
      <c r="L325" s="73">
        <f>1+(($I321/$I325)-1)*3</f>
        <v>3.2490046449900465</v>
      </c>
      <c r="M325" s="73">
        <f>1+(($I320/$I325)-1)*3</f>
        <v>3.7800265428002646</v>
      </c>
      <c r="N325" s="73">
        <f>1+(($I319/$I325)-1)*3</f>
        <v>3.6133045786330453</v>
      </c>
      <c r="O325" s="73">
        <f>1+(($I318/$I325)-1)*3</f>
        <v>3.0121101526211005</v>
      </c>
      <c r="P325" s="73">
        <f>1+(($I317/$I325)-1)*3</f>
        <v>2.9862309223623078</v>
      </c>
      <c r="Q325" s="73">
        <f>1+(($I316/$I325)-1)*3</f>
        <v>4.1507962840079617</v>
      </c>
      <c r="R325" s="73">
        <f>1+(($I315/$I325)-1)*3</f>
        <v>4.4708029197080288</v>
      </c>
      <c r="S325" s="73">
        <f>1+(($I314/$I325)-1)*3</f>
        <v>3.9263437292634364</v>
      </c>
      <c r="T325" s="73">
        <f>1+(($I313/$I325)-1)*3</f>
        <v>3.1345388188453875</v>
      </c>
    </row>
    <row r="326" spans="1:20" ht="18" customHeight="1">
      <c r="A326" s="9">
        <v>36161</v>
      </c>
      <c r="B326" s="60">
        <v>0.94899999999999995</v>
      </c>
      <c r="C326" s="30" t="str">
        <f t="shared" si="27"/>
        <v>Risk</v>
      </c>
      <c r="D326" s="41" t="str">
        <f t="shared" si="28"/>
        <v>Risk</v>
      </c>
      <c r="E326" s="41" t="str">
        <f t="shared" si="29"/>
        <v/>
      </c>
      <c r="F326" s="20">
        <v>571</v>
      </c>
      <c r="G326" s="27">
        <v>65.72</v>
      </c>
      <c r="H326" s="26">
        <v>20</v>
      </c>
      <c r="I326" s="28">
        <f t="shared" si="25"/>
        <v>354.4959275041806</v>
      </c>
      <c r="J326" s="29">
        <f t="shared" si="23"/>
        <v>297.07477902180307</v>
      </c>
      <c r="K326" s="29">
        <f t="shared" si="24"/>
        <v>485.81408991572744</v>
      </c>
      <c r="L326" s="35">
        <f>1+(($I325/$I326)-1)*2</f>
        <v>0.83444917833231913</v>
      </c>
      <c r="M326" s="35">
        <f t="shared" ref="M326:T326" si="30">1+(($I325/$I326)-1)*2</f>
        <v>0.83444917833231913</v>
      </c>
      <c r="N326" s="35">
        <f t="shared" si="30"/>
        <v>0.83444917833231913</v>
      </c>
      <c r="O326" s="35">
        <f t="shared" si="30"/>
        <v>0.83444917833231913</v>
      </c>
      <c r="P326" s="35">
        <f t="shared" si="30"/>
        <v>0.83444917833231913</v>
      </c>
      <c r="Q326" s="35">
        <f t="shared" si="30"/>
        <v>0.83444917833231913</v>
      </c>
      <c r="R326" s="35">
        <f t="shared" si="30"/>
        <v>0.83444917833231913</v>
      </c>
      <c r="S326" s="35">
        <f t="shared" si="30"/>
        <v>0.83444917833231913</v>
      </c>
      <c r="T326" s="35">
        <f t="shared" si="30"/>
        <v>0.83444917833231913</v>
      </c>
    </row>
  </sheetData>
  <phoneticPr fontId="1" type="noConversion"/>
  <conditionalFormatting sqref="C1:E1048576">
    <cfRule type="containsText" dxfId="52" priority="52" operator="containsText" text="Risk">
      <formula>NOT(ISERROR(SEARCH("Risk",C1)))</formula>
    </cfRule>
  </conditionalFormatting>
  <conditionalFormatting sqref="L326:T326 L306:T324 L301:T304 M300:T300 L295:T299 S284:T292 L284:R293 S294:T294 T293 L277:T283 L209:T275 L90:T207 L83:T88 O82:T82 L81:N81 P81:T81 M80:O80 Q80:T80 M79:P79 R79:T79 N78:Q78 S78:T78 N77:R77 T77 N76:S76 L78:L80 L73:L76 M77:M78 M72:T72 N70:T70 L60:L71 M60:T68 M75 O75:T75 M74:T74 M73:N73 P73:T73 M71:O71 Q71:T71 M69:P69 R69:T69 L43:T59 T30 T17 L13:T15 M12:T12 L11 N11:T11 L31:T41 L29:S29 L16:S16 L18:T28 L4:T10">
    <cfRule type="cellIs" dxfId="51" priority="53" operator="lessThan">
      <formula>1</formula>
    </cfRule>
  </conditionalFormatting>
  <conditionalFormatting sqref="L325:T325">
    <cfRule type="cellIs" dxfId="50" priority="51" operator="lessThan">
      <formula>1</formula>
    </cfRule>
  </conditionalFormatting>
  <conditionalFormatting sqref="L305:T305">
    <cfRule type="cellIs" dxfId="49" priority="50" operator="lessThan">
      <formula>1</formula>
    </cfRule>
  </conditionalFormatting>
  <conditionalFormatting sqref="L300">
    <cfRule type="cellIs" dxfId="48" priority="49" operator="lessThan">
      <formula>1</formula>
    </cfRule>
  </conditionalFormatting>
  <conditionalFormatting sqref="L294">
    <cfRule type="cellIs" dxfId="47" priority="48" operator="lessThan">
      <formula>1</formula>
    </cfRule>
  </conditionalFormatting>
  <conditionalFormatting sqref="M294">
    <cfRule type="cellIs" dxfId="46" priority="47" operator="lessThan">
      <formula>1</formula>
    </cfRule>
  </conditionalFormatting>
  <conditionalFormatting sqref="N294">
    <cfRule type="cellIs" dxfId="45" priority="46" operator="lessThan">
      <formula>1</formula>
    </cfRule>
  </conditionalFormatting>
  <conditionalFormatting sqref="O294">
    <cfRule type="cellIs" dxfId="44" priority="45" operator="lessThan">
      <formula>1</formula>
    </cfRule>
  </conditionalFormatting>
  <conditionalFormatting sqref="P294">
    <cfRule type="cellIs" dxfId="43" priority="44" operator="lessThan">
      <formula>1</formula>
    </cfRule>
  </conditionalFormatting>
  <conditionalFormatting sqref="Q294">
    <cfRule type="cellIs" dxfId="42" priority="43" operator="lessThan">
      <formula>1</formula>
    </cfRule>
  </conditionalFormatting>
  <conditionalFormatting sqref="R294">
    <cfRule type="cellIs" dxfId="41" priority="42" operator="lessThan">
      <formula>1</formula>
    </cfRule>
  </conditionalFormatting>
  <conditionalFormatting sqref="S293">
    <cfRule type="cellIs" dxfId="40" priority="41" operator="lessThan">
      <formula>1</formula>
    </cfRule>
  </conditionalFormatting>
  <conditionalFormatting sqref="L276:T276">
    <cfRule type="cellIs" dxfId="39" priority="40" operator="lessThan">
      <formula>1</formula>
    </cfRule>
  </conditionalFormatting>
  <conditionalFormatting sqref="L208:T208">
    <cfRule type="cellIs" dxfId="38" priority="39" operator="lessThan">
      <formula>1</formula>
    </cfRule>
  </conditionalFormatting>
  <conditionalFormatting sqref="L89:T89">
    <cfRule type="cellIs" dxfId="37" priority="38" operator="lessThan">
      <formula>1</formula>
    </cfRule>
  </conditionalFormatting>
  <conditionalFormatting sqref="L82:M82">
    <cfRule type="cellIs" dxfId="36" priority="37" operator="lessThan">
      <formula>1</formula>
    </cfRule>
  </conditionalFormatting>
  <conditionalFormatting sqref="N82">
    <cfRule type="cellIs" dxfId="35" priority="36" operator="lessThan">
      <formula>1</formula>
    </cfRule>
  </conditionalFormatting>
  <conditionalFormatting sqref="O81">
    <cfRule type="cellIs" dxfId="34" priority="35" operator="lessThan">
      <formula>1</formula>
    </cfRule>
  </conditionalFormatting>
  <conditionalFormatting sqref="P80">
    <cfRule type="cellIs" dxfId="33" priority="34" operator="lessThan">
      <formula>1</formula>
    </cfRule>
  </conditionalFormatting>
  <conditionalFormatting sqref="Q79">
    <cfRule type="cellIs" dxfId="32" priority="33" operator="lessThan">
      <formula>1</formula>
    </cfRule>
  </conditionalFormatting>
  <conditionalFormatting sqref="R78">
    <cfRule type="cellIs" dxfId="31" priority="32" operator="lessThan">
      <formula>1</formula>
    </cfRule>
  </conditionalFormatting>
  <conditionalFormatting sqref="S77">
    <cfRule type="cellIs" dxfId="30" priority="31" operator="lessThan">
      <formula>1</formula>
    </cfRule>
  </conditionalFormatting>
  <conditionalFormatting sqref="T76">
    <cfRule type="cellIs" dxfId="29" priority="30" operator="lessThan">
      <formula>1</formula>
    </cfRule>
  </conditionalFormatting>
  <conditionalFormatting sqref="L77">
    <cfRule type="cellIs" dxfId="28" priority="29" operator="lessThan">
      <formula>1</formula>
    </cfRule>
  </conditionalFormatting>
  <conditionalFormatting sqref="L72">
    <cfRule type="cellIs" dxfId="27" priority="28" operator="lessThan">
      <formula>1</formula>
    </cfRule>
  </conditionalFormatting>
  <conditionalFormatting sqref="M76">
    <cfRule type="cellIs" dxfId="26" priority="27" operator="lessThan">
      <formula>1</formula>
    </cfRule>
  </conditionalFormatting>
  <conditionalFormatting sqref="M70">
    <cfRule type="cellIs" dxfId="25" priority="26" operator="lessThan">
      <formula>1</formula>
    </cfRule>
  </conditionalFormatting>
  <conditionalFormatting sqref="N75">
    <cfRule type="cellIs" dxfId="24" priority="25" operator="lessThan">
      <formula>1</formula>
    </cfRule>
  </conditionalFormatting>
  <conditionalFormatting sqref="O73">
    <cfRule type="cellIs" dxfId="23" priority="24" operator="lessThan">
      <formula>1</formula>
    </cfRule>
  </conditionalFormatting>
  <conditionalFormatting sqref="P71">
    <cfRule type="cellIs" dxfId="22" priority="23" operator="lessThan">
      <formula>1</formula>
    </cfRule>
  </conditionalFormatting>
  <conditionalFormatting sqref="Q69">
    <cfRule type="cellIs" dxfId="21" priority="22" operator="lessThan">
      <formula>1</formula>
    </cfRule>
  </conditionalFormatting>
  <conditionalFormatting sqref="L42:T42">
    <cfRule type="cellIs" dxfId="20" priority="21" operator="lessThan">
      <formula>1</formula>
    </cfRule>
  </conditionalFormatting>
  <conditionalFormatting sqref="L30">
    <cfRule type="cellIs" dxfId="19" priority="20" operator="lessThan">
      <formula>1</formula>
    </cfRule>
  </conditionalFormatting>
  <conditionalFormatting sqref="L17">
    <cfRule type="cellIs" dxfId="18" priority="19" operator="lessThan">
      <formula>1</formula>
    </cfRule>
  </conditionalFormatting>
  <conditionalFormatting sqref="L12">
    <cfRule type="cellIs" dxfId="17" priority="18" operator="lessThan">
      <formula>1</formula>
    </cfRule>
  </conditionalFormatting>
  <conditionalFormatting sqref="M30">
    <cfRule type="cellIs" dxfId="16" priority="17" operator="lessThan">
      <formula>1</formula>
    </cfRule>
  </conditionalFormatting>
  <conditionalFormatting sqref="M17">
    <cfRule type="cellIs" dxfId="15" priority="16" operator="lessThan">
      <formula>1</formula>
    </cfRule>
  </conditionalFormatting>
  <conditionalFormatting sqref="M11">
    <cfRule type="cellIs" dxfId="14" priority="15" operator="lessThan">
      <formula>1</formula>
    </cfRule>
  </conditionalFormatting>
  <conditionalFormatting sqref="N30">
    <cfRule type="cellIs" dxfId="13" priority="14" operator="lessThan">
      <formula>1</formula>
    </cfRule>
  </conditionalFormatting>
  <conditionalFormatting sqref="N17">
    <cfRule type="cellIs" dxfId="12" priority="13" operator="lessThan">
      <formula>1</formula>
    </cfRule>
  </conditionalFormatting>
  <conditionalFormatting sqref="O30">
    <cfRule type="cellIs" dxfId="11" priority="12" operator="lessThan">
      <formula>1</formula>
    </cfRule>
  </conditionalFormatting>
  <conditionalFormatting sqref="O17">
    <cfRule type="cellIs" dxfId="10" priority="11" operator="lessThan">
      <formula>1</formula>
    </cfRule>
  </conditionalFormatting>
  <conditionalFormatting sqref="P30">
    <cfRule type="cellIs" dxfId="9" priority="10" operator="lessThan">
      <formula>1</formula>
    </cfRule>
  </conditionalFormatting>
  <conditionalFormatting sqref="P17">
    <cfRule type="cellIs" dxfId="8" priority="9" operator="lessThan">
      <formula>1</formula>
    </cfRule>
  </conditionalFormatting>
  <conditionalFormatting sqref="Q30">
    <cfRule type="cellIs" dxfId="7" priority="8" operator="lessThan">
      <formula>1</formula>
    </cfRule>
  </conditionalFormatting>
  <conditionalFormatting sqref="Q17">
    <cfRule type="cellIs" dxfId="6" priority="7" operator="lessThan">
      <formula>1</formula>
    </cfRule>
  </conditionalFormatting>
  <conditionalFormatting sqref="R30">
    <cfRule type="cellIs" dxfId="5" priority="6" operator="lessThan">
      <formula>1</formula>
    </cfRule>
  </conditionalFormatting>
  <conditionalFormatting sqref="R17">
    <cfRule type="cellIs" dxfId="4" priority="5" operator="lessThan">
      <formula>1</formula>
    </cfRule>
  </conditionalFormatting>
  <conditionalFormatting sqref="S30">
    <cfRule type="cellIs" dxfId="3" priority="4" operator="lessThan">
      <formula>1</formula>
    </cfRule>
  </conditionalFormatting>
  <conditionalFormatting sqref="S17">
    <cfRule type="cellIs" dxfId="2" priority="3" operator="lessThan">
      <formula>1</formula>
    </cfRule>
  </conditionalFormatting>
  <conditionalFormatting sqref="T29">
    <cfRule type="cellIs" dxfId="1" priority="2" operator="lessThan">
      <formula>1</formula>
    </cfRule>
  </conditionalFormatting>
  <conditionalFormatting sqref="T16">
    <cfRule type="cellIs" dxfId="0" priority="1" operator="lessThan">
      <formula>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0.85-0.80</vt:lpstr>
      <vt:lpstr>0.85-0.80-0.75</vt:lpstr>
      <vt:lpstr>0.90-0.85</vt:lpstr>
      <vt:lpstr>0.90-0.85-0.80</vt:lpstr>
      <vt:lpstr>0.95-0.90</vt:lpstr>
      <vt:lpstr>0.95-0.90-0.85</vt:lpstr>
      <vt:lpstr>1.00-0.95</vt:lpstr>
      <vt:lpstr>1.00-0.95-0.90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노광래</cp:lastModifiedBy>
  <dcterms:created xsi:type="dcterms:W3CDTF">2025-11-22T08:35:25Z</dcterms:created>
  <dcterms:modified xsi:type="dcterms:W3CDTF">2025-11-24T14:16:41Z</dcterms:modified>
</cp:coreProperties>
</file>